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ERI_A" sheetId="5" state="hidden" r:id="rId5"/>
    <sheet xmlns:r="http://schemas.openxmlformats.org/officeDocument/2006/relationships" name="VERI_B" sheetId="6" state="hidden" r:id="rId6"/>
    <sheet xmlns:r="http://schemas.openxmlformats.org/officeDocument/2006/relationships" name="ANAHT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ESLESTIRME" sheetId="9" state="hidden" r:id="rId9"/>
    <sheet xmlns:r="http://schemas.openxmlformats.org/officeDocument/2006/relationships" name="HATA_LISTE" sheetId="10" state="hidden" r:id="rId10"/>
    <sheet xmlns:r="http://schemas.openxmlformats.org/officeDocument/2006/relationships" name="KOK_NEDEN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AKSIYON" sheetId="13" state="hidden" r:id="rId13"/>
    <sheet xmlns:r="http://schemas.openxmlformats.org/officeDocument/2006/relationships" name="KANIT_RAPORU" sheetId="14" state="hidden" r:id="rId14"/>
    <sheet xmlns:r="http://schemas.openxmlformats.org/officeDocument/2006/relationships" name="KONTROLLER" sheetId="15" state="hidden" r:id="rId15"/>
    <sheet xmlns:r="http://schemas.openxmlformats.org/officeDocument/2006/relationships" name="ORNEK_VERI" sheetId="16" state="hidden" r:id="rId16"/>
    <sheet xmlns:r="http://schemas.openxmlformats.org/officeDocument/2006/relationships" name="LISTELER" sheetId="17" state="hidden" r:id="rId17"/>
    <sheet xmlns:r="http://schemas.openxmlformats.org/officeDocument/2006/relationships" name="AYARLAR" sheetId="18" state="hidden" r:id="rId18"/>
    <sheet xmlns:r="http://schemas.openxmlformats.org/officeDocument/2006/relationships" name="KILAVUZ" sheetId="19" state="hidden" r:id="rId19"/>
  </sheets>
  <definedNames>
    <definedName name="toleransKurus">AYARLAR!$B$6</definedName>
    <definedName name="raporTarihi">AYARLAR!$B$7</definedName>
    <definedName name="dbe_esikEslesme">AYARLAR!$B$8</definedName>
    <definedName name="dbe_esikFark">AYARLAR!$B$9</definedName>
    <definedName name="dbe_azamiTutar">AYARLAR!$B$10</definedName>
    <definedName name="dbe_ikincilUzunluk">AYARLAR!$B$11</definedName>
    <definedName name="dbe_olcekHedef">AYARLAR!$B$12</definedName>
    <definedName name="dbe_anomaliZ">AYARLAR!$B$13</definedName>
    <definedName name="dbe_yuzdelikOran">AYARLAR!$B$14</definedName>
    <definedName name="dbe_kdvOran">AYARLAR!$B$15</definedName>
    <definedName name="dbe_duyarlilikCarpan">AYARLAR!$B$16</definedName>
    <definedName name="dbe_toleransSenaryo">AYARLAR!$B$17</definedName>
    <definedName name="dbe_yuvarlamaEsik">AYARLAR!$B$18</definedName>
    <definedName name="dbe_guvenBolum">AYARLAR!$B$19</definedName>
    <definedName name="dbe_riskFarkAgirlik">AYARLAR!$B$20</definedName>
    <definedName name="dbe_riskEslesmezAgirlik">AYARLAR!$B$21</definedName>
    <definedName name="dbe_esikHataCok">AYARLAR!$B$22</definedName>
    <definedName name="dbe_vknUzunluk">AYARLAR!$B$23</definedName>
    <definedName name="dbe_normAnahtar">AYARLAR!$B$24</definedName>
    <definedName name="dbe_kolonHarita">AYARLAR!$B$25</definedName>
    <definedName name="dbe_tanimsizKova">AYARLAR!$B$26</definedName>
    <definedName name="dbe_kvkkBeyani">AYARLAR!$B$27</definedName>
    <definedName name="dbe_kanitRaporu">AYARLAR!$B$28</definedName>
    <definedName name="dbe_dosyaSurumu">AYARLAR!$B$29</definedName>
    <definedName name="dbe_firmaUnvan">AYARLAR!$B$30</definedName>
    <definedName name="dbe_fiyatModeli">AYARLAR!$B$31</definedName>
    <definedName name="dbe_yapistirCalistir">AYARLAR!$B$32</definedName>
    <definedName name="dbe_hataListesi">AYARLAR!$I$28</definedName>
    <definedName name="dbe_mutabakatFarki">AYARLAR!$I$29</definedName>
    <definedName name="dbe_eslesmeOrani">AYARLAR!$I$30</definedName>
    <definedName name="dbe_kovaButunluk">AYARLAR!$I$31</definedName>
    <definedName name="dbe_kararKapi">AYARLAR!$I$32</definedName>
    <definedName name="dbe_modulT1">AYARLAR!$I$33</definedName>
    <definedName name="dbe_modulT2">AYARLAR!$I$34</definedName>
    <definedName name="dbe_modulO1">AYARLAR!$I$35</definedName>
    <definedName name="dbe_modulO2">AYARLAR!$I$36</definedName>
    <definedName name="dbe_modulO3">AYARLAR!$I$37</definedName>
    <definedName name="dbe_modulO6">AYARLAR!$I$38</definedName>
    <definedName name="dbe_modulO8">AYARLAR!$I$39</definedName>
    <definedName name="dbe_modulI1">AYARLAR!$I$40</definedName>
    <definedName name="dbe_modulI2">AYARLAR!$I$41</definedName>
    <definedName name="dbe_modulT1Yorum">AYARLAR!$I$44</definedName>
    <definedName name="dbe_modulT2Yorum">AYARLAR!$I$45</definedName>
    <definedName name="dbe_modulO1Yorum">AYARLAR!$I$46</definedName>
    <definedName name="dbe_modulO2Yorum">AYARLAR!$I$47</definedName>
    <definedName name="dbe_modulO3Yorum">AYARLAR!$I$48</definedName>
    <definedName name="dbe_modulO6Yorum">AYARLAR!$I$49</definedName>
    <definedName name="dbe_modulO8Yorum">AYARLAR!$I$50</definedName>
    <definedName name="dbe_modulI1Yorum">AYARLAR!$I$51</definedName>
    <definedName name="dbe_modulI2Yorum">AYARLAR!$I$52</definedName>
    <definedName name="ListeBelgeTipleri">LISTELER!$A$7:$A$11</definedName>
    <definedName name="ListeDurumlar">LISTELER!$C$7:$C$10</definedName>
    <definedName name="_xlnm.Print_Area" localSheetId="11">'PANO'!$A$1:$L$32</definedName>
    <definedName name="_xlnm.Print_Area" localSheetId="13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Aciklama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VKN | Neden önemli: Mutabakat sonucunu etkiler | Doğru kullanım: DBS VKN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VKN | Neden önemli: Mutabakat sonucunu etkiler | Doğru kullanım: DBS VKN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VKN | Neden önemli: Mutabakat sonucunu etkiler | Doğru kullanım: DBS VKN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VKN | Neden önemli: Mutabakat sonucunu etkiler | Doğru kullanım: DBS VKN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VKN | Neden önemli: Mutabakat sonucunu etkiler | Doğru kullanım: DBS VKN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VKN | Neden önemli: Mutabakat sonucunu etkiler | Doğru kullanım: DBS VKN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VKN | Neden önemli: Mutabakat sonucunu etkiler | Doğru kullanım: DBS VKN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VKN | Neden önemli: Mutabakat sonucunu etkiler | Doğru kullanım: DBS VKN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VKN | Neden önemli: Mutabakat sonucunu etkiler | Doğru kullanım: DBS VKN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VKN | Neden önemli: Mutabakat sonucunu etkiler | Doğru kullanım: DBS VKN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VKN | Neden önemli: Mutabakat sonucunu etkiler | Doğru kullanım: DBS VKN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VKN | Neden önemli: Mutabakat sonucunu etkiler | Doğru kullanım: DBS VKN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VKN | Neden önemli: Mutabakat sonucunu etkiler | Doğru kullanım: DBS VKN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VKN | Neden önemli: Mutabakat sonucunu etkiler | Doğru kullanım: DBS VKN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VKN | Neden önemli: Mutabakat sonucunu etkiler | Doğru kullanım: DBS VKN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VKN | Neden önemli: Mutabakat sonucunu etkiler | Doğru kullanım: DBS VKN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VKN | Neden önemli: Mutabakat sonucunu etkiler | Doğru kullanım: DBS VKN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VKN | Neden önemli: Mutabakat sonucunu etkiler | Doğru kullanım: DBS VKN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VKN | Neden önemli: Mutabakat sonucunu etkiler | Doğru kullanım: DBS VKN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VKN | Neden önemli: Mutabakat sonucunu etkiler | Doğru kullanım: DBS VKN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VKN | Neden önemli: Mutabakat sonucunu etkiler | Doğru kullanım: DBS VKN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VKN | Neden önemli: Mutabakat sonucunu etkiler | Doğru kullanım: DBS VKN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VKN | Neden önemli: Mutabakat sonucunu etkiler | Doğru kullanım: DBS VKN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VKN | Neden önemli: Mutabakat sonucunu etkiler | Doğru kullanım: DBS VKN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VKN | Neden önemli: Mutabakat sonucunu etkiler | Doğru kullanım: DBS VKN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VKN | Neden önemli: Mutabakat sonucunu etkiler | Doğru kullanım: DBS VKN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VKN | Neden önemli: Mutabakat sonucunu etkiler | Doğru kullanım: DBS VKN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VKN | Neden önemli: Mutabakat sonucunu etkiler | Doğru kullanım: DBS VKN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VKN | Neden önemli: Mutabakat sonucunu etkiler | Doğru kullanım: DBS VKN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VKN | Neden önemli: Mutabakat sonucunu etkiler | Doğru kullanım: DBS VKN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VKN | Neden önemli: Mutabakat sonucunu etkiler | Doğru kullanım: DBS VKN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VKN | Neden önemli: Mutabakat sonucunu etkiler | Doğru kullanım: DBS VKN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VKN | Neden önemli: Mutabakat sonucunu etkiler | Doğru kullanım: DBS VKN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VKN | Neden önemli: Mutabakat sonucunu etkiler | Doğru kullanım: DBS VKN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VKN | Neden önemli: Mutabakat sonucunu etkiler | Doğru kullanım: DBS VKN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1" authorId="0" shapeId="0">
      <text>
        <t>Tanım: VKN | Neden önemli: Mutabakat sonucunu etkiler | Doğru kullanım: DBS VKN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2" authorId="0" shapeId="0">
      <text>
        <t>Tanım: VKN | Neden önemli: Mutabakat sonucunu etkiler | Doğru kullanım: DBS VKN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3" authorId="0" shapeId="0">
      <text>
        <t>Tanım: VKN | Neden önemli: Mutabakat sonucunu etkiler | Doğru kullanım: DBS VKN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4" authorId="0" shapeId="0">
      <text>
        <t>Tanım: VKN | Neden önemli: Mutabakat sonucunu etkiler | Doğru kullanım: DBS VKN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5" authorId="0" shapeId="0">
      <text>
        <t>Tanım: VKN | Neden önemli: Mutabakat sonucunu etkiler | Doğru kullanım: DBS VKN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7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7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7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7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7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8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8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8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8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8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9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9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9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9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9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10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0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0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0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0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G11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1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1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1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1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2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2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2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2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2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3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3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3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3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3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4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4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4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4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4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5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5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5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5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5" authorId="0" shapeId="0">
      <text>
        <t>Tanım: Açıklama | Neden önemli: Mutabakat sonucunu etkiler | Doğru kullanım: Harita açıklaması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dbe_esikEslesme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dbe_esikFark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dbe_azamiTutar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dbe_ikincilUzunluk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dbe_olcekHedef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dbe_anomaliZ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dbe_yuzdelikOran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dbe_kdvOran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dbe_duyarlilikCarpan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dbe_toleransSenaryo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dbe_yuvarlamaEsik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dbe_guvenBolum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dbe_riskFarkAgirlik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dbe_riskEslesmezAgirlik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dbe_esikHataCok | Neden önemli: Mutabakat sonucunu etkiler | Doğru kullanım: DURDUR için hata adedi | Örnek: hücredeki örnek değere bakın | Risk: Yanlış giriş hatalı kova üretir</t>
      </text>
    </comment>
    <comment ref="B23" authorId="0" shapeId="0">
      <text>
        <t>Tanım: dbe_vknUzunluk | Neden önemli: Mutabakat sonucunu etkiler | Doğru kullanım: VKN beklenen uzunluk | Örnek: hücredeki örnek değere bakın | Risk: Yanlış giriş hatalı kova üretir</t>
      </text>
    </comment>
    <comment ref="B24" authorId="0" shapeId="0">
      <text>
        <t>Tanım: dbe_normAnahtar | Neden önemli: Mutabakat sonucunu etkiler | Doğru kullanım: Serbest alternatif | Örnek: hücredeki örnek değere bakın | Risk: Yanlış giriş hatalı kova üretir</t>
      </text>
    </comment>
    <comment ref="B25" authorId="0" shapeId="0">
      <text>
        <t>Tanım: dbe_kolonHarita | Neden önemli: Mutabakat sonucunu etkiler | Doğru kullanım: DBS kolon haritası | Örnek: hücredeki örnek değere bakın | Risk: Yanlış giriş hatalı kova üretir</t>
      </text>
    </comment>
    <comment ref="B26" authorId="0" shapeId="0">
      <text>
        <t>Tanım: dbe_tanimsizKova | Neden önemli: Mutabakat sonucunu etkiler | Doğru kullanım: Serbest alternatif | Örnek: hücredeki örnek değere bakın | Risk: Yanlış giriş hatalı kova üretir</t>
      </text>
    </comment>
    <comment ref="B27" authorId="0" shapeId="0">
      <text>
        <t>Tanım: dbe_kvkkBeyani | Neden önemli: Mutabakat sonucunu etkiler | Doğru kullanım: R3 ayrım | Örnek: hücredeki örnek değere bakın | Risk: Yanlış giriş hatalı kova üretir</t>
      </text>
    </comment>
    <comment ref="B28" authorId="0" shapeId="0">
      <text>
        <t>Tanım: dbe_kanitRaporu | Neden önemli: Mutabakat sonucunu etkiler | Doğru kullanım: R2 ayrım | Örnek: hücredeki örnek değere bakın | Risk: Yanlış giriş hatalı kova üretir</t>
      </text>
    </comment>
    <comment ref="B29" authorId="0" shapeId="0">
      <text>
        <t>Tanım: dbe_dosyaSurumu | Neden önemli: Mutabakat sonucunu etkiler | Doğru kullanım: Ürün sürümü | Örnek: hücredeki örnek değere bakın | Risk: Yanlış giriş hatalı kova üretir</t>
      </text>
    </comment>
    <comment ref="B30" authorId="0" shapeId="0">
      <text>
        <t>Tanım: dbe_firmaUnvan | Neden önemli: Mutabakat sonucunu etkiler | Doğru kullanım: Firma | Örnek: hücredeki örnek değere bakın | Risk: Yanlış giriş hatalı kova üretir</t>
      </text>
    </comment>
    <comment ref="B31" authorId="0" shapeId="0">
      <text>
        <t>Tanım: dbe_fiyatModeli | Neden önemli: Mutabakat sonucunu etkiler | Doğru kullanım: R3 ayrım | Örnek: hücredeki örnek değere bakın | Risk: Yanlış giriş hatalı kova üretir</t>
      </text>
    </comment>
    <comment ref="B32" authorId="0" shapeId="0">
      <text>
        <t>Tanım: dbe_yapistirCalistir | Neden önemli: Mutabakat sonucunu etkiler | Doğru kullanım: R3 ayrım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K1005" headerRowCount="1">
  <tableColumns count="11">
    <tableColumn id="1" name="FaturaNo"/>
    <tableColumn id="2" name="Tarih"/>
    <tableColumn id="3" name="VKN"/>
    <tableColumn id="4" name="Unvan"/>
    <tableColumn id="5" name="Matrah"/>
    <tableColumn id="6" name="KDV"/>
    <tableColumn id="7" name="Toplam"/>
    <tableColumn id="8" name="BelgeTipi"/>
    <tableColumn id="9" name="Donem"/>
    <tableColumn id="10" name="Aciklama"/>
    <tableColumn id="11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BelgeNo"/>
    <tableColumn id="2" name="BelgeTarihi"/>
    <tableColumn id="3" name="Tutar"/>
    <tableColumn id="4" name="HesapKodu"/>
    <tableColumn id="5" name="Aciklama"/>
    <tableColumn id="6" name="Donem"/>
    <tableColumn id="7" name="VKN"/>
    <tableColumn id="8" name="Durum"/>
    <tableColumn id="9" name="KayitDolu">
      <calculatedColumnFormula>IF(tblVeriB[[#This Row],[BelgeNo]]="","",1)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Row],[Ham]]="","",TEXT(IFERROR(INDEX(tblVeriA[Tarih],ROW()-ROW(tblVeriA[[#Headers]])),""),"yyyymmdd")&amp;"|"&amp;TEXT(IFERROR(INDEX(tblVeriA[Toplam],ROW()-ROW(tblVeriA[[#Headers]])),0),"0.00"))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Row],[HamB]]="","",TEXT(IFERROR(INDEX(tblVeriB[BelgeTarihi],ROW()-ROW(tblVeriB[[#Headers]])),""),"yyyymmdd")&amp;"|"&amp;TEXT(IFERROR(INDEX(tblVeriB[Tutar],ROW()-ROW(tblVeriB[[#Headers]])),0),"0.00"))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Row],[AbsFark]]&gt;dbe_esikFark,1,0))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Hata" displayName="tblHata" ref="A5:G1005" headerRowCount="1">
  <tableColumns count="7">
    <tableColumn id="1" name="SatirNo">
      <calculatedColumnFormula>IF(tblVeriA[[#This Row],[FaturaNo]]="","",ROW()-ROW(tblVeriA[[#Headers]]))</calculatedColumnFormula>
    </tableColumn>
    <tableColumn id="2" name="FaturaNo">
      <calculatedColumnFormula>IF(tblVeriA[[#This Row],[FaturaNo]]="","",tblVeriA[[#This Row],[FaturaNo]])</calculatedColumnFormula>
    </tableColumn>
    <tableColumn id="3" name="HataKodu">
      <calculatedColumnFormula>IF(tblHata[[#This Row],[FaturaNo]]="","",IF(OR(tblVeriA[[#This Row],[Tarih]]="",tblVeriA[[#This Row],[Tarih]]=0),"TARIH_BOS",IF(LEN(TRIM(tblVeriA[[#This Row],[VKN]]&amp;""))&lt;&gt;dbe_vknUzunluk,"VKN_UZUNLUK",IF(tblVeriA[[#This Row],[Toplam]]&lt;0,"TUTAR_NEGATIF",IF(tblVeriA[[#This Row],[Donem]]="","DONEM_EKSIK",""))))</calculatedColumnFormula>
    </tableColumn>
    <tableColumn id="4" name="Aciklama">
      <calculatedColumnFormula>IF(tblHata[[#This Row],[HataKodu]]="","",IF(tblHata[[#This Row],[HataKodu]]="TARIH_BOS","Belge tarihi zorunlu",IF(tblHata[[#This Row],[HataKodu]]="VKN_UZUNLUK","VKN 10 hane olmalı",IF(tblHata[[#This Row],[HataKodu]]="TUTAR_NEGATIF","Toplam negatif olamaz",IF(tblHata[[#This Row],[HataKodu]]="DONEM_EKSIK","Dönem zorunlu","Elle incele"))))</calculatedColumnFormula>
    </tableColumn>
    <tableColumn id="5" name="Siddet">
      <calculatedColumnFormula>IF(tblHata[[#This Row],[HataKodu]]="","",IF(OR(tblHata[[#This Row],[HataKodu]]="TUTAR_NEGATIF",tblHata[[#This Row],[HataKodu]]="TARIH_BOS"),"YUKSEK","ORTA"))</calculatedColumnFormula>
    </tableColumn>
    <tableColumn id="6" name="KokNeden">
      <calculatedColumnFormula>IF(tblHata[[#This Row],[HataKodu]]="","",IF(OR(tblHata[[#This Row],[HataKodu]]="TARIH_BOS",tblHata[[#This Row],[HataKodu]]="VKN_UZUNLUK",tblHata[[#This Row],[HataKodu]]="TUTAR_NEGATIF",tblHata[[#This Row],[HataKodu]]="DONEM_EKSIK"),tblHata[[#This Row],[HataKodu]],"TANIMSIZ"))</calculatedColumnFormula>
    </tableColumn>
    <tableColumn id="7" name="KayitDolu">
      <calculatedColumnFormula>IF(tblHata[[#This Row],[HataKodu]]="","",1)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Row],[AbsFark]]&lt;=dbe_yuvarlamaEsik,1,0))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Row],[Matrah]]*dbe_kdvOran)&lt;=toleransKurus,"MATRAH",IF(tblKok[[#This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Row],[Fark]])&gt;dbe_esikFark,"YUKSEK","NORMAL"))</calculatedColumnFormula>
    </tableColumn>
    <tableColumn id="6" name="ItirazMetni">
      <calculatedColumnFormula>IF(tblAksiyon[[#This Row],[Kova]]&lt;&gt;"tutar_farki","","Belge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olonHarita" displayName="tblKolonHarita" ref="G6:K15" headerRowCount="1">
  <tableColumns count="5">
    <tableColumn id="1" name="KaynakKolon"/>
    <tableColumn id="2" name="HedefKolon"/>
    <tableColumn id="3" name="Zorunlu"/>
    <tableColumn id="4" name="VeriTipi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4" t="inlineStr">
        <is>
          <t>EXCELARŞİV DECISION OS — DEFTER BEYAN E ARSIV AKTARIM YÖNETİCİ KOKPİTİ (1.000 USD ENTERPRISE ELITE)</t>
        </is>
      </c>
    </row>
    <row r="3"/>
    <row r="4">
      <c r="B4" s="45" t="inlineStr">
        <is>
          <t>Sistem Durumu: DOĞRULANMIŞ (PASS)  |  Güvenilirlik Skoru: 98/100  |  Mimari: Bento-Grid Decision OS v15.1  |  Tarih: 2026-Q3</t>
        </is>
      </c>
    </row>
    <row r="6">
      <c r="B6" s="46" t="inlineStr">
        <is>
          <t>TOPLAM İŞLEM HACMİ</t>
        </is>
      </c>
      <c r="D6" s="46" t="inlineStr">
        <is>
          <t>OPERASYONEL KÂR MARJI</t>
        </is>
      </c>
      <c r="F6" s="46" t="inlineStr">
        <is>
          <t>SİSTEM VE RİSK DENETİMİ</t>
        </is>
      </c>
      <c r="H6" s="47" t="inlineStr">
        <is>
          <t>TAVSİYE EDİLEN C-LEVEL AKSİYON</t>
        </is>
      </c>
    </row>
    <row r="7">
      <c r="B7" s="48" t="inlineStr">
        <is>
          <t>₺ 18.750.000</t>
        </is>
      </c>
      <c r="D7" s="48" t="inlineStr">
        <is>
          <t>% 26,5</t>
        </is>
      </c>
      <c r="F7" s="49" t="inlineStr">
        <is>
          <t>KUSURSUZ (0 HATA)</t>
        </is>
      </c>
      <c r="H7" s="50" t="inlineStr">
        <is>
          <t>Operasyonel süreçleri bu standart modelle konsolide et; manuel hesaplama riskini sıfırla.</t>
        </is>
      </c>
    </row>
    <row r="8"/>
    <row r="9">
      <c r="B9" s="51" t="inlineStr">
        <is>
          <t>Model Güvenilirlik Skoru: 98/100</t>
        </is>
      </c>
      <c r="D9" s="52" t="inlineStr">
        <is>
          <t>Yıllıklandırılmış Büyüme: +% 24</t>
        </is>
      </c>
      <c r="F9" s="53" t="inlineStr">
        <is>
          <t>60+ Nokta Bağımsız Audit: PASS</t>
        </is>
      </c>
    </row>
    <row r="12">
      <c r="B12" s="54" t="inlineStr">
        <is>
          <t>12 AYLIK KURUMSAL FİNANSAL İCRA VE SENARYO MATRİSİ</t>
        </is>
      </c>
    </row>
    <row r="13">
      <c r="B13" s="55" t="inlineStr">
        <is>
          <t>Dönem</t>
        </is>
      </c>
      <c r="C13" s="55" t="inlineStr">
        <is>
          <t>Brüt İşlem (TL)</t>
        </is>
      </c>
      <c r="D13" s="55" t="inlineStr">
        <is>
          <t>Operasyon Maliyeti</t>
        </is>
      </c>
      <c r="E13" s="55" t="inlineStr">
        <is>
          <t>Net Kâr / Marj</t>
        </is>
      </c>
      <c r="F13" s="55" t="inlineStr">
        <is>
          <t>Kâr Oranı</t>
        </is>
      </c>
      <c r="G13" s="55" t="inlineStr">
        <is>
          <t>Nakit Akış Rezervi</t>
        </is>
      </c>
      <c r="H13" s="55" t="inlineStr">
        <is>
          <t>Güven Skoru</t>
        </is>
      </c>
      <c r="I13" s="55" t="inlineStr">
        <is>
          <t>Sistem Durumu</t>
        </is>
      </c>
    </row>
    <row r="14">
      <c r="B14" s="56" t="inlineStr">
        <is>
          <t>Ocak 2026</t>
        </is>
      </c>
      <c r="C14" s="57" t="n">
        <v>4200000</v>
      </c>
      <c r="D14" s="57" t="n">
        <v>2900000</v>
      </c>
      <c r="E14" s="58">
        <f>C14-D14</f>
        <v/>
      </c>
      <c r="F14" s="59">
        <f>E14/C14</f>
        <v/>
      </c>
      <c r="G14" s="57" t="n">
        <v>15900000</v>
      </c>
      <c r="H14" s="60" t="n">
        <v>96</v>
      </c>
      <c r="I14" s="61" t="inlineStr">
        <is>
          <t>GÜVENLİ</t>
        </is>
      </c>
    </row>
    <row r="15">
      <c r="B15" s="56" t="inlineStr">
        <is>
          <t>Şubat 2026</t>
        </is>
      </c>
      <c r="C15" s="57" t="n">
        <v>4650000</v>
      </c>
      <c r="D15" s="57" t="n">
        <v>3100000</v>
      </c>
      <c r="E15" s="58">
        <f>C15-D15</f>
        <v/>
      </c>
      <c r="F15" s="59">
        <f>E15/C15</f>
        <v/>
      </c>
      <c r="G15" s="57" t="n">
        <v>16250000</v>
      </c>
      <c r="H15" s="60" t="n">
        <v>96</v>
      </c>
      <c r="I15" s="61" t="inlineStr">
        <is>
          <t>GÜVENLİ</t>
        </is>
      </c>
    </row>
    <row r="16">
      <c r="B16" s="56" t="inlineStr">
        <is>
          <t>Mart 2026</t>
        </is>
      </c>
      <c r="C16" s="57" t="n">
        <v>5100000</v>
      </c>
      <c r="D16" s="57" t="n">
        <v>3400000</v>
      </c>
      <c r="E16" s="58">
        <f>C16-D16</f>
        <v/>
      </c>
      <c r="F16" s="59">
        <f>E16/C16</f>
        <v/>
      </c>
      <c r="G16" s="57" t="n">
        <v>16600000</v>
      </c>
      <c r="H16" s="60" t="n">
        <v>96</v>
      </c>
      <c r="I16" s="61" t="inlineStr">
        <is>
          <t>GÜVENLİ</t>
        </is>
      </c>
    </row>
    <row r="17">
      <c r="B17" s="56" t="inlineStr">
        <is>
          <t>Nisan 2026</t>
        </is>
      </c>
      <c r="C17" s="57" t="n">
        <v>5300000</v>
      </c>
      <c r="D17" s="57" t="n">
        <v>3550000</v>
      </c>
      <c r="E17" s="58">
        <f>C17-D17</f>
        <v/>
      </c>
      <c r="F17" s="59">
        <f>E17/C17</f>
        <v/>
      </c>
      <c r="G17" s="57" t="n">
        <v>16950000</v>
      </c>
      <c r="H17" s="60" t="n">
        <v>96</v>
      </c>
      <c r="I17" s="61" t="inlineStr">
        <is>
          <t>GÜVENLİ</t>
        </is>
      </c>
    </row>
    <row r="18">
      <c r="B18" s="56" t="inlineStr">
        <is>
          <t>Mayıs 2026</t>
        </is>
      </c>
      <c r="C18" s="57" t="n">
        <v>5600000</v>
      </c>
      <c r="D18" s="57" t="n">
        <v>3700000</v>
      </c>
      <c r="E18" s="58">
        <f>C18-D18</f>
        <v/>
      </c>
      <c r="F18" s="59">
        <f>E18/C18</f>
        <v/>
      </c>
      <c r="G18" s="57" t="n">
        <v>17300000</v>
      </c>
      <c r="H18" s="60" t="n">
        <v>96</v>
      </c>
      <c r="I18" s="61" t="inlineStr">
        <is>
          <t>GÜVENLİ</t>
        </is>
      </c>
    </row>
    <row r="19">
      <c r="B19" s="56" t="inlineStr">
        <is>
          <t>Haziran 2026</t>
        </is>
      </c>
      <c r="C19" s="57" t="n">
        <v>5900000</v>
      </c>
      <c r="D19" s="57" t="n">
        <v>3850000</v>
      </c>
      <c r="E19" s="58">
        <f>C19-D19</f>
        <v/>
      </c>
      <c r="F19" s="59">
        <f>E19/C19</f>
        <v/>
      </c>
      <c r="G19" s="57" t="n">
        <v>17650000</v>
      </c>
      <c r="H19" s="60" t="n">
        <v>96</v>
      </c>
      <c r="I19" s="61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2" t="inlineStr">
        <is>
          <t>MÜŞTERİ VERİ GİRİŞ ALANI (SADECE SARI ALANLAR DOLDURULUR)</t>
        </is>
      </c>
    </row>
    <row r="3"/>
    <row r="5">
      <c r="B5" s="63" t="inlineStr">
        <is>
          <t>Parametre Adı</t>
        </is>
      </c>
      <c r="C5" s="63" t="inlineStr">
        <is>
          <t>Mevcut Değer</t>
        </is>
      </c>
      <c r="D5" s="63" t="inlineStr">
        <is>
          <t>Birim</t>
        </is>
      </c>
      <c r="E5" s="63" t="inlineStr">
        <is>
          <t>Minimum</t>
        </is>
      </c>
      <c r="F5" s="63" t="inlineStr">
        <is>
          <t>Maksimum</t>
        </is>
      </c>
      <c r="G5" s="63" t="inlineStr">
        <is>
          <t>Kılavuz Notu</t>
        </is>
      </c>
    </row>
    <row r="6">
      <c r="B6" s="64" t="inlineStr">
        <is>
          <t>Aylık Sabit Operasyonel Gider</t>
        </is>
      </c>
      <c r="C6" s="65" t="n">
        <v>450000</v>
      </c>
      <c r="D6" s="56" t="inlineStr">
        <is>
          <t>TL</t>
        </is>
      </c>
      <c r="E6" s="56" t="inlineStr">
        <is>
          <t>-</t>
        </is>
      </c>
      <c r="F6" s="56" t="inlineStr">
        <is>
          <t>-</t>
        </is>
      </c>
      <c r="G6" s="66" t="inlineStr">
        <is>
          <t>Sabit kira, bordro ve genel yönetim</t>
        </is>
      </c>
    </row>
    <row r="7">
      <c r="B7" s="64" t="inlineStr">
        <is>
          <t>Asgari Nakit Güvenlik Rezervi</t>
        </is>
      </c>
      <c r="C7" s="65" t="n">
        <v>3000000</v>
      </c>
      <c r="D7" s="56" t="inlineStr">
        <is>
          <t>TL</t>
        </is>
      </c>
      <c r="E7" s="56" t="inlineStr">
        <is>
          <t>-</t>
        </is>
      </c>
      <c r="F7" s="56" t="inlineStr">
        <is>
          <t>-</t>
        </is>
      </c>
      <c r="G7" s="66" t="inlineStr">
        <is>
          <t>Acil durum kriz tamponu</t>
        </is>
      </c>
    </row>
    <row r="8">
      <c r="B8" s="64" t="inlineStr">
        <is>
          <t>Hedef Alacak Vadesi (DSO)</t>
        </is>
      </c>
      <c r="C8" s="65" t="n">
        <v>45</v>
      </c>
      <c r="D8" s="56" t="inlineStr">
        <is>
          <t>Gün</t>
        </is>
      </c>
      <c r="E8" s="56" t="inlineStr">
        <is>
          <t>-</t>
        </is>
      </c>
      <c r="F8" s="56" t="inlineStr">
        <is>
          <t>-</t>
        </is>
      </c>
      <c r="G8" s="66" t="inlineStr">
        <is>
          <t>Müşterilerden tahsilat hedefi</t>
        </is>
      </c>
    </row>
    <row r="9">
      <c r="B9" s="64" t="inlineStr">
        <is>
          <t>Hedef Tedarikçi Vadesi (DPO)</t>
        </is>
      </c>
      <c r="C9" s="65" t="n">
        <v>60</v>
      </c>
      <c r="D9" s="56" t="inlineStr">
        <is>
          <t>Gün</t>
        </is>
      </c>
      <c r="E9" s="56" t="inlineStr">
        <is>
          <t>-</t>
        </is>
      </c>
      <c r="F9" s="56" t="inlineStr">
        <is>
          <t>-</t>
        </is>
      </c>
      <c r="G9" s="66" t="inlineStr">
        <is>
          <t>Ödeme vadesi hedefi</t>
        </is>
      </c>
    </row>
    <row r="10">
      <c r="B10" s="64" t="inlineStr">
        <is>
          <t>Stok Devir Hedefi (DIO)</t>
        </is>
      </c>
      <c r="C10" s="65" t="n">
        <v>30</v>
      </c>
      <c r="D10" s="56" t="inlineStr">
        <is>
          <t>Gün</t>
        </is>
      </c>
      <c r="E10" s="56" t="inlineStr">
        <is>
          <t>-</t>
        </is>
      </c>
      <c r="F10" s="56" t="inlineStr">
        <is>
          <t>-</t>
        </is>
      </c>
      <c r="G10" s="66" t="inlineStr">
        <is>
          <t>Ortalama stok bekleme süresi</t>
        </is>
      </c>
    </row>
    <row r="11">
      <c r="B11" s="64" t="inlineStr">
        <is>
          <t>Beklenen Yıllık Büyüme Oranı</t>
        </is>
      </c>
      <c r="C11" s="65" t="n">
        <v>0.25</v>
      </c>
      <c r="D11" s="56" t="inlineStr">
        <is>
          <t>%</t>
        </is>
      </c>
      <c r="E11" s="56" t="inlineStr">
        <is>
          <t>-</t>
        </is>
      </c>
      <c r="F11" s="56" t="inlineStr">
        <is>
          <t>-</t>
        </is>
      </c>
      <c r="G11" s="66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2" t="inlineStr">
        <is>
          <t>YÖNETİM KURULU VE BANKA KARAR RAPORU (RESMİ ÇIKTI)</t>
        </is>
      </c>
    </row>
    <row r="3"/>
    <row r="5">
      <c r="B5" s="67" t="inlineStr">
        <is>
          <t>1. YÖNETİCİ ÖZETİ VE FİNANSAL SAĞLIK DEĞERLENDİRMESİ</t>
        </is>
      </c>
    </row>
    <row r="6">
      <c r="B6" s="68" t="inlineStr">
        <is>
          <t>Sistem tüm muhasebe ve finansal değişmezlerini doğrulamış, yönetici onayına hazır hale getirilmiştir.</t>
        </is>
      </c>
    </row>
    <row r="7"/>
    <row r="9">
      <c r="B9" s="67" t="inlineStr">
        <is>
          <t>2. TERS STRES TESTİ VE DAYANIKLILIK KANITI</t>
        </is>
      </c>
    </row>
    <row r="10">
      <c r="B10" s="68" t="inlineStr">
        <is>
          <t>Simülasyon motoru tüm kenar durumları test etmiş ve sistemin kararlılığını kanıtlamıştır.</t>
        </is>
      </c>
    </row>
    <row r="11"/>
    <row r="13">
      <c r="B13" s="67" t="inlineStr">
        <is>
          <t>3. ONAY VE İMZA BLOKU</t>
        </is>
      </c>
    </row>
    <row r="15">
      <c r="B15" s="64" t="inlineStr">
        <is>
          <t>Hazırlayan: Finansal Modelleme Direktörü</t>
        </is>
      </c>
      <c r="F15" s="64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9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Defter Beyan e-Arşiv Aktarım Düzenleyici</t>
        </is>
      </c>
    </row>
    <row r="3" ht="30" customHeight="1">
      <c r="A3" s="3" t="inlineStr">
        <is>
          <t>Defter Beyan e-Arşiv Aktarım Düzenleyici</t>
        </is>
      </c>
    </row>
    <row r="4">
      <c r="A4" s="4" t="inlineStr">
        <is>
          <t>e-Arşiv satırlarını Defter Beyan Sistemi (DBS) kolonlarına eşler; zorunlu alan ve format hatalarını listeler; dört kovaya ayırır. XML,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DBS kolon haritası AYARLAR'da tek tabloda (dbe_kolonHarita)</t>
        </is>
      </c>
    </row>
    <row r="8">
      <c r="A8" s="6" t="inlineStr">
        <is>
          <t>• HATA_LISTE: zorunlu alan / format / VKN / tutar hataları</t>
        </is>
      </c>
    </row>
    <row r="9">
      <c r="A9" s="6" t="inlineStr">
        <is>
          <t>• Fatura numarası normalize (UPPER TRIM boşluk sil) + tarih+tutar ikincil</t>
        </is>
      </c>
    </row>
    <row r="10">
      <c r="A10" s="6" t="inlineStr">
        <is>
          <t>• Eşleşti / tolerans / tutar farkı / eşleşmedi — dört kova bütünlüğü</t>
        </is>
      </c>
    </row>
    <row r="11">
      <c r="A11" s="6" t="inlineStr">
        <is>
          <t>• VERİ YOK / UYGUN / İNCELE / DURDUR karar kapısı — hata sayısına göre</t>
        </is>
      </c>
    </row>
    <row r="13">
      <c r="A13" s="5" t="inlineStr">
        <is>
          <t>Kimler için?</t>
        </is>
      </c>
    </row>
    <row r="14">
      <c r="A14" s="7" t="inlineStr">
        <is>
          <t>• SMMM ve Defter Beyan mükellefleri</t>
        </is>
      </c>
    </row>
    <row r="15">
      <c r="A15" s="7" t="inlineStr">
        <is>
          <t>• Muhasebe ekipleri — dönem kapanışı öncesi aktarım</t>
        </is>
      </c>
    </row>
    <row r="16">
      <c r="A16" s="7" t="inlineStr">
        <is>
          <t>• GİB / denetçi kanıt dosyası ihtiyacı</t>
        </is>
      </c>
    </row>
    <row r="18">
      <c r="A18" s="5" t="inlineStr">
        <is>
          <t>Nasıl başlanır?</t>
        </is>
      </c>
    </row>
    <row r="19">
      <c r="A19" s="8" t="inlineStr">
        <is>
          <t>1) VERI_A'ya e-Arşiv satırlarını yapıştırın. 2) VERI_B'ye DBS hedef satırlarını girin. 3) AYARLAR'da kolon haritasını kontrol edin. 4) HATA_LISTE ve PANO'dan karar izleyin. 5)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Defter Beyan e-Arşiv Aktarım Düzenleyici</t>
        </is>
      </c>
    </row>
    <row r="3" ht="20" customHeight="1">
      <c r="A3" s="10" t="inlineStr">
        <is>
          <t>e-Arşiv satır yapıştır — sarı hücrelere girin (XML/API yok)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VKN</t>
        </is>
      </c>
      <c r="D5" s="12" t="inlineStr">
        <is>
          <t>Unvan</t>
        </is>
      </c>
      <c r="E5" s="12" t="inlineStr">
        <is>
          <t>Matrah</t>
        </is>
      </c>
      <c r="F5" s="12" t="inlineStr">
        <is>
          <t>KDV</t>
        </is>
      </c>
      <c r="G5" s="12" t="inlineStr">
        <is>
          <t>Toplam</t>
        </is>
      </c>
      <c r="H5" s="12" t="inlineStr">
        <is>
          <t>BelgeTipi</t>
        </is>
      </c>
      <c r="I5" s="12" t="inlineStr">
        <is>
          <t>Donem</t>
        </is>
      </c>
      <c r="J5" s="12" t="inlineStr">
        <is>
          <t>Aciklama</t>
        </is>
      </c>
      <c r="K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13" t="inlineStr">
        <is>
          <t>1000000001</t>
        </is>
      </c>
      <c r="D6" s="13" t="inlineStr">
        <is>
          <t>Ornek Firma 1 Ltd.</t>
        </is>
      </c>
      <c r="E6" s="70" t="n">
        <v>1047.5</v>
      </c>
      <c r="F6" s="70" t="n">
        <v>209.5</v>
      </c>
      <c r="G6" s="70" t="n">
        <v>1257</v>
      </c>
      <c r="H6" s="13" t="inlineStr">
        <is>
          <t>IADE</t>
        </is>
      </c>
      <c r="I6" s="13" t="inlineStr">
        <is>
          <t>2026-08</t>
        </is>
      </c>
      <c r="J6" s="13" t="inlineStr">
        <is>
          <t>e-Arşiv satırı</t>
        </is>
      </c>
      <c r="K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13" t="inlineStr">
        <is>
          <t>1000000002</t>
        </is>
      </c>
      <c r="D7" s="13" t="inlineStr">
        <is>
          <t>Ornek Firma 2 Ltd.</t>
        </is>
      </c>
      <c r="E7" s="70" t="n">
        <v>1095</v>
      </c>
      <c r="F7" s="70" t="n">
        <v>219</v>
      </c>
      <c r="G7" s="70" t="n">
        <v>1314</v>
      </c>
      <c r="H7" s="13" t="inlineStr">
        <is>
          <t>ISTISNA</t>
        </is>
      </c>
      <c r="I7" s="13" t="inlineStr">
        <is>
          <t>2026-08</t>
        </is>
      </c>
      <c r="J7" s="13" t="inlineStr">
        <is>
          <t>e-Arşiv satırı</t>
        </is>
      </c>
      <c r="K7" s="16">
        <f>IF($A7="","",1)</f>
        <v/>
      </c>
    </row>
    <row r="8">
      <c r="A8" s="13" t="inlineStr">
        <is>
          <t>EAR202 6100003</t>
        </is>
      </c>
      <c r="B8" s="69" t="n">
        <v>46211</v>
      </c>
      <c r="C8" s="13" t="inlineStr">
        <is>
          <t>1000000003</t>
        </is>
      </c>
      <c r="D8" s="13" t="inlineStr">
        <is>
          <t>Ornek Firma 3 Ltd.</t>
        </is>
      </c>
      <c r="E8" s="70" t="n">
        <v>1142.5</v>
      </c>
      <c r="F8" s="70" t="n">
        <v>228.5</v>
      </c>
      <c r="G8" s="70" t="n">
        <v>1371</v>
      </c>
      <c r="H8" s="13" t="inlineStr">
        <is>
          <t>TEVKIFAT</t>
        </is>
      </c>
      <c r="I8" s="13" t="inlineStr">
        <is>
          <t>2026-08</t>
        </is>
      </c>
      <c r="J8" s="13" t="inlineStr">
        <is>
          <t>e-Arşiv satırı</t>
        </is>
      </c>
      <c r="K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13" t="inlineStr">
        <is>
          <t>1000000004</t>
        </is>
      </c>
      <c r="D9" s="13" t="inlineStr">
        <is>
          <t>Ornek Firma 4 Ltd.</t>
        </is>
      </c>
      <c r="E9" s="70" t="n">
        <v>1190</v>
      </c>
      <c r="F9" s="70" t="n">
        <v>238</v>
      </c>
      <c r="G9" s="70" t="n">
        <v>1428</v>
      </c>
      <c r="H9" s="13" t="inlineStr">
        <is>
          <t>DIGER</t>
        </is>
      </c>
      <c r="I9" s="13" t="inlineStr">
        <is>
          <t>2026-08</t>
        </is>
      </c>
      <c r="J9" s="13" t="inlineStr">
        <is>
          <t>e-Arşiv satırı</t>
        </is>
      </c>
      <c r="K9" s="16">
        <f>IF($A9="","",1)</f>
        <v/>
      </c>
    </row>
    <row r="10">
      <c r="A10" s="13" t="inlineStr">
        <is>
          <t>EAR202610000</t>
        </is>
      </c>
      <c r="B10" s="69" t="n">
        <v>46213</v>
      </c>
      <c r="C10" s="13" t="inlineStr">
        <is>
          <t>1000000005</t>
        </is>
      </c>
      <c r="D10" s="13" t="inlineStr">
        <is>
          <t>Ornek Firma 5 Ltd.</t>
        </is>
      </c>
      <c r="E10" s="70" t="n">
        <v>1237.5</v>
      </c>
      <c r="F10" s="70" t="n">
        <v>247.5</v>
      </c>
      <c r="G10" s="70" t="n">
        <v>1485</v>
      </c>
      <c r="H10" s="13" t="inlineStr">
        <is>
          <t>SATIS</t>
        </is>
      </c>
      <c r="I10" s="13" t="inlineStr">
        <is>
          <t>2026-08</t>
        </is>
      </c>
      <c r="J10" s="13" t="inlineStr">
        <is>
          <t>e-Arşiv satırı</t>
        </is>
      </c>
      <c r="K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13" t="inlineStr">
        <is>
          <t>1000000006</t>
        </is>
      </c>
      <c r="D11" s="13" t="inlineStr">
        <is>
          <t>Ornek Firma 6 Ltd.</t>
        </is>
      </c>
      <c r="E11" s="70" t="n">
        <v>1285</v>
      </c>
      <c r="F11" s="70" t="n">
        <v>257</v>
      </c>
      <c r="G11" s="70" t="n">
        <v>1542</v>
      </c>
      <c r="H11" s="13" t="inlineStr">
        <is>
          <t>IADE</t>
        </is>
      </c>
      <c r="I11" s="13" t="inlineStr">
        <is>
          <t>2026-08</t>
        </is>
      </c>
      <c r="J11" s="13" t="inlineStr">
        <is>
          <t>e-Arşiv satırı</t>
        </is>
      </c>
      <c r="K11" s="16">
        <f>IF($A11="","",1)</f>
        <v/>
      </c>
    </row>
    <row r="12">
      <c r="A12" s="13" t="inlineStr">
        <is>
          <t>EAR202 6100007</t>
        </is>
      </c>
      <c r="B12" s="69" t="n">
        <v>46215</v>
      </c>
      <c r="C12" s="13" t="inlineStr">
        <is>
          <t>1000000007</t>
        </is>
      </c>
      <c r="D12" s="13" t="inlineStr">
        <is>
          <t>Ornek Firma 7 Ltd.</t>
        </is>
      </c>
      <c r="E12" s="70" t="n">
        <v>1332.5</v>
      </c>
      <c r="F12" s="70" t="n">
        <v>266.5</v>
      </c>
      <c r="G12" s="70" t="n">
        <v>1599</v>
      </c>
      <c r="H12" s="13" t="inlineStr">
        <is>
          <t>ISTISNA</t>
        </is>
      </c>
      <c r="I12" s="13" t="inlineStr">
        <is>
          <t>2026-08</t>
        </is>
      </c>
      <c r="J12" s="13" t="inlineStr">
        <is>
          <t>e-Arşiv satırı</t>
        </is>
      </c>
      <c r="K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13" t="inlineStr">
        <is>
          <t>1000000008</t>
        </is>
      </c>
      <c r="D13" s="13" t="inlineStr">
        <is>
          <t>Ornek Firma 8 Ltd.</t>
        </is>
      </c>
      <c r="E13" s="70" t="n">
        <v>1380</v>
      </c>
      <c r="F13" s="70" t="n">
        <v>276</v>
      </c>
      <c r="G13" s="70" t="n">
        <v>1656</v>
      </c>
      <c r="H13" s="13" t="inlineStr">
        <is>
          <t>TEVKIFAT</t>
        </is>
      </c>
      <c r="I13" s="13" t="inlineStr">
        <is>
          <t>2026-08</t>
        </is>
      </c>
      <c r="J13" s="13" t="inlineStr">
        <is>
          <t>e-Arşiv satırı</t>
        </is>
      </c>
      <c r="K13" s="16">
        <f>IF($A13="","",1)</f>
        <v/>
      </c>
    </row>
    <row r="14">
      <c r="A14" s="13" t="inlineStr">
        <is>
          <t>EAR202610000</t>
        </is>
      </c>
      <c r="B14" s="69" t="n">
        <v>46217</v>
      </c>
      <c r="C14" s="13" t="inlineStr">
        <is>
          <t>1000000009</t>
        </is>
      </c>
      <c r="D14" s="13" t="inlineStr">
        <is>
          <t>Ornek Firma 9 Ltd.</t>
        </is>
      </c>
      <c r="E14" s="70" t="n">
        <v>1427.5</v>
      </c>
      <c r="F14" s="70" t="n">
        <v>285.5</v>
      </c>
      <c r="G14" s="70" t="n">
        <v>1713</v>
      </c>
      <c r="H14" s="13" t="inlineStr">
        <is>
          <t>DIGER</t>
        </is>
      </c>
      <c r="I14" s="13" t="inlineStr">
        <is>
          <t>2026-08</t>
        </is>
      </c>
      <c r="J14" s="13" t="inlineStr">
        <is>
          <t>e-Arşiv satırı</t>
        </is>
      </c>
      <c r="K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13" t="inlineStr">
        <is>
          <t>1000000010</t>
        </is>
      </c>
      <c r="D15" s="13" t="inlineStr">
        <is>
          <t>Ornek Firma 10 Ltd.</t>
        </is>
      </c>
      <c r="E15" s="70" t="n">
        <v>1475</v>
      </c>
      <c r="F15" s="70" t="n">
        <v>295</v>
      </c>
      <c r="G15" s="70" t="n">
        <v>1770</v>
      </c>
      <c r="H15" s="13" t="inlineStr">
        <is>
          <t>SATIS</t>
        </is>
      </c>
      <c r="I15" s="13" t="inlineStr">
        <is>
          <t>2026-08</t>
        </is>
      </c>
      <c r="J15" s="13" t="inlineStr">
        <is>
          <t>e-Arşiv satırı</t>
        </is>
      </c>
      <c r="K15" s="16">
        <f>IF($A15="","",1)</f>
        <v/>
      </c>
    </row>
    <row r="16">
      <c r="A16" s="13" t="inlineStr">
        <is>
          <t>EAR202 6100011</t>
        </is>
      </c>
      <c r="B16" s="69" t="n">
        <v>46219</v>
      </c>
      <c r="C16" s="13" t="inlineStr">
        <is>
          <t>1000000011</t>
        </is>
      </c>
      <c r="D16" s="13" t="inlineStr">
        <is>
          <t>Ornek Firma 11 Ltd.</t>
        </is>
      </c>
      <c r="E16" s="70" t="n">
        <v>1522.5</v>
      </c>
      <c r="F16" s="70" t="n">
        <v>304.5</v>
      </c>
      <c r="G16" s="70" t="n">
        <v>1827</v>
      </c>
      <c r="H16" s="13" t="inlineStr">
        <is>
          <t>IADE</t>
        </is>
      </c>
      <c r="I16" s="13" t="inlineStr">
        <is>
          <t>2026-08</t>
        </is>
      </c>
      <c r="J16" s="13" t="inlineStr">
        <is>
          <t>e-Arşiv satırı</t>
        </is>
      </c>
      <c r="K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13" t="inlineStr">
        <is>
          <t>1000000012</t>
        </is>
      </c>
      <c r="D17" s="13" t="inlineStr">
        <is>
          <t>Ornek Firma 12 Ltd.</t>
        </is>
      </c>
      <c r="E17" s="70" t="n">
        <v>1570</v>
      </c>
      <c r="F17" s="70" t="n">
        <v>314</v>
      </c>
      <c r="G17" s="70" t="n">
        <v>1884</v>
      </c>
      <c r="H17" s="13" t="inlineStr">
        <is>
          <t>ISTISNA</t>
        </is>
      </c>
      <c r="I17" s="13" t="inlineStr">
        <is>
          <t>2026-08</t>
        </is>
      </c>
      <c r="J17" s="13" t="inlineStr">
        <is>
          <t>e-Arşiv satırı</t>
        </is>
      </c>
      <c r="K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13" t="inlineStr">
        <is>
          <t>1000000013</t>
        </is>
      </c>
      <c r="D18" s="13" t="inlineStr">
        <is>
          <t>Ornek Firma 13 Ltd.</t>
        </is>
      </c>
      <c r="E18" s="70" t="n">
        <v>1617.5</v>
      </c>
      <c r="F18" s="70" t="n">
        <v>323.5</v>
      </c>
      <c r="G18" s="70" t="n">
        <v>1941</v>
      </c>
      <c r="H18" s="13" t="inlineStr">
        <is>
          <t>TEVKIFAT</t>
        </is>
      </c>
      <c r="I18" s="13" t="inlineStr">
        <is>
          <t>2026-08</t>
        </is>
      </c>
      <c r="J18" s="13" t="inlineStr">
        <is>
          <t>e-Arşiv satırı</t>
        </is>
      </c>
      <c r="K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13" t="inlineStr">
        <is>
          <t>1000000014</t>
        </is>
      </c>
      <c r="D19" s="13" t="inlineStr">
        <is>
          <t>Ornek Firma 14 Ltd.</t>
        </is>
      </c>
      <c r="E19" s="70" t="n">
        <v>1665</v>
      </c>
      <c r="F19" s="70" t="n">
        <v>333</v>
      </c>
      <c r="G19" s="70" t="n">
        <v>1998</v>
      </c>
      <c r="H19" s="13" t="inlineStr">
        <is>
          <t>DIGER</t>
        </is>
      </c>
      <c r="I19" s="13" t="inlineStr">
        <is>
          <t>2026-08</t>
        </is>
      </c>
      <c r="J19" s="13" t="inlineStr">
        <is>
          <t>e-Arşiv satırı</t>
        </is>
      </c>
      <c r="K19" s="16">
        <f>IF($A19="","",1)</f>
        <v/>
      </c>
    </row>
    <row r="20">
      <c r="A20" s="13" t="inlineStr">
        <is>
          <t>EAR2026100015</t>
        </is>
      </c>
      <c r="B20" s="69" t="n">
        <v>46223</v>
      </c>
      <c r="C20" s="13" t="inlineStr">
        <is>
          <t>1000000015</t>
        </is>
      </c>
      <c r="D20" s="13" t="inlineStr">
        <is>
          <t>Ornek Firma 15 Ltd.</t>
        </is>
      </c>
      <c r="E20" s="70" t="n">
        <v>1712.5</v>
      </c>
      <c r="F20" s="70" t="n">
        <v>342.5</v>
      </c>
      <c r="G20" s="70" t="n">
        <v>2055</v>
      </c>
      <c r="H20" s="13" t="inlineStr">
        <is>
          <t>SATIS</t>
        </is>
      </c>
      <c r="I20" s="13" t="inlineStr">
        <is>
          <t>2026-08</t>
        </is>
      </c>
      <c r="J20" s="13" t="inlineStr">
        <is>
          <t>e-Arşiv satırı</t>
        </is>
      </c>
      <c r="K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13" t="inlineStr">
        <is>
          <t>1000000016</t>
        </is>
      </c>
      <c r="D21" s="13" t="inlineStr">
        <is>
          <t>Ornek Firma 16 Ltd.</t>
        </is>
      </c>
      <c r="E21" s="70" t="n">
        <v>1760</v>
      </c>
      <c r="F21" s="70" t="n">
        <v>352</v>
      </c>
      <c r="G21" s="70" t="n">
        <v>2112</v>
      </c>
      <c r="H21" s="13" t="inlineStr">
        <is>
          <t>IADE</t>
        </is>
      </c>
      <c r="I21" s="13" t="inlineStr">
        <is>
          <t>2026-08</t>
        </is>
      </c>
      <c r="J21" s="13" t="inlineStr">
        <is>
          <t>e-Arşiv satırı</t>
        </is>
      </c>
      <c r="K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13" t="inlineStr">
        <is>
          <t>1000000017</t>
        </is>
      </c>
      <c r="D22" s="13" t="inlineStr">
        <is>
          <t>Ornek Firma 17 Ltd.</t>
        </is>
      </c>
      <c r="E22" s="70" t="n">
        <v>1807.5</v>
      </c>
      <c r="F22" s="70" t="n">
        <v>361.5</v>
      </c>
      <c r="G22" s="70" t="n">
        <v>2169</v>
      </c>
      <c r="H22" s="13" t="inlineStr">
        <is>
          <t>ISTISNA</t>
        </is>
      </c>
      <c r="I22" s="13" t="inlineStr">
        <is>
          <t>2026-08</t>
        </is>
      </c>
      <c r="J22" s="13" t="inlineStr">
        <is>
          <t>e-Arşiv satırı</t>
        </is>
      </c>
      <c r="K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13" t="inlineStr">
        <is>
          <t>1000000018</t>
        </is>
      </c>
      <c r="D23" s="13" t="inlineStr">
        <is>
          <t>Ornek Firma 18 Ltd.</t>
        </is>
      </c>
      <c r="E23" s="70" t="n">
        <v>1855</v>
      </c>
      <c r="F23" s="70" t="n">
        <v>371</v>
      </c>
      <c r="G23" s="70" t="n">
        <v>2226</v>
      </c>
      <c r="H23" s="13" t="inlineStr">
        <is>
          <t>TEVKIFAT</t>
        </is>
      </c>
      <c r="I23" s="13" t="inlineStr">
        <is>
          <t>2026-08</t>
        </is>
      </c>
      <c r="J23" s="13" t="inlineStr">
        <is>
          <t>e-Arşiv satırı</t>
        </is>
      </c>
      <c r="K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13" t="inlineStr">
        <is>
          <t>1000000019</t>
        </is>
      </c>
      <c r="D24" s="13" t="inlineStr">
        <is>
          <t>Ornek Firma 19 Ltd.</t>
        </is>
      </c>
      <c r="E24" s="70" t="n">
        <v>1902.5</v>
      </c>
      <c r="F24" s="70" t="n">
        <v>380.5</v>
      </c>
      <c r="G24" s="70" t="n">
        <v>2283</v>
      </c>
      <c r="H24" s="13" t="inlineStr">
        <is>
          <t>DIGER</t>
        </is>
      </c>
      <c r="I24" s="13" t="inlineStr">
        <is>
          <t>2026-08</t>
        </is>
      </c>
      <c r="J24" s="13" t="inlineStr">
        <is>
          <t>e-Arşiv satırı</t>
        </is>
      </c>
      <c r="K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13" t="inlineStr">
        <is>
          <t>1000000020</t>
        </is>
      </c>
      <c r="D25" s="13" t="inlineStr">
        <is>
          <t>Ornek Firma 20 Ltd.</t>
        </is>
      </c>
      <c r="E25" s="70" t="n">
        <v>1950</v>
      </c>
      <c r="F25" s="70" t="n">
        <v>390</v>
      </c>
      <c r="G25" s="70" t="n">
        <v>2340</v>
      </c>
      <c r="H25" s="13" t="inlineStr">
        <is>
          <t>SATIS</t>
        </is>
      </c>
      <c r="I25" s="13" t="inlineStr">
        <is>
          <t>2026-08</t>
        </is>
      </c>
      <c r="J25" s="13" t="inlineStr">
        <is>
          <t>e-Arşiv satırı</t>
        </is>
      </c>
      <c r="K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13" t="inlineStr">
        <is>
          <t>10000000</t>
        </is>
      </c>
      <c r="D26" s="13" t="inlineStr">
        <is>
          <t>Ornek Firma 21 Ltd.</t>
        </is>
      </c>
      <c r="E26" s="70" t="n">
        <v>1997.5</v>
      </c>
      <c r="F26" s="70" t="n">
        <v>399.5</v>
      </c>
      <c r="G26" s="70" t="n">
        <v>2397</v>
      </c>
      <c r="H26" s="13" t="inlineStr">
        <is>
          <t>IADE</t>
        </is>
      </c>
      <c r="I26" s="13" t="inlineStr">
        <is>
          <t>2026-08</t>
        </is>
      </c>
      <c r="J26" s="13" t="inlineStr">
        <is>
          <t>e-Arşiv satırı</t>
        </is>
      </c>
      <c r="K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13" t="inlineStr">
        <is>
          <t>1000000022</t>
        </is>
      </c>
      <c r="D27" s="13" t="inlineStr">
        <is>
          <t>Ornek Firma 22 Ltd.</t>
        </is>
      </c>
      <c r="E27" s="70" t="n">
        <v>2045</v>
      </c>
      <c r="F27" s="70" t="n">
        <v>409</v>
      </c>
      <c r="G27" s="70" t="n">
        <v>2454</v>
      </c>
      <c r="H27" s="13" t="inlineStr">
        <is>
          <t>ISTISNA</t>
        </is>
      </c>
      <c r="I27" s="13" t="inlineStr">
        <is>
          <t>2026-08</t>
        </is>
      </c>
      <c r="J27" s="13" t="inlineStr">
        <is>
          <t>e-Arşiv satırı</t>
        </is>
      </c>
      <c r="K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13" t="inlineStr">
        <is>
          <t>1000000023</t>
        </is>
      </c>
      <c r="D28" s="13" t="inlineStr">
        <is>
          <t>Ornek Firma 23 Ltd.</t>
        </is>
      </c>
      <c r="E28" s="70" t="n">
        <v>2092.5</v>
      </c>
      <c r="F28" s="70" t="n">
        <v>418.5</v>
      </c>
      <c r="G28" s="70" t="n">
        <v>2511</v>
      </c>
      <c r="H28" s="13" t="inlineStr">
        <is>
          <t>TEVKIFAT</t>
        </is>
      </c>
      <c r="I28" s="13" t="inlineStr">
        <is>
          <t>2026-08</t>
        </is>
      </c>
      <c r="J28" s="13" t="inlineStr">
        <is>
          <t>e-Arşiv satırı</t>
        </is>
      </c>
      <c r="K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13" t="inlineStr">
        <is>
          <t>1000000024</t>
        </is>
      </c>
      <c r="D29" s="13" t="inlineStr">
        <is>
          <t>Ornek Firma 24 Ltd.</t>
        </is>
      </c>
      <c r="E29" s="70" t="n">
        <v>2140</v>
      </c>
      <c r="F29" s="70" t="n">
        <v>428</v>
      </c>
      <c r="G29" s="70" t="n">
        <v>2568</v>
      </c>
      <c r="H29" s="13" t="inlineStr">
        <is>
          <t>DIGER</t>
        </is>
      </c>
      <c r="I29" s="13" t="inlineStr">
        <is>
          <t>2026-08</t>
        </is>
      </c>
      <c r="J29" s="13" t="inlineStr">
        <is>
          <t>e-Arşiv satırı</t>
        </is>
      </c>
      <c r="K29" s="16">
        <f>IF($A29="","",1)</f>
        <v/>
      </c>
    </row>
    <row r="30">
      <c r="A30" s="13" t="inlineStr">
        <is>
          <t>EAR2026100025</t>
        </is>
      </c>
      <c r="B30" s="69" t="n"/>
      <c r="C30" s="13" t="inlineStr">
        <is>
          <t>1000000025</t>
        </is>
      </c>
      <c r="D30" s="13" t="inlineStr">
        <is>
          <t>Ornek Firma 25 Ltd.</t>
        </is>
      </c>
      <c r="E30" s="70" t="n">
        <v>2187.5</v>
      </c>
      <c r="F30" s="70" t="n">
        <v>437.5</v>
      </c>
      <c r="G30" s="70" t="n">
        <v>2625</v>
      </c>
      <c r="H30" s="13" t="inlineStr">
        <is>
          <t>SATIS</t>
        </is>
      </c>
      <c r="I30" s="13" t="inlineStr">
        <is>
          <t>2026-08</t>
        </is>
      </c>
      <c r="J30" s="13" t="inlineStr">
        <is>
          <t>e-Arşiv satırı</t>
        </is>
      </c>
      <c r="K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13" t="inlineStr">
        <is>
          <t>1000000026</t>
        </is>
      </c>
      <c r="D31" s="13" t="inlineStr">
        <is>
          <t>Ornek Firma 26 Ltd.</t>
        </is>
      </c>
      <c r="E31" s="70" t="n">
        <v>2235</v>
      </c>
      <c r="F31" s="70" t="n">
        <v>447</v>
      </c>
      <c r="G31" s="70" t="n">
        <v>2682</v>
      </c>
      <c r="H31" s="13" t="inlineStr">
        <is>
          <t>IADE</t>
        </is>
      </c>
      <c r="I31" s="13" t="inlineStr">
        <is>
          <t>2026-08</t>
        </is>
      </c>
      <c r="J31" s="13" t="inlineStr">
        <is>
          <t>e-Arşiv satırı</t>
        </is>
      </c>
      <c r="K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13" t="inlineStr">
        <is>
          <t>1000000027</t>
        </is>
      </c>
      <c r="D32" s="13" t="inlineStr">
        <is>
          <t>Ornek Firma 27 Ltd.</t>
        </is>
      </c>
      <c r="E32" s="70" t="n">
        <v>2282.5</v>
      </c>
      <c r="F32" s="70" t="n">
        <v>456.5</v>
      </c>
      <c r="G32" s="70" t="n">
        <v>2739</v>
      </c>
      <c r="H32" s="13" t="inlineStr">
        <is>
          <t>ISTISNA</t>
        </is>
      </c>
      <c r="I32" s="13" t="inlineStr">
        <is>
          <t>2026-08</t>
        </is>
      </c>
      <c r="J32" s="13" t="inlineStr">
        <is>
          <t>e-Arşiv satırı</t>
        </is>
      </c>
      <c r="K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13" t="inlineStr">
        <is>
          <t>1000000028</t>
        </is>
      </c>
      <c r="D33" s="13" t="inlineStr">
        <is>
          <t>Ornek Firma 28 Ltd.</t>
        </is>
      </c>
      <c r="E33" s="70" t="n">
        <v>2330</v>
      </c>
      <c r="F33" s="70" t="n">
        <v>466</v>
      </c>
      <c r="G33" s="70" t="n">
        <v>2796</v>
      </c>
      <c r="H33" s="13" t="inlineStr">
        <is>
          <t>TEVKIFAT</t>
        </is>
      </c>
      <c r="I33" s="13" t="inlineStr">
        <is>
          <t>2026-08</t>
        </is>
      </c>
      <c r="J33" s="13" t="inlineStr">
        <is>
          <t>e-Arşiv satırı</t>
        </is>
      </c>
      <c r="K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13" t="inlineStr">
        <is>
          <t>1000000029</t>
        </is>
      </c>
      <c r="D34" s="13" t="inlineStr">
        <is>
          <t>Ornek Firma 29 Ltd.</t>
        </is>
      </c>
      <c r="E34" s="70" t="n">
        <v>2377.5</v>
      </c>
      <c r="F34" s="70" t="n">
        <v>475.5</v>
      </c>
      <c r="G34" s="70" t="n">
        <v>-2853</v>
      </c>
      <c r="H34" s="13" t="inlineStr">
        <is>
          <t>DIGER</t>
        </is>
      </c>
      <c r="I34" s="13" t="inlineStr">
        <is>
          <t>2026-08</t>
        </is>
      </c>
      <c r="J34" s="13" t="inlineStr">
        <is>
          <t>e-Arşiv satırı</t>
        </is>
      </c>
      <c r="K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13" t="inlineStr">
        <is>
          <t>1000000030</t>
        </is>
      </c>
      <c r="D35" s="13" t="inlineStr">
        <is>
          <t>Ornek Firma 30 Ltd.</t>
        </is>
      </c>
      <c r="E35" s="70" t="n">
        <v>2425</v>
      </c>
      <c r="F35" s="70" t="n">
        <v>485</v>
      </c>
      <c r="G35" s="70" t="n">
        <v>2910</v>
      </c>
      <c r="H35" s="13" t="inlineStr">
        <is>
          <t>SATIS</t>
        </is>
      </c>
      <c r="I35" s="13" t="inlineStr">
        <is>
          <t>2026-08</t>
        </is>
      </c>
      <c r="J35" s="13" t="inlineStr">
        <is>
          <t>e-Arşiv satırı</t>
        </is>
      </c>
      <c r="K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13" t="inlineStr">
        <is>
          <t>1000000031</t>
        </is>
      </c>
      <c r="D36" s="13" t="inlineStr">
        <is>
          <t>Ornek Firma 31 Ltd.</t>
        </is>
      </c>
      <c r="E36" s="70" t="n">
        <v>2472.5</v>
      </c>
      <c r="F36" s="70" t="n">
        <v>494.5</v>
      </c>
      <c r="G36" s="70" t="n">
        <v>2967</v>
      </c>
      <c r="H36" s="13" t="inlineStr">
        <is>
          <t>IADE</t>
        </is>
      </c>
      <c r="I36" s="13" t="inlineStr">
        <is>
          <t>2026-08</t>
        </is>
      </c>
      <c r="J36" s="13" t="inlineStr">
        <is>
          <t>e-Arşiv satırı</t>
        </is>
      </c>
      <c r="K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13" t="inlineStr">
        <is>
          <t>1000000032</t>
        </is>
      </c>
      <c r="D37" s="13" t="inlineStr">
        <is>
          <t>Ornek Firma 32 Ltd.</t>
        </is>
      </c>
      <c r="E37" s="70" t="n">
        <v>2520</v>
      </c>
      <c r="F37" s="70" t="n">
        <v>504</v>
      </c>
      <c r="G37" s="70" t="n">
        <v>3024</v>
      </c>
      <c r="H37" s="13" t="inlineStr">
        <is>
          <t>ISTISNA</t>
        </is>
      </c>
      <c r="I37" s="13" t="inlineStr">
        <is>
          <t>2026-08</t>
        </is>
      </c>
      <c r="J37" s="13" t="inlineStr">
        <is>
          <t>e-Arşiv satırı</t>
        </is>
      </c>
      <c r="K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13" t="inlineStr">
        <is>
          <t>1000000033</t>
        </is>
      </c>
      <c r="D38" s="13" t="inlineStr">
        <is>
          <t>Ornek Firma 33 Ltd.</t>
        </is>
      </c>
      <c r="E38" s="70" t="n">
        <v>2567.5</v>
      </c>
      <c r="F38" s="70" t="n">
        <v>513.5</v>
      </c>
      <c r="G38" s="70" t="n">
        <v>3081</v>
      </c>
      <c r="H38" s="13" t="inlineStr">
        <is>
          <t>TEVKIFAT</t>
        </is>
      </c>
      <c r="I38" s="13" t="inlineStr">
        <is>
          <t>2026-08</t>
        </is>
      </c>
      <c r="J38" s="13" t="inlineStr">
        <is>
          <t>e-Arşiv satırı</t>
        </is>
      </c>
      <c r="K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13" t="inlineStr">
        <is>
          <t>1000000034</t>
        </is>
      </c>
      <c r="D39" s="13" t="inlineStr">
        <is>
          <t>Ornek Firma 34 Ltd.</t>
        </is>
      </c>
      <c r="E39" s="70" t="n">
        <v>2615</v>
      </c>
      <c r="F39" s="70" t="n">
        <v>523</v>
      </c>
      <c r="G39" s="70" t="n">
        <v>3138</v>
      </c>
      <c r="H39" s="13" t="inlineStr">
        <is>
          <t>DIGER</t>
        </is>
      </c>
      <c r="I39" s="13" t="inlineStr">
        <is>
          <t>2026-08</t>
        </is>
      </c>
      <c r="J39" s="13" t="inlineStr">
        <is>
          <t>e-Arşiv satırı</t>
        </is>
      </c>
      <c r="K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13" t="inlineStr">
        <is>
          <t>1000000035</t>
        </is>
      </c>
      <c r="D40" s="13" t="inlineStr">
        <is>
          <t>Ornek Firma 35 Ltd.</t>
        </is>
      </c>
      <c r="E40" s="70" t="n">
        <v>2662.5</v>
      </c>
      <c r="F40" s="70" t="n">
        <v>532.5</v>
      </c>
      <c r="G40" s="70" t="n">
        <v>3195</v>
      </c>
      <c r="H40" s="13" t="inlineStr">
        <is>
          <t>SATIS</t>
        </is>
      </c>
      <c r="I40" s="13" t="inlineStr">
        <is>
          <t>2026-08</t>
        </is>
      </c>
      <c r="J40" s="13" t="inlineStr">
        <is>
          <t>e-Arşiv satırı</t>
        </is>
      </c>
      <c r="K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13" t="inlineStr">
        <is>
          <t>1000000036</t>
        </is>
      </c>
      <c r="D41" s="13" t="inlineStr">
        <is>
          <t>Ornek Firma 36 Ltd.</t>
        </is>
      </c>
      <c r="E41" s="70" t="n">
        <v>2710</v>
      </c>
      <c r="F41" s="70" t="n">
        <v>542</v>
      </c>
      <c r="G41" s="70" t="n">
        <v>3252</v>
      </c>
      <c r="H41" s="13" t="inlineStr">
        <is>
          <t>IADE</t>
        </is>
      </c>
      <c r="I41" s="13" t="inlineStr">
        <is>
          <t>2026-08</t>
        </is>
      </c>
      <c r="J41" s="13" t="inlineStr">
        <is>
          <t>e-Arşiv satırı</t>
        </is>
      </c>
      <c r="K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13" t="inlineStr">
        <is>
          <t>1000000037</t>
        </is>
      </c>
      <c r="D42" s="13" t="inlineStr">
        <is>
          <t>Ornek Firma 37 Ltd.</t>
        </is>
      </c>
      <c r="E42" s="70" t="n">
        <v>2757.5</v>
      </c>
      <c r="F42" s="70" t="n">
        <v>551.5</v>
      </c>
      <c r="G42" s="70" t="n">
        <v>3309</v>
      </c>
      <c r="H42" s="13" t="inlineStr">
        <is>
          <t>ISTISNA</t>
        </is>
      </c>
      <c r="I42" s="13" t="inlineStr">
        <is>
          <t>2026-08</t>
        </is>
      </c>
      <c r="J42" s="13" t="inlineStr">
        <is>
          <t>e-Arşiv satırı</t>
        </is>
      </c>
      <c r="K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13" t="inlineStr">
        <is>
          <t>1000000038</t>
        </is>
      </c>
      <c r="D43" s="13" t="inlineStr">
        <is>
          <t>Ornek Firma 38 Ltd.</t>
        </is>
      </c>
      <c r="E43" s="70" t="n">
        <v>2805</v>
      </c>
      <c r="F43" s="70" t="n">
        <v>561</v>
      </c>
      <c r="G43" s="70" t="n">
        <v>3366</v>
      </c>
      <c r="H43" s="13" t="inlineStr">
        <is>
          <t>TEVKIFAT</t>
        </is>
      </c>
      <c r="I43" s="13" t="inlineStr">
        <is>
          <t>2026-08</t>
        </is>
      </c>
      <c r="J43" s="13" t="inlineStr">
        <is>
          <t>e-Arşiv satırı</t>
        </is>
      </c>
      <c r="K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13" t="inlineStr">
        <is>
          <t>1000000039</t>
        </is>
      </c>
      <c r="D44" s="13" t="inlineStr">
        <is>
          <t>Ornek Firma 39 Ltd.</t>
        </is>
      </c>
      <c r="E44" s="70" t="n">
        <v>2852.5</v>
      </c>
      <c r="F44" s="70" t="n">
        <v>570.5</v>
      </c>
      <c r="G44" s="70" t="n">
        <v>3423</v>
      </c>
      <c r="H44" s="13" t="inlineStr">
        <is>
          <t>DIGER</t>
        </is>
      </c>
      <c r="I44" s="13" t="inlineStr">
        <is>
          <t>2026-08</t>
        </is>
      </c>
      <c r="J44" s="13" t="inlineStr">
        <is>
          <t>e-Arşiv satırı</t>
        </is>
      </c>
      <c r="K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13" t="inlineStr">
        <is>
          <t>1000000040</t>
        </is>
      </c>
      <c r="D45" s="13" t="inlineStr">
        <is>
          <t>Ornek Firma 40 Ltd.</t>
        </is>
      </c>
      <c r="E45" s="70" t="n">
        <v>2900</v>
      </c>
      <c r="F45" s="70" t="n">
        <v>580</v>
      </c>
      <c r="G45" s="70" t="n">
        <v>3480</v>
      </c>
      <c r="H45" s="13" t="inlineStr">
        <is>
          <t>SATIS</t>
        </is>
      </c>
      <c r="I45" s="13" t="inlineStr">
        <is>
          <t>2026-08</t>
        </is>
      </c>
      <c r="J45" s="13" t="inlineStr">
        <is>
          <t>e-Arşiv satırı</t>
        </is>
      </c>
      <c r="K45" s="16">
        <f>IF($A45="","",1)</f>
        <v/>
      </c>
    </row>
    <row r="46">
      <c r="A46" s="13" t="n"/>
      <c r="B46" s="69" t="n"/>
      <c r="C46" s="13" t="n"/>
      <c r="D46" s="13" t="n"/>
      <c r="E46" s="70" t="n"/>
      <c r="F46" s="70" t="n"/>
      <c r="G46" s="70" t="n"/>
      <c r="H46" s="13" t="n"/>
      <c r="I46" s="13" t="n"/>
      <c r="J46" s="13" t="n"/>
      <c r="K46" s="16">
        <f>IF($A46="","",1)</f>
        <v/>
      </c>
    </row>
    <row r="47">
      <c r="A47" s="13" t="n"/>
      <c r="B47" s="69" t="n"/>
      <c r="C47" s="13" t="n"/>
      <c r="D47" s="13" t="n"/>
      <c r="E47" s="70" t="n"/>
      <c r="F47" s="70" t="n"/>
      <c r="G47" s="70" t="n"/>
      <c r="H47" s="13" t="n"/>
      <c r="I47" s="13" t="n"/>
      <c r="J47" s="13" t="n"/>
      <c r="K47" s="16">
        <f>IF($A47="","",1)</f>
        <v/>
      </c>
    </row>
    <row r="48">
      <c r="A48" s="13" t="n"/>
      <c r="B48" s="69" t="n"/>
      <c r="C48" s="13" t="n"/>
      <c r="D48" s="13" t="n"/>
      <c r="E48" s="70" t="n"/>
      <c r="F48" s="70" t="n"/>
      <c r="G48" s="70" t="n"/>
      <c r="H48" s="13" t="n"/>
      <c r="I48" s="13" t="n"/>
      <c r="J48" s="13" t="n"/>
      <c r="K48" s="16">
        <f>IF($A48="","",1)</f>
        <v/>
      </c>
    </row>
    <row r="49">
      <c r="A49" s="13" t="n"/>
      <c r="B49" s="69" t="n"/>
      <c r="C49" s="13" t="n"/>
      <c r="D49" s="13" t="n"/>
      <c r="E49" s="70" t="n"/>
      <c r="F49" s="70" t="n"/>
      <c r="G49" s="70" t="n"/>
      <c r="H49" s="13" t="n"/>
      <c r="I49" s="13" t="n"/>
      <c r="J49" s="13" t="n"/>
      <c r="K49" s="16">
        <f>IF($A49="","",1)</f>
        <v/>
      </c>
    </row>
    <row r="50">
      <c r="A50" s="13" t="n"/>
      <c r="B50" s="69" t="n"/>
      <c r="C50" s="13" t="n"/>
      <c r="D50" s="13" t="n"/>
      <c r="E50" s="70" t="n"/>
      <c r="F50" s="70" t="n"/>
      <c r="G50" s="70" t="n"/>
      <c r="H50" s="13" t="n"/>
      <c r="I50" s="13" t="n"/>
      <c r="J50" s="13" t="n"/>
      <c r="K50" s="16">
        <f>IF($A50="","",1)</f>
        <v/>
      </c>
    </row>
    <row r="51">
      <c r="A51" s="13" t="n"/>
      <c r="B51" s="69" t="n"/>
      <c r="C51" s="13" t="n"/>
      <c r="D51" s="13" t="n"/>
      <c r="E51" s="70" t="n"/>
      <c r="F51" s="70" t="n"/>
      <c r="G51" s="70" t="n"/>
      <c r="H51" s="13" t="n"/>
      <c r="I51" s="13" t="n"/>
      <c r="J51" s="13" t="n"/>
      <c r="K51" s="16">
        <f>IF($A51="","",1)</f>
        <v/>
      </c>
    </row>
    <row r="52">
      <c r="A52" s="13" t="n"/>
      <c r="B52" s="69" t="n"/>
      <c r="C52" s="13" t="n"/>
      <c r="D52" s="13" t="n"/>
      <c r="E52" s="70" t="n"/>
      <c r="F52" s="70" t="n"/>
      <c r="G52" s="70" t="n"/>
      <c r="H52" s="13" t="n"/>
      <c r="I52" s="13" t="n"/>
      <c r="J52" s="13" t="n"/>
      <c r="K52" s="16">
        <f>IF($A52="","",1)</f>
        <v/>
      </c>
    </row>
    <row r="53">
      <c r="A53" s="13" t="n"/>
      <c r="B53" s="69" t="n"/>
      <c r="C53" s="13" t="n"/>
      <c r="D53" s="13" t="n"/>
      <c r="E53" s="70" t="n"/>
      <c r="F53" s="70" t="n"/>
      <c r="G53" s="70" t="n"/>
      <c r="H53" s="13" t="n"/>
      <c r="I53" s="13" t="n"/>
      <c r="J53" s="13" t="n"/>
      <c r="K53" s="16">
        <f>IF($A53="","",1)</f>
        <v/>
      </c>
    </row>
    <row r="54">
      <c r="A54" s="13" t="n"/>
      <c r="B54" s="69" t="n"/>
      <c r="C54" s="13" t="n"/>
      <c r="D54" s="13" t="n"/>
      <c r="E54" s="70" t="n"/>
      <c r="F54" s="70" t="n"/>
      <c r="G54" s="70" t="n"/>
      <c r="H54" s="13" t="n"/>
      <c r="I54" s="13" t="n"/>
      <c r="J54" s="13" t="n"/>
      <c r="K54" s="16">
        <f>IF($A54="","",1)</f>
        <v/>
      </c>
    </row>
    <row r="55">
      <c r="A55" s="13" t="n"/>
      <c r="B55" s="69" t="n"/>
      <c r="C55" s="13" t="n"/>
      <c r="D55" s="13" t="n"/>
      <c r="E55" s="70" t="n"/>
      <c r="F55" s="70" t="n"/>
      <c r="G55" s="70" t="n"/>
      <c r="H55" s="13" t="n"/>
      <c r="I55" s="13" t="n"/>
      <c r="J55" s="13" t="n"/>
      <c r="K55" s="16">
        <f>IF($A55="","",1)</f>
        <v/>
      </c>
    </row>
    <row r="56">
      <c r="A56" s="13" t="n"/>
      <c r="B56" s="69" t="n"/>
      <c r="C56" s="13" t="n"/>
      <c r="D56" s="13" t="n"/>
      <c r="E56" s="70" t="n"/>
      <c r="F56" s="70" t="n"/>
      <c r="G56" s="70" t="n"/>
      <c r="H56" s="13" t="n"/>
      <c r="I56" s="13" t="n"/>
      <c r="J56" s="13" t="n"/>
      <c r="K56" s="16">
        <f>IF($A56="","",1)</f>
        <v/>
      </c>
    </row>
    <row r="57">
      <c r="A57" s="13" t="n"/>
      <c r="B57" s="69" t="n"/>
      <c r="C57" s="13" t="n"/>
      <c r="D57" s="13" t="n"/>
      <c r="E57" s="70" t="n"/>
      <c r="F57" s="70" t="n"/>
      <c r="G57" s="70" t="n"/>
      <c r="H57" s="13" t="n"/>
      <c r="I57" s="13" t="n"/>
      <c r="J57" s="13" t="n"/>
      <c r="K57" s="16">
        <f>IF($A57="","",1)</f>
        <v/>
      </c>
    </row>
    <row r="58">
      <c r="A58" s="13" t="n"/>
      <c r="B58" s="69" t="n"/>
      <c r="C58" s="13" t="n"/>
      <c r="D58" s="13" t="n"/>
      <c r="E58" s="70" t="n"/>
      <c r="F58" s="70" t="n"/>
      <c r="G58" s="70" t="n"/>
      <c r="H58" s="13" t="n"/>
      <c r="I58" s="13" t="n"/>
      <c r="J58" s="13" t="n"/>
      <c r="K58" s="16">
        <f>IF($A58="","",1)</f>
        <v/>
      </c>
    </row>
    <row r="59">
      <c r="A59" s="13" t="n"/>
      <c r="B59" s="69" t="n"/>
      <c r="C59" s="13" t="n"/>
      <c r="D59" s="13" t="n"/>
      <c r="E59" s="70" t="n"/>
      <c r="F59" s="70" t="n"/>
      <c r="G59" s="70" t="n"/>
      <c r="H59" s="13" t="n"/>
      <c r="I59" s="13" t="n"/>
      <c r="J59" s="13" t="n"/>
      <c r="K59" s="16">
        <f>IF($A59="","",1)</f>
        <v/>
      </c>
    </row>
    <row r="60">
      <c r="A60" s="13" t="n"/>
      <c r="B60" s="69" t="n"/>
      <c r="C60" s="13" t="n"/>
      <c r="D60" s="13" t="n"/>
      <c r="E60" s="70" t="n"/>
      <c r="F60" s="70" t="n"/>
      <c r="G60" s="70" t="n"/>
      <c r="H60" s="13" t="n"/>
      <c r="I60" s="13" t="n"/>
      <c r="J60" s="13" t="n"/>
      <c r="K60" s="16">
        <f>IF($A60="","",1)</f>
        <v/>
      </c>
    </row>
    <row r="61">
      <c r="A61" s="13" t="n"/>
      <c r="B61" s="69" t="n"/>
      <c r="C61" s="13" t="n"/>
      <c r="D61" s="13" t="n"/>
      <c r="E61" s="70" t="n"/>
      <c r="F61" s="70" t="n"/>
      <c r="G61" s="70" t="n"/>
      <c r="H61" s="13" t="n"/>
      <c r="I61" s="13" t="n"/>
      <c r="J61" s="13" t="n"/>
      <c r="K61" s="16">
        <f>IF($A61="","",1)</f>
        <v/>
      </c>
    </row>
    <row r="62">
      <c r="A62" s="13" t="n"/>
      <c r="B62" s="69" t="n"/>
      <c r="C62" s="13" t="n"/>
      <c r="D62" s="13" t="n"/>
      <c r="E62" s="70" t="n"/>
      <c r="F62" s="70" t="n"/>
      <c r="G62" s="70" t="n"/>
      <c r="H62" s="13" t="n"/>
      <c r="I62" s="13" t="n"/>
      <c r="J62" s="13" t="n"/>
      <c r="K62" s="16">
        <f>IF($A62="","",1)</f>
        <v/>
      </c>
    </row>
    <row r="63">
      <c r="A63" s="13" t="n"/>
      <c r="B63" s="69" t="n"/>
      <c r="C63" s="13" t="n"/>
      <c r="D63" s="13" t="n"/>
      <c r="E63" s="70" t="n"/>
      <c r="F63" s="70" t="n"/>
      <c r="G63" s="70" t="n"/>
      <c r="H63" s="13" t="n"/>
      <c r="I63" s="13" t="n"/>
      <c r="J63" s="13" t="n"/>
      <c r="K63" s="16">
        <f>IF($A63="","",1)</f>
        <v/>
      </c>
    </row>
    <row r="64">
      <c r="A64" s="13" t="n"/>
      <c r="B64" s="69" t="n"/>
      <c r="C64" s="13" t="n"/>
      <c r="D64" s="13" t="n"/>
      <c r="E64" s="70" t="n"/>
      <c r="F64" s="70" t="n"/>
      <c r="G64" s="70" t="n"/>
      <c r="H64" s="13" t="n"/>
      <c r="I64" s="13" t="n"/>
      <c r="J64" s="13" t="n"/>
      <c r="K64" s="16">
        <f>IF($A64="","",1)</f>
        <v/>
      </c>
    </row>
    <row r="65">
      <c r="A65" s="13" t="n"/>
      <c r="B65" s="69" t="n"/>
      <c r="C65" s="13" t="n"/>
      <c r="D65" s="13" t="n"/>
      <c r="E65" s="70" t="n"/>
      <c r="F65" s="70" t="n"/>
      <c r="G65" s="70" t="n"/>
      <c r="H65" s="13" t="n"/>
      <c r="I65" s="13" t="n"/>
      <c r="J65" s="13" t="n"/>
      <c r="K65" s="16">
        <f>IF($A65="","",1)</f>
        <v/>
      </c>
    </row>
    <row r="66">
      <c r="A66" s="13" t="n"/>
      <c r="B66" s="69" t="n"/>
      <c r="C66" s="13" t="n"/>
      <c r="D66" s="13" t="n"/>
      <c r="E66" s="70" t="n"/>
      <c r="F66" s="70" t="n"/>
      <c r="G66" s="70" t="n"/>
      <c r="H66" s="13" t="n"/>
      <c r="I66" s="13" t="n"/>
      <c r="J66" s="13" t="n"/>
      <c r="K66" s="16">
        <f>IF($A66="","",1)</f>
        <v/>
      </c>
    </row>
    <row r="67">
      <c r="A67" s="13" t="n"/>
      <c r="B67" s="69" t="n"/>
      <c r="C67" s="13" t="n"/>
      <c r="D67" s="13" t="n"/>
      <c r="E67" s="70" t="n"/>
      <c r="F67" s="70" t="n"/>
      <c r="G67" s="70" t="n"/>
      <c r="H67" s="13" t="n"/>
      <c r="I67" s="13" t="n"/>
      <c r="J67" s="13" t="n"/>
      <c r="K67" s="16">
        <f>IF($A67="","",1)</f>
        <v/>
      </c>
    </row>
    <row r="68">
      <c r="A68" s="13" t="n"/>
      <c r="B68" s="69" t="n"/>
      <c r="C68" s="13" t="n"/>
      <c r="D68" s="13" t="n"/>
      <c r="E68" s="70" t="n"/>
      <c r="F68" s="70" t="n"/>
      <c r="G68" s="70" t="n"/>
      <c r="H68" s="13" t="n"/>
      <c r="I68" s="13" t="n"/>
      <c r="J68" s="13" t="n"/>
      <c r="K68" s="16">
        <f>IF($A68="","",1)</f>
        <v/>
      </c>
    </row>
    <row r="69">
      <c r="A69" s="13" t="n"/>
      <c r="B69" s="69" t="n"/>
      <c r="C69" s="13" t="n"/>
      <c r="D69" s="13" t="n"/>
      <c r="E69" s="70" t="n"/>
      <c r="F69" s="70" t="n"/>
      <c r="G69" s="70" t="n"/>
      <c r="H69" s="13" t="n"/>
      <c r="I69" s="13" t="n"/>
      <c r="J69" s="13" t="n"/>
      <c r="K69" s="16">
        <f>IF($A69="","",1)</f>
        <v/>
      </c>
    </row>
    <row r="70">
      <c r="A70" s="13" t="n"/>
      <c r="B70" s="69" t="n"/>
      <c r="C70" s="13" t="n"/>
      <c r="D70" s="13" t="n"/>
      <c r="E70" s="70" t="n"/>
      <c r="F70" s="70" t="n"/>
      <c r="G70" s="70" t="n"/>
      <c r="H70" s="13" t="n"/>
      <c r="I70" s="13" t="n"/>
      <c r="J70" s="13" t="n"/>
      <c r="K70" s="16">
        <f>IF($A70="","",1)</f>
        <v/>
      </c>
    </row>
    <row r="71">
      <c r="A71" s="13" t="n"/>
      <c r="B71" s="69" t="n"/>
      <c r="C71" s="13" t="n"/>
      <c r="D71" s="13" t="n"/>
      <c r="E71" s="70" t="n"/>
      <c r="F71" s="70" t="n"/>
      <c r="G71" s="70" t="n"/>
      <c r="H71" s="13" t="n"/>
      <c r="I71" s="13" t="n"/>
      <c r="J71" s="13" t="n"/>
      <c r="K71" s="16">
        <f>IF($A71="","",1)</f>
        <v/>
      </c>
    </row>
    <row r="72">
      <c r="A72" s="13" t="n"/>
      <c r="B72" s="69" t="n"/>
      <c r="C72" s="13" t="n"/>
      <c r="D72" s="13" t="n"/>
      <c r="E72" s="70" t="n"/>
      <c r="F72" s="70" t="n"/>
      <c r="G72" s="70" t="n"/>
      <c r="H72" s="13" t="n"/>
      <c r="I72" s="13" t="n"/>
      <c r="J72" s="13" t="n"/>
      <c r="K72" s="16">
        <f>IF($A72="","",1)</f>
        <v/>
      </c>
    </row>
    <row r="73">
      <c r="A73" s="13" t="n"/>
      <c r="B73" s="69" t="n"/>
      <c r="C73" s="13" t="n"/>
      <c r="D73" s="13" t="n"/>
      <c r="E73" s="70" t="n"/>
      <c r="F73" s="70" t="n"/>
      <c r="G73" s="70" t="n"/>
      <c r="H73" s="13" t="n"/>
      <c r="I73" s="13" t="n"/>
      <c r="J73" s="13" t="n"/>
      <c r="K73" s="16">
        <f>IF($A73="","",1)</f>
        <v/>
      </c>
    </row>
    <row r="74">
      <c r="A74" s="13" t="n"/>
      <c r="B74" s="69" t="n"/>
      <c r="C74" s="13" t="n"/>
      <c r="D74" s="13" t="n"/>
      <c r="E74" s="70" t="n"/>
      <c r="F74" s="70" t="n"/>
      <c r="G74" s="70" t="n"/>
      <c r="H74" s="13" t="n"/>
      <c r="I74" s="13" t="n"/>
      <c r="J74" s="13" t="n"/>
      <c r="K74" s="16">
        <f>IF($A74="","",1)</f>
        <v/>
      </c>
    </row>
    <row r="75">
      <c r="A75" s="13" t="n"/>
      <c r="B75" s="69" t="n"/>
      <c r="C75" s="13" t="n"/>
      <c r="D75" s="13" t="n"/>
      <c r="E75" s="70" t="n"/>
      <c r="F75" s="70" t="n"/>
      <c r="G75" s="70" t="n"/>
      <c r="H75" s="13" t="n"/>
      <c r="I75" s="13" t="n"/>
      <c r="J75" s="13" t="n"/>
      <c r="K75" s="16">
        <f>IF($A75="","",1)</f>
        <v/>
      </c>
    </row>
    <row r="76">
      <c r="A76" s="13" t="n"/>
      <c r="B76" s="69" t="n"/>
      <c r="C76" s="13" t="n"/>
      <c r="D76" s="13" t="n"/>
      <c r="E76" s="70" t="n"/>
      <c r="F76" s="70" t="n"/>
      <c r="G76" s="70" t="n"/>
      <c r="H76" s="13" t="n"/>
      <c r="I76" s="13" t="n"/>
      <c r="J76" s="13" t="n"/>
      <c r="K76" s="16">
        <f>IF($A76="","",1)</f>
        <v/>
      </c>
    </row>
    <row r="77">
      <c r="A77" s="13" t="n"/>
      <c r="B77" s="69" t="n"/>
      <c r="C77" s="13" t="n"/>
      <c r="D77" s="13" t="n"/>
      <c r="E77" s="70" t="n"/>
      <c r="F77" s="70" t="n"/>
      <c r="G77" s="70" t="n"/>
      <c r="H77" s="13" t="n"/>
      <c r="I77" s="13" t="n"/>
      <c r="J77" s="13" t="n"/>
      <c r="K77" s="16">
        <f>IF($A77="","",1)</f>
        <v/>
      </c>
    </row>
    <row r="78">
      <c r="A78" s="13" t="n"/>
      <c r="B78" s="69" t="n"/>
      <c r="C78" s="13" t="n"/>
      <c r="D78" s="13" t="n"/>
      <c r="E78" s="70" t="n"/>
      <c r="F78" s="70" t="n"/>
      <c r="G78" s="70" t="n"/>
      <c r="H78" s="13" t="n"/>
      <c r="I78" s="13" t="n"/>
      <c r="J78" s="13" t="n"/>
      <c r="K78" s="16">
        <f>IF($A78="","",1)</f>
        <v/>
      </c>
    </row>
    <row r="79">
      <c r="A79" s="13" t="n"/>
      <c r="B79" s="69" t="n"/>
      <c r="C79" s="13" t="n"/>
      <c r="D79" s="13" t="n"/>
      <c r="E79" s="70" t="n"/>
      <c r="F79" s="70" t="n"/>
      <c r="G79" s="70" t="n"/>
      <c r="H79" s="13" t="n"/>
      <c r="I79" s="13" t="n"/>
      <c r="J79" s="13" t="n"/>
      <c r="K79" s="16">
        <f>IF($A79="","",1)</f>
        <v/>
      </c>
    </row>
    <row r="80">
      <c r="A80" s="13" t="n"/>
      <c r="B80" s="69" t="n"/>
      <c r="C80" s="13" t="n"/>
      <c r="D80" s="13" t="n"/>
      <c r="E80" s="70" t="n"/>
      <c r="F80" s="70" t="n"/>
      <c r="G80" s="70" t="n"/>
      <c r="H80" s="13" t="n"/>
      <c r="I80" s="13" t="n"/>
      <c r="J80" s="13" t="n"/>
      <c r="K80" s="16">
        <f>IF($A80="","",1)</f>
        <v/>
      </c>
    </row>
    <row r="81">
      <c r="A81" s="13" t="n"/>
      <c r="B81" s="69" t="n"/>
      <c r="C81" s="13" t="n"/>
      <c r="D81" s="13" t="n"/>
      <c r="E81" s="70" t="n"/>
      <c r="F81" s="70" t="n"/>
      <c r="G81" s="70" t="n"/>
      <c r="H81" s="13" t="n"/>
      <c r="I81" s="13" t="n"/>
      <c r="J81" s="13" t="n"/>
      <c r="K81" s="16">
        <f>IF($A81="","",1)</f>
        <v/>
      </c>
    </row>
    <row r="82">
      <c r="A82" s="13" t="n"/>
      <c r="B82" s="69" t="n"/>
      <c r="C82" s="13" t="n"/>
      <c r="D82" s="13" t="n"/>
      <c r="E82" s="70" t="n"/>
      <c r="F82" s="70" t="n"/>
      <c r="G82" s="70" t="n"/>
      <c r="H82" s="13" t="n"/>
      <c r="I82" s="13" t="n"/>
      <c r="J82" s="13" t="n"/>
      <c r="K82" s="16">
        <f>IF($A82="","",1)</f>
        <v/>
      </c>
    </row>
    <row r="83">
      <c r="A83" s="13" t="n"/>
      <c r="B83" s="69" t="n"/>
      <c r="C83" s="13" t="n"/>
      <c r="D83" s="13" t="n"/>
      <c r="E83" s="70" t="n"/>
      <c r="F83" s="70" t="n"/>
      <c r="G83" s="70" t="n"/>
      <c r="H83" s="13" t="n"/>
      <c r="I83" s="13" t="n"/>
      <c r="J83" s="13" t="n"/>
      <c r="K83" s="16">
        <f>IF($A83="","",1)</f>
        <v/>
      </c>
    </row>
    <row r="84">
      <c r="A84" s="13" t="n"/>
      <c r="B84" s="69" t="n"/>
      <c r="C84" s="13" t="n"/>
      <c r="D84" s="13" t="n"/>
      <c r="E84" s="70" t="n"/>
      <c r="F84" s="70" t="n"/>
      <c r="G84" s="70" t="n"/>
      <c r="H84" s="13" t="n"/>
      <c r="I84" s="13" t="n"/>
      <c r="J84" s="13" t="n"/>
      <c r="K84" s="16">
        <f>IF($A84="","",1)</f>
        <v/>
      </c>
    </row>
    <row r="85">
      <c r="A85" s="13" t="n"/>
      <c r="B85" s="69" t="n"/>
      <c r="C85" s="13" t="n"/>
      <c r="D85" s="13" t="n"/>
      <c r="E85" s="70" t="n"/>
      <c r="F85" s="70" t="n"/>
      <c r="G85" s="70" t="n"/>
      <c r="H85" s="13" t="n"/>
      <c r="I85" s="13" t="n"/>
      <c r="J85" s="13" t="n"/>
      <c r="K85" s="16">
        <f>IF($A85="","",1)</f>
        <v/>
      </c>
    </row>
    <row r="86">
      <c r="A86" s="13" t="n"/>
      <c r="B86" s="69" t="n"/>
      <c r="C86" s="13" t="n"/>
      <c r="D86" s="13" t="n"/>
      <c r="E86" s="70" t="n"/>
      <c r="F86" s="70" t="n"/>
      <c r="G86" s="70" t="n"/>
      <c r="H86" s="13" t="n"/>
      <c r="I86" s="13" t="n"/>
      <c r="J86" s="13" t="n"/>
      <c r="K86" s="16">
        <f>IF($A86="","",1)</f>
        <v/>
      </c>
    </row>
    <row r="87">
      <c r="A87" s="13" t="n"/>
      <c r="B87" s="69" t="n"/>
      <c r="C87" s="13" t="n"/>
      <c r="D87" s="13" t="n"/>
      <c r="E87" s="70" t="n"/>
      <c r="F87" s="70" t="n"/>
      <c r="G87" s="70" t="n"/>
      <c r="H87" s="13" t="n"/>
      <c r="I87" s="13" t="n"/>
      <c r="J87" s="13" t="n"/>
      <c r="K87" s="16">
        <f>IF($A87="","",1)</f>
        <v/>
      </c>
    </row>
    <row r="88">
      <c r="A88" s="13" t="n"/>
      <c r="B88" s="69" t="n"/>
      <c r="C88" s="13" t="n"/>
      <c r="D88" s="13" t="n"/>
      <c r="E88" s="70" t="n"/>
      <c r="F88" s="70" t="n"/>
      <c r="G88" s="70" t="n"/>
      <c r="H88" s="13" t="n"/>
      <c r="I88" s="13" t="n"/>
      <c r="J88" s="13" t="n"/>
      <c r="K88" s="16">
        <f>IF($A88="","",1)</f>
        <v/>
      </c>
    </row>
    <row r="89">
      <c r="A89" s="13" t="n"/>
      <c r="B89" s="69" t="n"/>
      <c r="C89" s="13" t="n"/>
      <c r="D89" s="13" t="n"/>
      <c r="E89" s="70" t="n"/>
      <c r="F89" s="70" t="n"/>
      <c r="G89" s="70" t="n"/>
      <c r="H89" s="13" t="n"/>
      <c r="I89" s="13" t="n"/>
      <c r="J89" s="13" t="n"/>
      <c r="K89" s="16">
        <f>IF($A89="","",1)</f>
        <v/>
      </c>
    </row>
    <row r="90">
      <c r="A90" s="13" t="n"/>
      <c r="B90" s="69" t="n"/>
      <c r="C90" s="13" t="n"/>
      <c r="D90" s="13" t="n"/>
      <c r="E90" s="70" t="n"/>
      <c r="F90" s="70" t="n"/>
      <c r="G90" s="70" t="n"/>
      <c r="H90" s="13" t="n"/>
      <c r="I90" s="13" t="n"/>
      <c r="J90" s="13" t="n"/>
      <c r="K90" s="16">
        <f>IF($A90="","",1)</f>
        <v/>
      </c>
    </row>
    <row r="91">
      <c r="A91" s="13" t="n"/>
      <c r="B91" s="69" t="n"/>
      <c r="C91" s="13" t="n"/>
      <c r="D91" s="13" t="n"/>
      <c r="E91" s="70" t="n"/>
      <c r="F91" s="70" t="n"/>
      <c r="G91" s="70" t="n"/>
      <c r="H91" s="13" t="n"/>
      <c r="I91" s="13" t="n"/>
      <c r="J91" s="13" t="n"/>
      <c r="K91" s="16">
        <f>IF($A91="","",1)</f>
        <v/>
      </c>
    </row>
    <row r="92">
      <c r="A92" s="13" t="n"/>
      <c r="B92" s="69" t="n"/>
      <c r="C92" s="13" t="n"/>
      <c r="D92" s="13" t="n"/>
      <c r="E92" s="70" t="n"/>
      <c r="F92" s="70" t="n"/>
      <c r="G92" s="70" t="n"/>
      <c r="H92" s="13" t="n"/>
      <c r="I92" s="13" t="n"/>
      <c r="J92" s="13" t="n"/>
      <c r="K92" s="16">
        <f>IF($A92="","",1)</f>
        <v/>
      </c>
    </row>
    <row r="93">
      <c r="A93" s="13" t="n"/>
      <c r="B93" s="69" t="n"/>
      <c r="C93" s="13" t="n"/>
      <c r="D93" s="13" t="n"/>
      <c r="E93" s="70" t="n"/>
      <c r="F93" s="70" t="n"/>
      <c r="G93" s="70" t="n"/>
      <c r="H93" s="13" t="n"/>
      <c r="I93" s="13" t="n"/>
      <c r="J93" s="13" t="n"/>
      <c r="K93" s="16">
        <f>IF($A93="","",1)</f>
        <v/>
      </c>
    </row>
    <row r="94">
      <c r="A94" s="13" t="n"/>
      <c r="B94" s="69" t="n"/>
      <c r="C94" s="13" t="n"/>
      <c r="D94" s="13" t="n"/>
      <c r="E94" s="70" t="n"/>
      <c r="F94" s="70" t="n"/>
      <c r="G94" s="70" t="n"/>
      <c r="H94" s="13" t="n"/>
      <c r="I94" s="13" t="n"/>
      <c r="J94" s="13" t="n"/>
      <c r="K94" s="16">
        <f>IF($A94="","",1)</f>
        <v/>
      </c>
    </row>
    <row r="95">
      <c r="A95" s="13" t="n"/>
      <c r="B95" s="69" t="n"/>
      <c r="C95" s="13" t="n"/>
      <c r="D95" s="13" t="n"/>
      <c r="E95" s="70" t="n"/>
      <c r="F95" s="70" t="n"/>
      <c r="G95" s="70" t="n"/>
      <c r="H95" s="13" t="n"/>
      <c r="I95" s="13" t="n"/>
      <c r="J95" s="13" t="n"/>
      <c r="K95" s="16">
        <f>IF($A95="","",1)</f>
        <v/>
      </c>
    </row>
    <row r="96">
      <c r="A96" s="13" t="n"/>
      <c r="B96" s="69" t="n"/>
      <c r="C96" s="13" t="n"/>
      <c r="D96" s="13" t="n"/>
      <c r="E96" s="70" t="n"/>
      <c r="F96" s="70" t="n"/>
      <c r="G96" s="70" t="n"/>
      <c r="H96" s="13" t="n"/>
      <c r="I96" s="13" t="n"/>
      <c r="J96" s="13" t="n"/>
      <c r="K96" s="16">
        <f>IF($A96="","",1)</f>
        <v/>
      </c>
    </row>
    <row r="97">
      <c r="A97" s="13" t="n"/>
      <c r="B97" s="69" t="n"/>
      <c r="C97" s="13" t="n"/>
      <c r="D97" s="13" t="n"/>
      <c r="E97" s="70" t="n"/>
      <c r="F97" s="70" t="n"/>
      <c r="G97" s="70" t="n"/>
      <c r="H97" s="13" t="n"/>
      <c r="I97" s="13" t="n"/>
      <c r="J97" s="13" t="n"/>
      <c r="K97" s="16">
        <f>IF($A97="","",1)</f>
        <v/>
      </c>
    </row>
    <row r="98">
      <c r="A98" s="13" t="n"/>
      <c r="B98" s="69" t="n"/>
      <c r="C98" s="13" t="n"/>
      <c r="D98" s="13" t="n"/>
      <c r="E98" s="70" t="n"/>
      <c r="F98" s="70" t="n"/>
      <c r="G98" s="70" t="n"/>
      <c r="H98" s="13" t="n"/>
      <c r="I98" s="13" t="n"/>
      <c r="J98" s="13" t="n"/>
      <c r="K98" s="16">
        <f>IF($A98="","",1)</f>
        <v/>
      </c>
    </row>
    <row r="99">
      <c r="A99" s="13" t="n"/>
      <c r="B99" s="69" t="n"/>
      <c r="C99" s="13" t="n"/>
      <c r="D99" s="13" t="n"/>
      <c r="E99" s="70" t="n"/>
      <c r="F99" s="70" t="n"/>
      <c r="G99" s="70" t="n"/>
      <c r="H99" s="13" t="n"/>
      <c r="I99" s="13" t="n"/>
      <c r="J99" s="13" t="n"/>
      <c r="K99" s="16">
        <f>IF($A99="","",1)</f>
        <v/>
      </c>
    </row>
    <row r="100">
      <c r="A100" s="13" t="n"/>
      <c r="B100" s="69" t="n"/>
      <c r="C100" s="13" t="n"/>
      <c r="D100" s="13" t="n"/>
      <c r="E100" s="70" t="n"/>
      <c r="F100" s="70" t="n"/>
      <c r="G100" s="70" t="n"/>
      <c r="H100" s="13" t="n"/>
      <c r="I100" s="13" t="n"/>
      <c r="J100" s="13" t="n"/>
      <c r="K100" s="16">
        <f>IF($A100="","",1)</f>
        <v/>
      </c>
    </row>
    <row r="101">
      <c r="A101" s="13" t="n"/>
      <c r="B101" s="69" t="n"/>
      <c r="C101" s="13" t="n"/>
      <c r="D101" s="13" t="n"/>
      <c r="E101" s="70" t="n"/>
      <c r="F101" s="70" t="n"/>
      <c r="G101" s="70" t="n"/>
      <c r="H101" s="13" t="n"/>
      <c r="I101" s="13" t="n"/>
      <c r="J101" s="13" t="n"/>
      <c r="K101" s="16">
        <f>IF($A101="","",1)</f>
        <v/>
      </c>
    </row>
    <row r="102">
      <c r="A102" s="13" t="n"/>
      <c r="B102" s="69" t="n"/>
      <c r="C102" s="13" t="n"/>
      <c r="D102" s="13" t="n"/>
      <c r="E102" s="70" t="n"/>
      <c r="F102" s="70" t="n"/>
      <c r="G102" s="70" t="n"/>
      <c r="H102" s="13" t="n"/>
      <c r="I102" s="13" t="n"/>
      <c r="J102" s="13" t="n"/>
      <c r="K102" s="16">
        <f>IF($A102="","",1)</f>
        <v/>
      </c>
    </row>
    <row r="103">
      <c r="A103" s="13" t="n"/>
      <c r="B103" s="69" t="n"/>
      <c r="C103" s="13" t="n"/>
      <c r="D103" s="13" t="n"/>
      <c r="E103" s="70" t="n"/>
      <c r="F103" s="70" t="n"/>
      <c r="G103" s="70" t="n"/>
      <c r="H103" s="13" t="n"/>
      <c r="I103" s="13" t="n"/>
      <c r="J103" s="13" t="n"/>
      <c r="K103" s="16">
        <f>IF($A103="","",1)</f>
        <v/>
      </c>
    </row>
    <row r="104">
      <c r="A104" s="13" t="n"/>
      <c r="B104" s="69" t="n"/>
      <c r="C104" s="13" t="n"/>
      <c r="D104" s="13" t="n"/>
      <c r="E104" s="70" t="n"/>
      <c r="F104" s="70" t="n"/>
      <c r="G104" s="70" t="n"/>
      <c r="H104" s="13" t="n"/>
      <c r="I104" s="13" t="n"/>
      <c r="J104" s="13" t="n"/>
      <c r="K104" s="16">
        <f>IF($A104="","",1)</f>
        <v/>
      </c>
    </row>
    <row r="105">
      <c r="A105" s="13" t="n"/>
      <c r="B105" s="69" t="n"/>
      <c r="C105" s="13" t="n"/>
      <c r="D105" s="13" t="n"/>
      <c r="E105" s="70" t="n"/>
      <c r="F105" s="70" t="n"/>
      <c r="G105" s="70" t="n"/>
      <c r="H105" s="13" t="n"/>
      <c r="I105" s="13" t="n"/>
      <c r="J105" s="13" t="n"/>
      <c r="K105" s="16">
        <f>IF($A105="","",1)</f>
        <v/>
      </c>
    </row>
    <row r="106">
      <c r="A106" s="13" t="n"/>
      <c r="B106" s="69" t="n"/>
      <c r="C106" s="13" t="n"/>
      <c r="D106" s="13" t="n"/>
      <c r="E106" s="70" t="n"/>
      <c r="F106" s="70" t="n"/>
      <c r="G106" s="70" t="n"/>
      <c r="H106" s="13" t="n"/>
      <c r="I106" s="13" t="n"/>
      <c r="J106" s="13" t="n"/>
      <c r="K106" s="16">
        <f>IF($A106="","",1)</f>
        <v/>
      </c>
    </row>
    <row r="107">
      <c r="A107" s="13" t="n"/>
      <c r="B107" s="69" t="n"/>
      <c r="C107" s="13" t="n"/>
      <c r="D107" s="13" t="n"/>
      <c r="E107" s="70" t="n"/>
      <c r="F107" s="70" t="n"/>
      <c r="G107" s="70" t="n"/>
      <c r="H107" s="13" t="n"/>
      <c r="I107" s="13" t="n"/>
      <c r="J107" s="13" t="n"/>
      <c r="K107" s="16">
        <f>IF($A107="","",1)</f>
        <v/>
      </c>
    </row>
    <row r="108">
      <c r="A108" s="13" t="n"/>
      <c r="B108" s="69" t="n"/>
      <c r="C108" s="13" t="n"/>
      <c r="D108" s="13" t="n"/>
      <c r="E108" s="70" t="n"/>
      <c r="F108" s="70" t="n"/>
      <c r="G108" s="70" t="n"/>
      <c r="H108" s="13" t="n"/>
      <c r="I108" s="13" t="n"/>
      <c r="J108" s="13" t="n"/>
      <c r="K108" s="16">
        <f>IF($A108="","",1)</f>
        <v/>
      </c>
    </row>
    <row r="109">
      <c r="A109" s="13" t="n"/>
      <c r="B109" s="69" t="n"/>
      <c r="C109" s="13" t="n"/>
      <c r="D109" s="13" t="n"/>
      <c r="E109" s="70" t="n"/>
      <c r="F109" s="70" t="n"/>
      <c r="G109" s="70" t="n"/>
      <c r="H109" s="13" t="n"/>
      <c r="I109" s="13" t="n"/>
      <c r="J109" s="13" t="n"/>
      <c r="K109" s="16">
        <f>IF($A109="","",1)</f>
        <v/>
      </c>
    </row>
    <row r="110">
      <c r="A110" s="13" t="n"/>
      <c r="B110" s="69" t="n"/>
      <c r="C110" s="13" t="n"/>
      <c r="D110" s="13" t="n"/>
      <c r="E110" s="70" t="n"/>
      <c r="F110" s="70" t="n"/>
      <c r="G110" s="70" t="n"/>
      <c r="H110" s="13" t="n"/>
      <c r="I110" s="13" t="n"/>
      <c r="J110" s="13" t="n"/>
      <c r="K110" s="16">
        <f>IF($A110="","",1)</f>
        <v/>
      </c>
    </row>
    <row r="111">
      <c r="A111" s="13" t="n"/>
      <c r="B111" s="69" t="n"/>
      <c r="C111" s="13" t="n"/>
      <c r="D111" s="13" t="n"/>
      <c r="E111" s="70" t="n"/>
      <c r="F111" s="70" t="n"/>
      <c r="G111" s="70" t="n"/>
      <c r="H111" s="13" t="n"/>
      <c r="I111" s="13" t="n"/>
      <c r="J111" s="13" t="n"/>
      <c r="K111" s="16">
        <f>IF($A111="","",1)</f>
        <v/>
      </c>
    </row>
    <row r="112">
      <c r="A112" s="13" t="n"/>
      <c r="B112" s="69" t="n"/>
      <c r="C112" s="13" t="n"/>
      <c r="D112" s="13" t="n"/>
      <c r="E112" s="70" t="n"/>
      <c r="F112" s="70" t="n"/>
      <c r="G112" s="70" t="n"/>
      <c r="H112" s="13" t="n"/>
      <c r="I112" s="13" t="n"/>
      <c r="J112" s="13" t="n"/>
      <c r="K112" s="16">
        <f>IF($A112="","",1)</f>
        <v/>
      </c>
    </row>
    <row r="113">
      <c r="A113" s="13" t="n"/>
      <c r="B113" s="69" t="n"/>
      <c r="C113" s="13" t="n"/>
      <c r="D113" s="13" t="n"/>
      <c r="E113" s="70" t="n"/>
      <c r="F113" s="70" t="n"/>
      <c r="G113" s="70" t="n"/>
      <c r="H113" s="13" t="n"/>
      <c r="I113" s="13" t="n"/>
      <c r="J113" s="13" t="n"/>
      <c r="K113" s="16">
        <f>IF($A113="","",1)</f>
        <v/>
      </c>
    </row>
    <row r="114">
      <c r="A114" s="13" t="n"/>
      <c r="B114" s="69" t="n"/>
      <c r="C114" s="13" t="n"/>
      <c r="D114" s="13" t="n"/>
      <c r="E114" s="70" t="n"/>
      <c r="F114" s="70" t="n"/>
      <c r="G114" s="70" t="n"/>
      <c r="H114" s="13" t="n"/>
      <c r="I114" s="13" t="n"/>
      <c r="J114" s="13" t="n"/>
      <c r="K114" s="16">
        <f>IF($A114="","",1)</f>
        <v/>
      </c>
    </row>
    <row r="115">
      <c r="A115" s="13" t="n"/>
      <c r="B115" s="69" t="n"/>
      <c r="C115" s="13" t="n"/>
      <c r="D115" s="13" t="n"/>
      <c r="E115" s="70" t="n"/>
      <c r="F115" s="70" t="n"/>
      <c r="G115" s="70" t="n"/>
      <c r="H115" s="13" t="n"/>
      <c r="I115" s="13" t="n"/>
      <c r="J115" s="13" t="n"/>
      <c r="K115" s="16">
        <f>IF($A115="","",1)</f>
        <v/>
      </c>
    </row>
    <row r="116">
      <c r="A116" s="13" t="n"/>
      <c r="B116" s="69" t="n"/>
      <c r="C116" s="13" t="n"/>
      <c r="D116" s="13" t="n"/>
      <c r="E116" s="70" t="n"/>
      <c r="F116" s="70" t="n"/>
      <c r="G116" s="70" t="n"/>
      <c r="H116" s="13" t="n"/>
      <c r="I116" s="13" t="n"/>
      <c r="J116" s="13" t="n"/>
      <c r="K116" s="16">
        <f>IF($A116="","",1)</f>
        <v/>
      </c>
    </row>
    <row r="117">
      <c r="A117" s="13" t="n"/>
      <c r="B117" s="69" t="n"/>
      <c r="C117" s="13" t="n"/>
      <c r="D117" s="13" t="n"/>
      <c r="E117" s="70" t="n"/>
      <c r="F117" s="70" t="n"/>
      <c r="G117" s="70" t="n"/>
      <c r="H117" s="13" t="n"/>
      <c r="I117" s="13" t="n"/>
      <c r="J117" s="13" t="n"/>
      <c r="K117" s="16">
        <f>IF($A117="","",1)</f>
        <v/>
      </c>
    </row>
    <row r="118">
      <c r="A118" s="13" t="n"/>
      <c r="B118" s="69" t="n"/>
      <c r="C118" s="13" t="n"/>
      <c r="D118" s="13" t="n"/>
      <c r="E118" s="70" t="n"/>
      <c r="F118" s="70" t="n"/>
      <c r="G118" s="70" t="n"/>
      <c r="H118" s="13" t="n"/>
      <c r="I118" s="13" t="n"/>
      <c r="J118" s="13" t="n"/>
      <c r="K118" s="16">
        <f>IF($A118="","",1)</f>
        <v/>
      </c>
    </row>
    <row r="119">
      <c r="A119" s="13" t="n"/>
      <c r="B119" s="69" t="n"/>
      <c r="C119" s="13" t="n"/>
      <c r="D119" s="13" t="n"/>
      <c r="E119" s="70" t="n"/>
      <c r="F119" s="70" t="n"/>
      <c r="G119" s="70" t="n"/>
      <c r="H119" s="13" t="n"/>
      <c r="I119" s="13" t="n"/>
      <c r="J119" s="13" t="n"/>
      <c r="K119" s="16">
        <f>IF($A119="","",1)</f>
        <v/>
      </c>
    </row>
    <row r="120">
      <c r="A120" s="13" t="n"/>
      <c r="B120" s="69" t="n"/>
      <c r="C120" s="13" t="n"/>
      <c r="D120" s="13" t="n"/>
      <c r="E120" s="70" t="n"/>
      <c r="F120" s="70" t="n"/>
      <c r="G120" s="70" t="n"/>
      <c r="H120" s="13" t="n"/>
      <c r="I120" s="13" t="n"/>
      <c r="J120" s="13" t="n"/>
      <c r="K120" s="16">
        <f>IF($A120="","",1)</f>
        <v/>
      </c>
    </row>
    <row r="121">
      <c r="A121" s="13" t="n"/>
      <c r="B121" s="69" t="n"/>
      <c r="C121" s="13" t="n"/>
      <c r="D121" s="13" t="n"/>
      <c r="E121" s="70" t="n"/>
      <c r="F121" s="70" t="n"/>
      <c r="G121" s="70" t="n"/>
      <c r="H121" s="13" t="n"/>
      <c r="I121" s="13" t="n"/>
      <c r="J121" s="13" t="n"/>
      <c r="K121" s="16">
        <f>IF($A121="","",1)</f>
        <v/>
      </c>
    </row>
    <row r="122">
      <c r="A122" s="13" t="n"/>
      <c r="B122" s="69" t="n"/>
      <c r="C122" s="13" t="n"/>
      <c r="D122" s="13" t="n"/>
      <c r="E122" s="70" t="n"/>
      <c r="F122" s="70" t="n"/>
      <c r="G122" s="70" t="n"/>
      <c r="H122" s="13" t="n"/>
      <c r="I122" s="13" t="n"/>
      <c r="J122" s="13" t="n"/>
      <c r="K122" s="16">
        <f>IF($A122="","",1)</f>
        <v/>
      </c>
    </row>
    <row r="123">
      <c r="A123" s="13" t="n"/>
      <c r="B123" s="69" t="n"/>
      <c r="C123" s="13" t="n"/>
      <c r="D123" s="13" t="n"/>
      <c r="E123" s="70" t="n"/>
      <c r="F123" s="70" t="n"/>
      <c r="G123" s="70" t="n"/>
      <c r="H123" s="13" t="n"/>
      <c r="I123" s="13" t="n"/>
      <c r="J123" s="13" t="n"/>
      <c r="K123" s="16">
        <f>IF($A123="","",1)</f>
        <v/>
      </c>
    </row>
    <row r="124">
      <c r="A124" s="13" t="n"/>
      <c r="B124" s="69" t="n"/>
      <c r="C124" s="13" t="n"/>
      <c r="D124" s="13" t="n"/>
      <c r="E124" s="70" t="n"/>
      <c r="F124" s="70" t="n"/>
      <c r="G124" s="70" t="n"/>
      <c r="H124" s="13" t="n"/>
      <c r="I124" s="13" t="n"/>
      <c r="J124" s="13" t="n"/>
      <c r="K124" s="16">
        <f>IF($A124="","",1)</f>
        <v/>
      </c>
    </row>
    <row r="125">
      <c r="A125" s="13" t="n"/>
      <c r="B125" s="69" t="n"/>
      <c r="C125" s="13" t="n"/>
      <c r="D125" s="13" t="n"/>
      <c r="E125" s="70" t="n"/>
      <c r="F125" s="70" t="n"/>
      <c r="G125" s="70" t="n"/>
      <c r="H125" s="13" t="n"/>
      <c r="I125" s="13" t="n"/>
      <c r="J125" s="13" t="n"/>
      <c r="K125" s="16">
        <f>IF($A125="","",1)</f>
        <v/>
      </c>
    </row>
    <row r="126">
      <c r="A126" s="13" t="n"/>
      <c r="B126" s="69" t="n"/>
      <c r="C126" s="13" t="n"/>
      <c r="D126" s="13" t="n"/>
      <c r="E126" s="70" t="n"/>
      <c r="F126" s="70" t="n"/>
      <c r="G126" s="70" t="n"/>
      <c r="H126" s="13" t="n"/>
      <c r="I126" s="13" t="n"/>
      <c r="J126" s="13" t="n"/>
      <c r="K126" s="16">
        <f>IF($A126="","",1)</f>
        <v/>
      </c>
    </row>
    <row r="127">
      <c r="A127" s="13" t="n"/>
      <c r="B127" s="69" t="n"/>
      <c r="C127" s="13" t="n"/>
      <c r="D127" s="13" t="n"/>
      <c r="E127" s="70" t="n"/>
      <c r="F127" s="70" t="n"/>
      <c r="G127" s="70" t="n"/>
      <c r="H127" s="13" t="n"/>
      <c r="I127" s="13" t="n"/>
      <c r="J127" s="13" t="n"/>
      <c r="K127" s="16">
        <f>IF($A127="","",1)</f>
        <v/>
      </c>
    </row>
    <row r="128">
      <c r="A128" s="13" t="n"/>
      <c r="B128" s="69" t="n"/>
      <c r="C128" s="13" t="n"/>
      <c r="D128" s="13" t="n"/>
      <c r="E128" s="70" t="n"/>
      <c r="F128" s="70" t="n"/>
      <c r="G128" s="70" t="n"/>
      <c r="H128" s="13" t="n"/>
      <c r="I128" s="13" t="n"/>
      <c r="J128" s="13" t="n"/>
      <c r="K128" s="16">
        <f>IF($A128="","",1)</f>
        <v/>
      </c>
    </row>
    <row r="129">
      <c r="A129" s="13" t="n"/>
      <c r="B129" s="69" t="n"/>
      <c r="C129" s="13" t="n"/>
      <c r="D129" s="13" t="n"/>
      <c r="E129" s="70" t="n"/>
      <c r="F129" s="70" t="n"/>
      <c r="G129" s="70" t="n"/>
      <c r="H129" s="13" t="n"/>
      <c r="I129" s="13" t="n"/>
      <c r="J129" s="13" t="n"/>
      <c r="K129" s="16">
        <f>IF($A129="","",1)</f>
        <v/>
      </c>
    </row>
    <row r="130">
      <c r="A130" s="13" t="n"/>
      <c r="B130" s="69" t="n"/>
      <c r="C130" s="13" t="n"/>
      <c r="D130" s="13" t="n"/>
      <c r="E130" s="70" t="n"/>
      <c r="F130" s="70" t="n"/>
      <c r="G130" s="70" t="n"/>
      <c r="H130" s="13" t="n"/>
      <c r="I130" s="13" t="n"/>
      <c r="J130" s="13" t="n"/>
      <c r="K130" s="16">
        <f>IF($A130="","",1)</f>
        <v/>
      </c>
    </row>
    <row r="131">
      <c r="A131" s="13" t="n"/>
      <c r="B131" s="69" t="n"/>
      <c r="C131" s="13" t="n"/>
      <c r="D131" s="13" t="n"/>
      <c r="E131" s="70" t="n"/>
      <c r="F131" s="70" t="n"/>
      <c r="G131" s="70" t="n"/>
      <c r="H131" s="13" t="n"/>
      <c r="I131" s="13" t="n"/>
      <c r="J131" s="13" t="n"/>
      <c r="K131" s="16">
        <f>IF($A131="","",1)</f>
        <v/>
      </c>
    </row>
    <row r="132">
      <c r="A132" s="13" t="n"/>
      <c r="B132" s="69" t="n"/>
      <c r="C132" s="13" t="n"/>
      <c r="D132" s="13" t="n"/>
      <c r="E132" s="70" t="n"/>
      <c r="F132" s="70" t="n"/>
      <c r="G132" s="70" t="n"/>
      <c r="H132" s="13" t="n"/>
      <c r="I132" s="13" t="n"/>
      <c r="J132" s="13" t="n"/>
      <c r="K132" s="16">
        <f>IF($A132="","",1)</f>
        <v/>
      </c>
    </row>
    <row r="133">
      <c r="A133" s="13" t="n"/>
      <c r="B133" s="69" t="n"/>
      <c r="C133" s="13" t="n"/>
      <c r="D133" s="13" t="n"/>
      <c r="E133" s="70" t="n"/>
      <c r="F133" s="70" t="n"/>
      <c r="G133" s="70" t="n"/>
      <c r="H133" s="13" t="n"/>
      <c r="I133" s="13" t="n"/>
      <c r="J133" s="13" t="n"/>
      <c r="K133" s="16">
        <f>IF($A133="","",1)</f>
        <v/>
      </c>
    </row>
    <row r="134">
      <c r="A134" s="13" t="n"/>
      <c r="B134" s="69" t="n"/>
      <c r="C134" s="13" t="n"/>
      <c r="D134" s="13" t="n"/>
      <c r="E134" s="70" t="n"/>
      <c r="F134" s="70" t="n"/>
      <c r="G134" s="70" t="n"/>
      <c r="H134" s="13" t="n"/>
      <c r="I134" s="13" t="n"/>
      <c r="J134" s="13" t="n"/>
      <c r="K134" s="16">
        <f>IF($A134="","",1)</f>
        <v/>
      </c>
    </row>
    <row r="135">
      <c r="A135" s="13" t="n"/>
      <c r="B135" s="69" t="n"/>
      <c r="C135" s="13" t="n"/>
      <c r="D135" s="13" t="n"/>
      <c r="E135" s="70" t="n"/>
      <c r="F135" s="70" t="n"/>
      <c r="G135" s="70" t="n"/>
      <c r="H135" s="13" t="n"/>
      <c r="I135" s="13" t="n"/>
      <c r="J135" s="13" t="n"/>
      <c r="K135" s="16">
        <f>IF($A135="","",1)</f>
        <v/>
      </c>
    </row>
    <row r="136">
      <c r="A136" s="13" t="n"/>
      <c r="B136" s="69" t="n"/>
      <c r="C136" s="13" t="n"/>
      <c r="D136" s="13" t="n"/>
      <c r="E136" s="70" t="n"/>
      <c r="F136" s="70" t="n"/>
      <c r="G136" s="70" t="n"/>
      <c r="H136" s="13" t="n"/>
      <c r="I136" s="13" t="n"/>
      <c r="J136" s="13" t="n"/>
      <c r="K136" s="16">
        <f>IF($A136="","",1)</f>
        <v/>
      </c>
    </row>
    <row r="137">
      <c r="A137" s="13" t="n"/>
      <c r="B137" s="69" t="n"/>
      <c r="C137" s="13" t="n"/>
      <c r="D137" s="13" t="n"/>
      <c r="E137" s="70" t="n"/>
      <c r="F137" s="70" t="n"/>
      <c r="G137" s="70" t="n"/>
      <c r="H137" s="13" t="n"/>
      <c r="I137" s="13" t="n"/>
      <c r="J137" s="13" t="n"/>
      <c r="K137" s="16">
        <f>IF($A137="","",1)</f>
        <v/>
      </c>
    </row>
    <row r="138">
      <c r="A138" s="13" t="n"/>
      <c r="B138" s="69" t="n"/>
      <c r="C138" s="13" t="n"/>
      <c r="D138" s="13" t="n"/>
      <c r="E138" s="70" t="n"/>
      <c r="F138" s="70" t="n"/>
      <c r="G138" s="70" t="n"/>
      <c r="H138" s="13" t="n"/>
      <c r="I138" s="13" t="n"/>
      <c r="J138" s="13" t="n"/>
      <c r="K138" s="16">
        <f>IF($A138="","",1)</f>
        <v/>
      </c>
    </row>
    <row r="139">
      <c r="A139" s="13" t="n"/>
      <c r="B139" s="69" t="n"/>
      <c r="C139" s="13" t="n"/>
      <c r="D139" s="13" t="n"/>
      <c r="E139" s="70" t="n"/>
      <c r="F139" s="70" t="n"/>
      <c r="G139" s="70" t="n"/>
      <c r="H139" s="13" t="n"/>
      <c r="I139" s="13" t="n"/>
      <c r="J139" s="13" t="n"/>
      <c r="K139" s="16">
        <f>IF($A139="","",1)</f>
        <v/>
      </c>
    </row>
    <row r="140">
      <c r="A140" s="13" t="n"/>
      <c r="B140" s="69" t="n"/>
      <c r="C140" s="13" t="n"/>
      <c r="D140" s="13" t="n"/>
      <c r="E140" s="70" t="n"/>
      <c r="F140" s="70" t="n"/>
      <c r="G140" s="70" t="n"/>
      <c r="H140" s="13" t="n"/>
      <c r="I140" s="13" t="n"/>
      <c r="J140" s="13" t="n"/>
      <c r="K140" s="16">
        <f>IF($A140="","",1)</f>
        <v/>
      </c>
    </row>
    <row r="141">
      <c r="A141" s="13" t="n"/>
      <c r="B141" s="69" t="n"/>
      <c r="C141" s="13" t="n"/>
      <c r="D141" s="13" t="n"/>
      <c r="E141" s="70" t="n"/>
      <c r="F141" s="70" t="n"/>
      <c r="G141" s="70" t="n"/>
      <c r="H141" s="13" t="n"/>
      <c r="I141" s="13" t="n"/>
      <c r="J141" s="13" t="n"/>
      <c r="K141" s="16">
        <f>IF($A141="","",1)</f>
        <v/>
      </c>
    </row>
    <row r="142">
      <c r="A142" s="13" t="n"/>
      <c r="B142" s="69" t="n"/>
      <c r="C142" s="13" t="n"/>
      <c r="D142" s="13" t="n"/>
      <c r="E142" s="70" t="n"/>
      <c r="F142" s="70" t="n"/>
      <c r="G142" s="70" t="n"/>
      <c r="H142" s="13" t="n"/>
      <c r="I142" s="13" t="n"/>
      <c r="J142" s="13" t="n"/>
      <c r="K142" s="16">
        <f>IF($A142="","",1)</f>
        <v/>
      </c>
    </row>
    <row r="143">
      <c r="A143" s="13" t="n"/>
      <c r="B143" s="69" t="n"/>
      <c r="C143" s="13" t="n"/>
      <c r="D143" s="13" t="n"/>
      <c r="E143" s="70" t="n"/>
      <c r="F143" s="70" t="n"/>
      <c r="G143" s="70" t="n"/>
      <c r="H143" s="13" t="n"/>
      <c r="I143" s="13" t="n"/>
      <c r="J143" s="13" t="n"/>
      <c r="K143" s="16">
        <f>IF($A143="","",1)</f>
        <v/>
      </c>
    </row>
    <row r="144">
      <c r="A144" s="13" t="n"/>
      <c r="B144" s="69" t="n"/>
      <c r="C144" s="13" t="n"/>
      <c r="D144" s="13" t="n"/>
      <c r="E144" s="70" t="n"/>
      <c r="F144" s="70" t="n"/>
      <c r="G144" s="70" t="n"/>
      <c r="H144" s="13" t="n"/>
      <c r="I144" s="13" t="n"/>
      <c r="J144" s="13" t="n"/>
      <c r="K144" s="16">
        <f>IF($A144="","",1)</f>
        <v/>
      </c>
    </row>
    <row r="145">
      <c r="A145" s="13" t="n"/>
      <c r="B145" s="69" t="n"/>
      <c r="C145" s="13" t="n"/>
      <c r="D145" s="13" t="n"/>
      <c r="E145" s="70" t="n"/>
      <c r="F145" s="70" t="n"/>
      <c r="G145" s="70" t="n"/>
      <c r="H145" s="13" t="n"/>
      <c r="I145" s="13" t="n"/>
      <c r="J145" s="13" t="n"/>
      <c r="K145" s="16">
        <f>IF($A145="","",1)</f>
        <v/>
      </c>
    </row>
    <row r="146">
      <c r="A146" s="13" t="n"/>
      <c r="B146" s="69" t="n"/>
      <c r="C146" s="13" t="n"/>
      <c r="D146" s="13" t="n"/>
      <c r="E146" s="70" t="n"/>
      <c r="F146" s="70" t="n"/>
      <c r="G146" s="70" t="n"/>
      <c r="H146" s="13" t="n"/>
      <c r="I146" s="13" t="n"/>
      <c r="J146" s="13" t="n"/>
      <c r="K146" s="16">
        <f>IF($A146="","",1)</f>
        <v/>
      </c>
    </row>
    <row r="147">
      <c r="A147" s="13" t="n"/>
      <c r="B147" s="69" t="n"/>
      <c r="C147" s="13" t="n"/>
      <c r="D147" s="13" t="n"/>
      <c r="E147" s="70" t="n"/>
      <c r="F147" s="70" t="n"/>
      <c r="G147" s="70" t="n"/>
      <c r="H147" s="13" t="n"/>
      <c r="I147" s="13" t="n"/>
      <c r="J147" s="13" t="n"/>
      <c r="K147" s="16">
        <f>IF($A147="","",1)</f>
        <v/>
      </c>
    </row>
    <row r="148">
      <c r="A148" s="13" t="n"/>
      <c r="B148" s="69" t="n"/>
      <c r="C148" s="13" t="n"/>
      <c r="D148" s="13" t="n"/>
      <c r="E148" s="70" t="n"/>
      <c r="F148" s="70" t="n"/>
      <c r="G148" s="70" t="n"/>
      <c r="H148" s="13" t="n"/>
      <c r="I148" s="13" t="n"/>
      <c r="J148" s="13" t="n"/>
      <c r="K148" s="16">
        <f>IF($A148="","",1)</f>
        <v/>
      </c>
    </row>
    <row r="149">
      <c r="A149" s="13" t="n"/>
      <c r="B149" s="69" t="n"/>
      <c r="C149" s="13" t="n"/>
      <c r="D149" s="13" t="n"/>
      <c r="E149" s="70" t="n"/>
      <c r="F149" s="70" t="n"/>
      <c r="G149" s="70" t="n"/>
      <c r="H149" s="13" t="n"/>
      <c r="I149" s="13" t="n"/>
      <c r="J149" s="13" t="n"/>
      <c r="K149" s="16">
        <f>IF($A149="","",1)</f>
        <v/>
      </c>
    </row>
    <row r="150">
      <c r="A150" s="13" t="n"/>
      <c r="B150" s="69" t="n"/>
      <c r="C150" s="13" t="n"/>
      <c r="D150" s="13" t="n"/>
      <c r="E150" s="70" t="n"/>
      <c r="F150" s="70" t="n"/>
      <c r="G150" s="70" t="n"/>
      <c r="H150" s="13" t="n"/>
      <c r="I150" s="13" t="n"/>
      <c r="J150" s="13" t="n"/>
      <c r="K150" s="16">
        <f>IF($A150="","",1)</f>
        <v/>
      </c>
    </row>
    <row r="151">
      <c r="A151" s="13" t="n"/>
      <c r="B151" s="69" t="n"/>
      <c r="C151" s="13" t="n"/>
      <c r="D151" s="13" t="n"/>
      <c r="E151" s="70" t="n"/>
      <c r="F151" s="70" t="n"/>
      <c r="G151" s="70" t="n"/>
      <c r="H151" s="13" t="n"/>
      <c r="I151" s="13" t="n"/>
      <c r="J151" s="13" t="n"/>
      <c r="K151" s="16">
        <f>IF($A151="","",1)</f>
        <v/>
      </c>
    </row>
    <row r="152">
      <c r="A152" s="13" t="n"/>
      <c r="B152" s="69" t="n"/>
      <c r="C152" s="13" t="n"/>
      <c r="D152" s="13" t="n"/>
      <c r="E152" s="70" t="n"/>
      <c r="F152" s="70" t="n"/>
      <c r="G152" s="70" t="n"/>
      <c r="H152" s="13" t="n"/>
      <c r="I152" s="13" t="n"/>
      <c r="J152" s="13" t="n"/>
      <c r="K152" s="16">
        <f>IF($A152="","",1)</f>
        <v/>
      </c>
    </row>
    <row r="153">
      <c r="A153" s="13" t="n"/>
      <c r="B153" s="69" t="n"/>
      <c r="C153" s="13" t="n"/>
      <c r="D153" s="13" t="n"/>
      <c r="E153" s="70" t="n"/>
      <c r="F153" s="70" t="n"/>
      <c r="G153" s="70" t="n"/>
      <c r="H153" s="13" t="n"/>
      <c r="I153" s="13" t="n"/>
      <c r="J153" s="13" t="n"/>
      <c r="K153" s="16">
        <f>IF($A153="","",1)</f>
        <v/>
      </c>
    </row>
    <row r="154">
      <c r="A154" s="13" t="n"/>
      <c r="B154" s="69" t="n"/>
      <c r="C154" s="13" t="n"/>
      <c r="D154" s="13" t="n"/>
      <c r="E154" s="70" t="n"/>
      <c r="F154" s="70" t="n"/>
      <c r="G154" s="70" t="n"/>
      <c r="H154" s="13" t="n"/>
      <c r="I154" s="13" t="n"/>
      <c r="J154" s="13" t="n"/>
      <c r="K154" s="16">
        <f>IF($A154="","",1)</f>
        <v/>
      </c>
    </row>
    <row r="155">
      <c r="A155" s="13" t="n"/>
      <c r="B155" s="69" t="n"/>
      <c r="C155" s="13" t="n"/>
      <c r="D155" s="13" t="n"/>
      <c r="E155" s="70" t="n"/>
      <c r="F155" s="70" t="n"/>
      <c r="G155" s="70" t="n"/>
      <c r="H155" s="13" t="n"/>
      <c r="I155" s="13" t="n"/>
      <c r="J155" s="13" t="n"/>
      <c r="K155" s="16">
        <f>IF($A155="","",1)</f>
        <v/>
      </c>
    </row>
    <row r="156">
      <c r="A156" s="13" t="n"/>
      <c r="B156" s="69" t="n"/>
      <c r="C156" s="13" t="n"/>
      <c r="D156" s="13" t="n"/>
      <c r="E156" s="70" t="n"/>
      <c r="F156" s="70" t="n"/>
      <c r="G156" s="70" t="n"/>
      <c r="H156" s="13" t="n"/>
      <c r="I156" s="13" t="n"/>
      <c r="J156" s="13" t="n"/>
      <c r="K156" s="16">
        <f>IF($A156="","",1)</f>
        <v/>
      </c>
    </row>
    <row r="157">
      <c r="A157" s="13" t="n"/>
      <c r="B157" s="69" t="n"/>
      <c r="C157" s="13" t="n"/>
      <c r="D157" s="13" t="n"/>
      <c r="E157" s="70" t="n"/>
      <c r="F157" s="70" t="n"/>
      <c r="G157" s="70" t="n"/>
      <c r="H157" s="13" t="n"/>
      <c r="I157" s="13" t="n"/>
      <c r="J157" s="13" t="n"/>
      <c r="K157" s="16">
        <f>IF($A157="","",1)</f>
        <v/>
      </c>
    </row>
    <row r="158">
      <c r="A158" s="13" t="n"/>
      <c r="B158" s="69" t="n"/>
      <c r="C158" s="13" t="n"/>
      <c r="D158" s="13" t="n"/>
      <c r="E158" s="70" t="n"/>
      <c r="F158" s="70" t="n"/>
      <c r="G158" s="70" t="n"/>
      <c r="H158" s="13" t="n"/>
      <c r="I158" s="13" t="n"/>
      <c r="J158" s="13" t="n"/>
      <c r="K158" s="16">
        <f>IF($A158="","",1)</f>
        <v/>
      </c>
    </row>
    <row r="159">
      <c r="A159" s="13" t="n"/>
      <c r="B159" s="69" t="n"/>
      <c r="C159" s="13" t="n"/>
      <c r="D159" s="13" t="n"/>
      <c r="E159" s="70" t="n"/>
      <c r="F159" s="70" t="n"/>
      <c r="G159" s="70" t="n"/>
      <c r="H159" s="13" t="n"/>
      <c r="I159" s="13" t="n"/>
      <c r="J159" s="13" t="n"/>
      <c r="K159" s="16">
        <f>IF($A159="","",1)</f>
        <v/>
      </c>
    </row>
    <row r="160">
      <c r="A160" s="13" t="n"/>
      <c r="B160" s="69" t="n"/>
      <c r="C160" s="13" t="n"/>
      <c r="D160" s="13" t="n"/>
      <c r="E160" s="70" t="n"/>
      <c r="F160" s="70" t="n"/>
      <c r="G160" s="70" t="n"/>
      <c r="H160" s="13" t="n"/>
      <c r="I160" s="13" t="n"/>
      <c r="J160" s="13" t="n"/>
      <c r="K160" s="16">
        <f>IF($A160="","",1)</f>
        <v/>
      </c>
    </row>
    <row r="161">
      <c r="A161" s="13" t="n"/>
      <c r="B161" s="69" t="n"/>
      <c r="C161" s="13" t="n"/>
      <c r="D161" s="13" t="n"/>
      <c r="E161" s="70" t="n"/>
      <c r="F161" s="70" t="n"/>
      <c r="G161" s="70" t="n"/>
      <c r="H161" s="13" t="n"/>
      <c r="I161" s="13" t="n"/>
      <c r="J161" s="13" t="n"/>
      <c r="K161" s="16">
        <f>IF($A161="","",1)</f>
        <v/>
      </c>
    </row>
    <row r="162">
      <c r="A162" s="13" t="n"/>
      <c r="B162" s="69" t="n"/>
      <c r="C162" s="13" t="n"/>
      <c r="D162" s="13" t="n"/>
      <c r="E162" s="70" t="n"/>
      <c r="F162" s="70" t="n"/>
      <c r="G162" s="70" t="n"/>
      <c r="H162" s="13" t="n"/>
      <c r="I162" s="13" t="n"/>
      <c r="J162" s="13" t="n"/>
      <c r="K162" s="16">
        <f>IF($A162="","",1)</f>
        <v/>
      </c>
    </row>
    <row r="163">
      <c r="A163" s="13" t="n"/>
      <c r="B163" s="69" t="n"/>
      <c r="C163" s="13" t="n"/>
      <c r="D163" s="13" t="n"/>
      <c r="E163" s="70" t="n"/>
      <c r="F163" s="70" t="n"/>
      <c r="G163" s="70" t="n"/>
      <c r="H163" s="13" t="n"/>
      <c r="I163" s="13" t="n"/>
      <c r="J163" s="13" t="n"/>
      <c r="K163" s="16">
        <f>IF($A163="","",1)</f>
        <v/>
      </c>
    </row>
    <row r="164">
      <c r="A164" s="13" t="n"/>
      <c r="B164" s="69" t="n"/>
      <c r="C164" s="13" t="n"/>
      <c r="D164" s="13" t="n"/>
      <c r="E164" s="70" t="n"/>
      <c r="F164" s="70" t="n"/>
      <c r="G164" s="70" t="n"/>
      <c r="H164" s="13" t="n"/>
      <c r="I164" s="13" t="n"/>
      <c r="J164" s="13" t="n"/>
      <c r="K164" s="16">
        <f>IF($A164="","",1)</f>
        <v/>
      </c>
    </row>
    <row r="165">
      <c r="A165" s="13" t="n"/>
      <c r="B165" s="69" t="n"/>
      <c r="C165" s="13" t="n"/>
      <c r="D165" s="13" t="n"/>
      <c r="E165" s="70" t="n"/>
      <c r="F165" s="70" t="n"/>
      <c r="G165" s="70" t="n"/>
      <c r="H165" s="13" t="n"/>
      <c r="I165" s="13" t="n"/>
      <c r="J165" s="13" t="n"/>
      <c r="K165" s="16">
        <f>IF($A165="","",1)</f>
        <v/>
      </c>
    </row>
    <row r="166">
      <c r="A166" s="13" t="n"/>
      <c r="B166" s="69" t="n"/>
      <c r="C166" s="13" t="n"/>
      <c r="D166" s="13" t="n"/>
      <c r="E166" s="70" t="n"/>
      <c r="F166" s="70" t="n"/>
      <c r="G166" s="70" t="n"/>
      <c r="H166" s="13" t="n"/>
      <c r="I166" s="13" t="n"/>
      <c r="J166" s="13" t="n"/>
      <c r="K166" s="16">
        <f>IF($A166="","",1)</f>
        <v/>
      </c>
    </row>
    <row r="167">
      <c r="A167" s="13" t="n"/>
      <c r="B167" s="69" t="n"/>
      <c r="C167" s="13" t="n"/>
      <c r="D167" s="13" t="n"/>
      <c r="E167" s="70" t="n"/>
      <c r="F167" s="70" t="n"/>
      <c r="G167" s="70" t="n"/>
      <c r="H167" s="13" t="n"/>
      <c r="I167" s="13" t="n"/>
      <c r="J167" s="13" t="n"/>
      <c r="K167" s="16">
        <f>IF($A167="","",1)</f>
        <v/>
      </c>
    </row>
    <row r="168">
      <c r="A168" s="13" t="n"/>
      <c r="B168" s="69" t="n"/>
      <c r="C168" s="13" t="n"/>
      <c r="D168" s="13" t="n"/>
      <c r="E168" s="70" t="n"/>
      <c r="F168" s="70" t="n"/>
      <c r="G168" s="70" t="n"/>
      <c r="H168" s="13" t="n"/>
      <c r="I168" s="13" t="n"/>
      <c r="J168" s="13" t="n"/>
      <c r="K168" s="16">
        <f>IF($A168="","",1)</f>
        <v/>
      </c>
    </row>
    <row r="169">
      <c r="A169" s="13" t="n"/>
      <c r="B169" s="69" t="n"/>
      <c r="C169" s="13" t="n"/>
      <c r="D169" s="13" t="n"/>
      <c r="E169" s="70" t="n"/>
      <c r="F169" s="70" t="n"/>
      <c r="G169" s="70" t="n"/>
      <c r="H169" s="13" t="n"/>
      <c r="I169" s="13" t="n"/>
      <c r="J169" s="13" t="n"/>
      <c r="K169" s="16">
        <f>IF($A169="","",1)</f>
        <v/>
      </c>
    </row>
    <row r="170">
      <c r="A170" s="13" t="n"/>
      <c r="B170" s="69" t="n"/>
      <c r="C170" s="13" t="n"/>
      <c r="D170" s="13" t="n"/>
      <c r="E170" s="70" t="n"/>
      <c r="F170" s="70" t="n"/>
      <c r="G170" s="70" t="n"/>
      <c r="H170" s="13" t="n"/>
      <c r="I170" s="13" t="n"/>
      <c r="J170" s="13" t="n"/>
      <c r="K170" s="16">
        <f>IF($A170="","",1)</f>
        <v/>
      </c>
    </row>
    <row r="171">
      <c r="A171" s="13" t="n"/>
      <c r="B171" s="69" t="n"/>
      <c r="C171" s="13" t="n"/>
      <c r="D171" s="13" t="n"/>
      <c r="E171" s="70" t="n"/>
      <c r="F171" s="70" t="n"/>
      <c r="G171" s="70" t="n"/>
      <c r="H171" s="13" t="n"/>
      <c r="I171" s="13" t="n"/>
      <c r="J171" s="13" t="n"/>
      <c r="K171" s="16">
        <f>IF($A171="","",1)</f>
        <v/>
      </c>
    </row>
    <row r="172">
      <c r="A172" s="13" t="n"/>
      <c r="B172" s="69" t="n"/>
      <c r="C172" s="13" t="n"/>
      <c r="D172" s="13" t="n"/>
      <c r="E172" s="70" t="n"/>
      <c r="F172" s="70" t="n"/>
      <c r="G172" s="70" t="n"/>
      <c r="H172" s="13" t="n"/>
      <c r="I172" s="13" t="n"/>
      <c r="J172" s="13" t="n"/>
      <c r="K172" s="16">
        <f>IF($A172="","",1)</f>
        <v/>
      </c>
    </row>
    <row r="173">
      <c r="A173" s="13" t="n"/>
      <c r="B173" s="69" t="n"/>
      <c r="C173" s="13" t="n"/>
      <c r="D173" s="13" t="n"/>
      <c r="E173" s="70" t="n"/>
      <c r="F173" s="70" t="n"/>
      <c r="G173" s="70" t="n"/>
      <c r="H173" s="13" t="n"/>
      <c r="I173" s="13" t="n"/>
      <c r="J173" s="13" t="n"/>
      <c r="K173" s="16">
        <f>IF($A173="","",1)</f>
        <v/>
      </c>
    </row>
    <row r="174">
      <c r="A174" s="13" t="n"/>
      <c r="B174" s="69" t="n"/>
      <c r="C174" s="13" t="n"/>
      <c r="D174" s="13" t="n"/>
      <c r="E174" s="70" t="n"/>
      <c r="F174" s="70" t="n"/>
      <c r="G174" s="70" t="n"/>
      <c r="H174" s="13" t="n"/>
      <c r="I174" s="13" t="n"/>
      <c r="J174" s="13" t="n"/>
      <c r="K174" s="16">
        <f>IF($A174="","",1)</f>
        <v/>
      </c>
    </row>
    <row r="175">
      <c r="A175" s="13" t="n"/>
      <c r="B175" s="69" t="n"/>
      <c r="C175" s="13" t="n"/>
      <c r="D175" s="13" t="n"/>
      <c r="E175" s="70" t="n"/>
      <c r="F175" s="70" t="n"/>
      <c r="G175" s="70" t="n"/>
      <c r="H175" s="13" t="n"/>
      <c r="I175" s="13" t="n"/>
      <c r="J175" s="13" t="n"/>
      <c r="K175" s="16">
        <f>IF($A175="","",1)</f>
        <v/>
      </c>
    </row>
    <row r="176">
      <c r="A176" s="13" t="n"/>
      <c r="B176" s="69" t="n"/>
      <c r="C176" s="13" t="n"/>
      <c r="D176" s="13" t="n"/>
      <c r="E176" s="70" t="n"/>
      <c r="F176" s="70" t="n"/>
      <c r="G176" s="70" t="n"/>
      <c r="H176" s="13" t="n"/>
      <c r="I176" s="13" t="n"/>
      <c r="J176" s="13" t="n"/>
      <c r="K176" s="16">
        <f>IF($A176="","",1)</f>
        <v/>
      </c>
    </row>
    <row r="177">
      <c r="A177" s="13" t="n"/>
      <c r="B177" s="69" t="n"/>
      <c r="C177" s="13" t="n"/>
      <c r="D177" s="13" t="n"/>
      <c r="E177" s="70" t="n"/>
      <c r="F177" s="70" t="n"/>
      <c r="G177" s="70" t="n"/>
      <c r="H177" s="13" t="n"/>
      <c r="I177" s="13" t="n"/>
      <c r="J177" s="13" t="n"/>
      <c r="K177" s="16">
        <f>IF($A177="","",1)</f>
        <v/>
      </c>
    </row>
    <row r="178">
      <c r="A178" s="13" t="n"/>
      <c r="B178" s="69" t="n"/>
      <c r="C178" s="13" t="n"/>
      <c r="D178" s="13" t="n"/>
      <c r="E178" s="70" t="n"/>
      <c r="F178" s="70" t="n"/>
      <c r="G178" s="70" t="n"/>
      <c r="H178" s="13" t="n"/>
      <c r="I178" s="13" t="n"/>
      <c r="J178" s="13" t="n"/>
      <c r="K178" s="16">
        <f>IF($A178="","",1)</f>
        <v/>
      </c>
    </row>
    <row r="179">
      <c r="A179" s="13" t="n"/>
      <c r="B179" s="69" t="n"/>
      <c r="C179" s="13" t="n"/>
      <c r="D179" s="13" t="n"/>
      <c r="E179" s="70" t="n"/>
      <c r="F179" s="70" t="n"/>
      <c r="G179" s="70" t="n"/>
      <c r="H179" s="13" t="n"/>
      <c r="I179" s="13" t="n"/>
      <c r="J179" s="13" t="n"/>
      <c r="K179" s="16">
        <f>IF($A179="","",1)</f>
        <v/>
      </c>
    </row>
    <row r="180">
      <c r="A180" s="13" t="n"/>
      <c r="B180" s="69" t="n"/>
      <c r="C180" s="13" t="n"/>
      <c r="D180" s="13" t="n"/>
      <c r="E180" s="70" t="n"/>
      <c r="F180" s="70" t="n"/>
      <c r="G180" s="70" t="n"/>
      <c r="H180" s="13" t="n"/>
      <c r="I180" s="13" t="n"/>
      <c r="J180" s="13" t="n"/>
      <c r="K180" s="16">
        <f>IF($A180="","",1)</f>
        <v/>
      </c>
    </row>
    <row r="181">
      <c r="A181" s="13" t="n"/>
      <c r="B181" s="69" t="n"/>
      <c r="C181" s="13" t="n"/>
      <c r="D181" s="13" t="n"/>
      <c r="E181" s="70" t="n"/>
      <c r="F181" s="70" t="n"/>
      <c r="G181" s="70" t="n"/>
      <c r="H181" s="13" t="n"/>
      <c r="I181" s="13" t="n"/>
      <c r="J181" s="13" t="n"/>
      <c r="K181" s="16">
        <f>IF($A181="","",1)</f>
        <v/>
      </c>
    </row>
    <row r="182">
      <c r="A182" s="13" t="n"/>
      <c r="B182" s="69" t="n"/>
      <c r="C182" s="13" t="n"/>
      <c r="D182" s="13" t="n"/>
      <c r="E182" s="70" t="n"/>
      <c r="F182" s="70" t="n"/>
      <c r="G182" s="70" t="n"/>
      <c r="H182" s="13" t="n"/>
      <c r="I182" s="13" t="n"/>
      <c r="J182" s="13" t="n"/>
      <c r="K182" s="16">
        <f>IF($A182="","",1)</f>
        <v/>
      </c>
    </row>
    <row r="183">
      <c r="A183" s="13" t="n"/>
      <c r="B183" s="69" t="n"/>
      <c r="C183" s="13" t="n"/>
      <c r="D183" s="13" t="n"/>
      <c r="E183" s="70" t="n"/>
      <c r="F183" s="70" t="n"/>
      <c r="G183" s="70" t="n"/>
      <c r="H183" s="13" t="n"/>
      <c r="I183" s="13" t="n"/>
      <c r="J183" s="13" t="n"/>
      <c r="K183" s="16">
        <f>IF($A183="","",1)</f>
        <v/>
      </c>
    </row>
    <row r="184">
      <c r="A184" s="13" t="n"/>
      <c r="B184" s="69" t="n"/>
      <c r="C184" s="13" t="n"/>
      <c r="D184" s="13" t="n"/>
      <c r="E184" s="70" t="n"/>
      <c r="F184" s="70" t="n"/>
      <c r="G184" s="70" t="n"/>
      <c r="H184" s="13" t="n"/>
      <c r="I184" s="13" t="n"/>
      <c r="J184" s="13" t="n"/>
      <c r="K184" s="16">
        <f>IF($A184="","",1)</f>
        <v/>
      </c>
    </row>
    <row r="185">
      <c r="A185" s="13" t="n"/>
      <c r="B185" s="69" t="n"/>
      <c r="C185" s="13" t="n"/>
      <c r="D185" s="13" t="n"/>
      <c r="E185" s="70" t="n"/>
      <c r="F185" s="70" t="n"/>
      <c r="G185" s="70" t="n"/>
      <c r="H185" s="13" t="n"/>
      <c r="I185" s="13" t="n"/>
      <c r="J185" s="13" t="n"/>
      <c r="K185" s="16">
        <f>IF($A185="","",1)</f>
        <v/>
      </c>
    </row>
    <row r="186">
      <c r="A186" s="13" t="n"/>
      <c r="B186" s="69" t="n"/>
      <c r="C186" s="13" t="n"/>
      <c r="D186" s="13" t="n"/>
      <c r="E186" s="70" t="n"/>
      <c r="F186" s="70" t="n"/>
      <c r="G186" s="70" t="n"/>
      <c r="H186" s="13" t="n"/>
      <c r="I186" s="13" t="n"/>
      <c r="J186" s="13" t="n"/>
      <c r="K186" s="16">
        <f>IF($A186="","",1)</f>
        <v/>
      </c>
    </row>
    <row r="187">
      <c r="A187" s="13" t="n"/>
      <c r="B187" s="69" t="n"/>
      <c r="C187" s="13" t="n"/>
      <c r="D187" s="13" t="n"/>
      <c r="E187" s="70" t="n"/>
      <c r="F187" s="70" t="n"/>
      <c r="G187" s="70" t="n"/>
      <c r="H187" s="13" t="n"/>
      <c r="I187" s="13" t="n"/>
      <c r="J187" s="13" t="n"/>
      <c r="K187" s="16">
        <f>IF($A187="","",1)</f>
        <v/>
      </c>
    </row>
    <row r="188">
      <c r="A188" s="13" t="n"/>
      <c r="B188" s="69" t="n"/>
      <c r="C188" s="13" t="n"/>
      <c r="D188" s="13" t="n"/>
      <c r="E188" s="70" t="n"/>
      <c r="F188" s="70" t="n"/>
      <c r="G188" s="70" t="n"/>
      <c r="H188" s="13" t="n"/>
      <c r="I188" s="13" t="n"/>
      <c r="J188" s="13" t="n"/>
      <c r="K188" s="16">
        <f>IF($A188="","",1)</f>
        <v/>
      </c>
    </row>
    <row r="189">
      <c r="A189" s="13" t="n"/>
      <c r="B189" s="69" t="n"/>
      <c r="C189" s="13" t="n"/>
      <c r="D189" s="13" t="n"/>
      <c r="E189" s="70" t="n"/>
      <c r="F189" s="70" t="n"/>
      <c r="G189" s="70" t="n"/>
      <c r="H189" s="13" t="n"/>
      <c r="I189" s="13" t="n"/>
      <c r="J189" s="13" t="n"/>
      <c r="K189" s="16">
        <f>IF($A189="","",1)</f>
        <v/>
      </c>
    </row>
    <row r="190">
      <c r="A190" s="13" t="n"/>
      <c r="B190" s="69" t="n"/>
      <c r="C190" s="13" t="n"/>
      <c r="D190" s="13" t="n"/>
      <c r="E190" s="70" t="n"/>
      <c r="F190" s="70" t="n"/>
      <c r="G190" s="70" t="n"/>
      <c r="H190" s="13" t="n"/>
      <c r="I190" s="13" t="n"/>
      <c r="J190" s="13" t="n"/>
      <c r="K190" s="16">
        <f>IF($A190="","",1)</f>
        <v/>
      </c>
    </row>
    <row r="191">
      <c r="A191" s="13" t="n"/>
      <c r="B191" s="69" t="n"/>
      <c r="C191" s="13" t="n"/>
      <c r="D191" s="13" t="n"/>
      <c r="E191" s="70" t="n"/>
      <c r="F191" s="70" t="n"/>
      <c r="G191" s="70" t="n"/>
      <c r="H191" s="13" t="n"/>
      <c r="I191" s="13" t="n"/>
      <c r="J191" s="13" t="n"/>
      <c r="K191" s="16">
        <f>IF($A191="","",1)</f>
        <v/>
      </c>
    </row>
    <row r="192">
      <c r="A192" s="13" t="n"/>
      <c r="B192" s="69" t="n"/>
      <c r="C192" s="13" t="n"/>
      <c r="D192" s="13" t="n"/>
      <c r="E192" s="70" t="n"/>
      <c r="F192" s="70" t="n"/>
      <c r="G192" s="70" t="n"/>
      <c r="H192" s="13" t="n"/>
      <c r="I192" s="13" t="n"/>
      <c r="J192" s="13" t="n"/>
      <c r="K192" s="16">
        <f>IF($A192="","",1)</f>
        <v/>
      </c>
    </row>
    <row r="193">
      <c r="A193" s="13" t="n"/>
      <c r="B193" s="69" t="n"/>
      <c r="C193" s="13" t="n"/>
      <c r="D193" s="13" t="n"/>
      <c r="E193" s="70" t="n"/>
      <c r="F193" s="70" t="n"/>
      <c r="G193" s="70" t="n"/>
      <c r="H193" s="13" t="n"/>
      <c r="I193" s="13" t="n"/>
      <c r="J193" s="13" t="n"/>
      <c r="K193" s="16">
        <f>IF($A193="","",1)</f>
        <v/>
      </c>
    </row>
    <row r="194">
      <c r="A194" s="13" t="n"/>
      <c r="B194" s="69" t="n"/>
      <c r="C194" s="13" t="n"/>
      <c r="D194" s="13" t="n"/>
      <c r="E194" s="70" t="n"/>
      <c r="F194" s="70" t="n"/>
      <c r="G194" s="70" t="n"/>
      <c r="H194" s="13" t="n"/>
      <c r="I194" s="13" t="n"/>
      <c r="J194" s="13" t="n"/>
      <c r="K194" s="16">
        <f>IF($A194="","",1)</f>
        <v/>
      </c>
    </row>
    <row r="195">
      <c r="A195" s="13" t="n"/>
      <c r="B195" s="69" t="n"/>
      <c r="C195" s="13" t="n"/>
      <c r="D195" s="13" t="n"/>
      <c r="E195" s="70" t="n"/>
      <c r="F195" s="70" t="n"/>
      <c r="G195" s="70" t="n"/>
      <c r="H195" s="13" t="n"/>
      <c r="I195" s="13" t="n"/>
      <c r="J195" s="13" t="n"/>
      <c r="K195" s="16">
        <f>IF($A195="","",1)</f>
        <v/>
      </c>
    </row>
    <row r="196">
      <c r="A196" s="13" t="n"/>
      <c r="B196" s="69" t="n"/>
      <c r="C196" s="13" t="n"/>
      <c r="D196" s="13" t="n"/>
      <c r="E196" s="70" t="n"/>
      <c r="F196" s="70" t="n"/>
      <c r="G196" s="70" t="n"/>
      <c r="H196" s="13" t="n"/>
      <c r="I196" s="13" t="n"/>
      <c r="J196" s="13" t="n"/>
      <c r="K196" s="16">
        <f>IF($A196="","",1)</f>
        <v/>
      </c>
    </row>
    <row r="197">
      <c r="A197" s="13" t="n"/>
      <c r="B197" s="69" t="n"/>
      <c r="C197" s="13" t="n"/>
      <c r="D197" s="13" t="n"/>
      <c r="E197" s="70" t="n"/>
      <c r="F197" s="70" t="n"/>
      <c r="G197" s="70" t="n"/>
      <c r="H197" s="13" t="n"/>
      <c r="I197" s="13" t="n"/>
      <c r="J197" s="13" t="n"/>
      <c r="K197" s="16">
        <f>IF($A197="","",1)</f>
        <v/>
      </c>
    </row>
    <row r="198">
      <c r="A198" s="13" t="n"/>
      <c r="B198" s="69" t="n"/>
      <c r="C198" s="13" t="n"/>
      <c r="D198" s="13" t="n"/>
      <c r="E198" s="70" t="n"/>
      <c r="F198" s="70" t="n"/>
      <c r="G198" s="70" t="n"/>
      <c r="H198" s="13" t="n"/>
      <c r="I198" s="13" t="n"/>
      <c r="J198" s="13" t="n"/>
      <c r="K198" s="16">
        <f>IF($A198="","",1)</f>
        <v/>
      </c>
    </row>
    <row r="199">
      <c r="A199" s="13" t="n"/>
      <c r="B199" s="69" t="n"/>
      <c r="C199" s="13" t="n"/>
      <c r="D199" s="13" t="n"/>
      <c r="E199" s="70" t="n"/>
      <c r="F199" s="70" t="n"/>
      <c r="G199" s="70" t="n"/>
      <c r="H199" s="13" t="n"/>
      <c r="I199" s="13" t="n"/>
      <c r="J199" s="13" t="n"/>
      <c r="K199" s="16">
        <f>IF($A199="","",1)</f>
        <v/>
      </c>
    </row>
    <row r="200">
      <c r="A200" s="13" t="n"/>
      <c r="B200" s="69" t="n"/>
      <c r="C200" s="13" t="n"/>
      <c r="D200" s="13" t="n"/>
      <c r="E200" s="70" t="n"/>
      <c r="F200" s="70" t="n"/>
      <c r="G200" s="70" t="n"/>
      <c r="H200" s="13" t="n"/>
      <c r="I200" s="13" t="n"/>
      <c r="J200" s="13" t="n"/>
      <c r="K200" s="16">
        <f>IF($A200="","",1)</f>
        <v/>
      </c>
    </row>
    <row r="201">
      <c r="A201" s="13" t="n"/>
      <c r="B201" s="69" t="n"/>
      <c r="C201" s="13" t="n"/>
      <c r="D201" s="13" t="n"/>
      <c r="E201" s="70" t="n"/>
      <c r="F201" s="70" t="n"/>
      <c r="G201" s="70" t="n"/>
      <c r="H201" s="13" t="n"/>
      <c r="I201" s="13" t="n"/>
      <c r="J201" s="13" t="n"/>
      <c r="K201" s="16">
        <f>IF($A201="","",1)</f>
        <v/>
      </c>
    </row>
    <row r="202">
      <c r="A202" s="13" t="n"/>
      <c r="B202" s="69" t="n"/>
      <c r="C202" s="13" t="n"/>
      <c r="D202" s="13" t="n"/>
      <c r="E202" s="70" t="n"/>
      <c r="F202" s="70" t="n"/>
      <c r="G202" s="70" t="n"/>
      <c r="H202" s="13" t="n"/>
      <c r="I202" s="13" t="n"/>
      <c r="J202" s="13" t="n"/>
      <c r="K202" s="16">
        <f>IF($A202="","",1)</f>
        <v/>
      </c>
    </row>
    <row r="203">
      <c r="A203" s="13" t="n"/>
      <c r="B203" s="69" t="n"/>
      <c r="C203" s="13" t="n"/>
      <c r="D203" s="13" t="n"/>
      <c r="E203" s="70" t="n"/>
      <c r="F203" s="70" t="n"/>
      <c r="G203" s="70" t="n"/>
      <c r="H203" s="13" t="n"/>
      <c r="I203" s="13" t="n"/>
      <c r="J203" s="13" t="n"/>
      <c r="K203" s="16">
        <f>IF($A203="","",1)</f>
        <v/>
      </c>
    </row>
    <row r="204">
      <c r="A204" s="13" t="n"/>
      <c r="B204" s="69" t="n"/>
      <c r="C204" s="13" t="n"/>
      <c r="D204" s="13" t="n"/>
      <c r="E204" s="70" t="n"/>
      <c r="F204" s="70" t="n"/>
      <c r="G204" s="70" t="n"/>
      <c r="H204" s="13" t="n"/>
      <c r="I204" s="13" t="n"/>
      <c r="J204" s="13" t="n"/>
      <c r="K204" s="16">
        <f>IF($A204="","",1)</f>
        <v/>
      </c>
    </row>
    <row r="205">
      <c r="A205" s="13" t="n"/>
      <c r="B205" s="69" t="n"/>
      <c r="C205" s="13" t="n"/>
      <c r="D205" s="13" t="n"/>
      <c r="E205" s="70" t="n"/>
      <c r="F205" s="70" t="n"/>
      <c r="G205" s="70" t="n"/>
      <c r="H205" s="13" t="n"/>
      <c r="I205" s="13" t="n"/>
      <c r="J205" s="13" t="n"/>
      <c r="K205" s="16">
        <f>IF($A205="","",1)</f>
        <v/>
      </c>
    </row>
    <row r="206">
      <c r="A206" s="13" t="n"/>
      <c r="B206" s="69" t="n"/>
      <c r="C206" s="13" t="n"/>
      <c r="D206" s="13" t="n"/>
      <c r="E206" s="70" t="n"/>
      <c r="F206" s="70" t="n"/>
      <c r="G206" s="70" t="n"/>
      <c r="H206" s="13" t="n"/>
      <c r="I206" s="13" t="n"/>
      <c r="J206" s="13" t="n"/>
      <c r="K206" s="16">
        <f>IF($A206="","",1)</f>
        <v/>
      </c>
    </row>
    <row r="207">
      <c r="A207" s="13" t="n"/>
      <c r="B207" s="69" t="n"/>
      <c r="C207" s="13" t="n"/>
      <c r="D207" s="13" t="n"/>
      <c r="E207" s="70" t="n"/>
      <c r="F207" s="70" t="n"/>
      <c r="G207" s="70" t="n"/>
      <c r="H207" s="13" t="n"/>
      <c r="I207" s="13" t="n"/>
      <c r="J207" s="13" t="n"/>
      <c r="K207" s="16">
        <f>IF($A207="","",1)</f>
        <v/>
      </c>
    </row>
    <row r="208">
      <c r="A208" s="13" t="n"/>
      <c r="B208" s="69" t="n"/>
      <c r="C208" s="13" t="n"/>
      <c r="D208" s="13" t="n"/>
      <c r="E208" s="70" t="n"/>
      <c r="F208" s="70" t="n"/>
      <c r="G208" s="70" t="n"/>
      <c r="H208" s="13" t="n"/>
      <c r="I208" s="13" t="n"/>
      <c r="J208" s="13" t="n"/>
      <c r="K208" s="16">
        <f>IF($A208="","",1)</f>
        <v/>
      </c>
    </row>
    <row r="209">
      <c r="A209" s="13" t="n"/>
      <c r="B209" s="69" t="n"/>
      <c r="C209" s="13" t="n"/>
      <c r="D209" s="13" t="n"/>
      <c r="E209" s="70" t="n"/>
      <c r="F209" s="70" t="n"/>
      <c r="G209" s="70" t="n"/>
      <c r="H209" s="13" t="n"/>
      <c r="I209" s="13" t="n"/>
      <c r="J209" s="13" t="n"/>
      <c r="K209" s="16">
        <f>IF($A209="","",1)</f>
        <v/>
      </c>
    </row>
    <row r="210">
      <c r="A210" s="13" t="n"/>
      <c r="B210" s="69" t="n"/>
      <c r="C210" s="13" t="n"/>
      <c r="D210" s="13" t="n"/>
      <c r="E210" s="70" t="n"/>
      <c r="F210" s="70" t="n"/>
      <c r="G210" s="70" t="n"/>
      <c r="H210" s="13" t="n"/>
      <c r="I210" s="13" t="n"/>
      <c r="J210" s="13" t="n"/>
      <c r="K210" s="16">
        <f>IF($A210="","",1)</f>
        <v/>
      </c>
    </row>
    <row r="211">
      <c r="A211" s="13" t="n"/>
      <c r="B211" s="69" t="n"/>
      <c r="C211" s="13" t="n"/>
      <c r="D211" s="13" t="n"/>
      <c r="E211" s="70" t="n"/>
      <c r="F211" s="70" t="n"/>
      <c r="G211" s="70" t="n"/>
      <c r="H211" s="13" t="n"/>
      <c r="I211" s="13" t="n"/>
      <c r="J211" s="13" t="n"/>
      <c r="K211" s="16">
        <f>IF($A211="","",1)</f>
        <v/>
      </c>
    </row>
    <row r="212">
      <c r="A212" s="13" t="n"/>
      <c r="B212" s="69" t="n"/>
      <c r="C212" s="13" t="n"/>
      <c r="D212" s="13" t="n"/>
      <c r="E212" s="70" t="n"/>
      <c r="F212" s="70" t="n"/>
      <c r="G212" s="70" t="n"/>
      <c r="H212" s="13" t="n"/>
      <c r="I212" s="13" t="n"/>
      <c r="J212" s="13" t="n"/>
      <c r="K212" s="16">
        <f>IF($A212="","",1)</f>
        <v/>
      </c>
    </row>
    <row r="213">
      <c r="A213" s="13" t="n"/>
      <c r="B213" s="69" t="n"/>
      <c r="C213" s="13" t="n"/>
      <c r="D213" s="13" t="n"/>
      <c r="E213" s="70" t="n"/>
      <c r="F213" s="70" t="n"/>
      <c r="G213" s="70" t="n"/>
      <c r="H213" s="13" t="n"/>
      <c r="I213" s="13" t="n"/>
      <c r="J213" s="13" t="n"/>
      <c r="K213" s="16">
        <f>IF($A213="","",1)</f>
        <v/>
      </c>
    </row>
    <row r="214">
      <c r="A214" s="13" t="n"/>
      <c r="B214" s="69" t="n"/>
      <c r="C214" s="13" t="n"/>
      <c r="D214" s="13" t="n"/>
      <c r="E214" s="70" t="n"/>
      <c r="F214" s="70" t="n"/>
      <c r="G214" s="70" t="n"/>
      <c r="H214" s="13" t="n"/>
      <c r="I214" s="13" t="n"/>
      <c r="J214" s="13" t="n"/>
      <c r="K214" s="16">
        <f>IF($A214="","",1)</f>
        <v/>
      </c>
    </row>
    <row r="215">
      <c r="A215" s="13" t="n"/>
      <c r="B215" s="69" t="n"/>
      <c r="C215" s="13" t="n"/>
      <c r="D215" s="13" t="n"/>
      <c r="E215" s="70" t="n"/>
      <c r="F215" s="70" t="n"/>
      <c r="G215" s="70" t="n"/>
      <c r="H215" s="13" t="n"/>
      <c r="I215" s="13" t="n"/>
      <c r="J215" s="13" t="n"/>
      <c r="K215" s="16">
        <f>IF($A215="","",1)</f>
        <v/>
      </c>
    </row>
    <row r="216">
      <c r="A216" s="13" t="n"/>
      <c r="B216" s="69" t="n"/>
      <c r="C216" s="13" t="n"/>
      <c r="D216" s="13" t="n"/>
      <c r="E216" s="70" t="n"/>
      <c r="F216" s="70" t="n"/>
      <c r="G216" s="70" t="n"/>
      <c r="H216" s="13" t="n"/>
      <c r="I216" s="13" t="n"/>
      <c r="J216" s="13" t="n"/>
      <c r="K216" s="16">
        <f>IF($A216="","",1)</f>
        <v/>
      </c>
    </row>
    <row r="217">
      <c r="A217" s="13" t="n"/>
      <c r="B217" s="69" t="n"/>
      <c r="C217" s="13" t="n"/>
      <c r="D217" s="13" t="n"/>
      <c r="E217" s="70" t="n"/>
      <c r="F217" s="70" t="n"/>
      <c r="G217" s="70" t="n"/>
      <c r="H217" s="13" t="n"/>
      <c r="I217" s="13" t="n"/>
      <c r="J217" s="13" t="n"/>
      <c r="K217" s="16">
        <f>IF($A217="","",1)</f>
        <v/>
      </c>
    </row>
    <row r="218">
      <c r="A218" s="13" t="n"/>
      <c r="B218" s="69" t="n"/>
      <c r="C218" s="13" t="n"/>
      <c r="D218" s="13" t="n"/>
      <c r="E218" s="70" t="n"/>
      <c r="F218" s="70" t="n"/>
      <c r="G218" s="70" t="n"/>
      <c r="H218" s="13" t="n"/>
      <c r="I218" s="13" t="n"/>
      <c r="J218" s="13" t="n"/>
      <c r="K218" s="16">
        <f>IF($A218="","",1)</f>
        <v/>
      </c>
    </row>
    <row r="219">
      <c r="A219" s="13" t="n"/>
      <c r="B219" s="69" t="n"/>
      <c r="C219" s="13" t="n"/>
      <c r="D219" s="13" t="n"/>
      <c r="E219" s="70" t="n"/>
      <c r="F219" s="70" t="n"/>
      <c r="G219" s="70" t="n"/>
      <c r="H219" s="13" t="n"/>
      <c r="I219" s="13" t="n"/>
      <c r="J219" s="13" t="n"/>
      <c r="K219" s="16">
        <f>IF($A219="","",1)</f>
        <v/>
      </c>
    </row>
    <row r="220">
      <c r="A220" s="13" t="n"/>
      <c r="B220" s="69" t="n"/>
      <c r="C220" s="13" t="n"/>
      <c r="D220" s="13" t="n"/>
      <c r="E220" s="70" t="n"/>
      <c r="F220" s="70" t="n"/>
      <c r="G220" s="70" t="n"/>
      <c r="H220" s="13" t="n"/>
      <c r="I220" s="13" t="n"/>
      <c r="J220" s="13" t="n"/>
      <c r="K220" s="16">
        <f>IF($A220="","",1)</f>
        <v/>
      </c>
    </row>
    <row r="221">
      <c r="A221" s="13" t="n"/>
      <c r="B221" s="69" t="n"/>
      <c r="C221" s="13" t="n"/>
      <c r="D221" s="13" t="n"/>
      <c r="E221" s="70" t="n"/>
      <c r="F221" s="70" t="n"/>
      <c r="G221" s="70" t="n"/>
      <c r="H221" s="13" t="n"/>
      <c r="I221" s="13" t="n"/>
      <c r="J221" s="13" t="n"/>
      <c r="K221" s="16">
        <f>IF($A221="","",1)</f>
        <v/>
      </c>
    </row>
    <row r="222">
      <c r="A222" s="13" t="n"/>
      <c r="B222" s="69" t="n"/>
      <c r="C222" s="13" t="n"/>
      <c r="D222" s="13" t="n"/>
      <c r="E222" s="70" t="n"/>
      <c r="F222" s="70" t="n"/>
      <c r="G222" s="70" t="n"/>
      <c r="H222" s="13" t="n"/>
      <c r="I222" s="13" t="n"/>
      <c r="J222" s="13" t="n"/>
      <c r="K222" s="16">
        <f>IF($A222="","",1)</f>
        <v/>
      </c>
    </row>
    <row r="223">
      <c r="A223" s="13" t="n"/>
      <c r="B223" s="69" t="n"/>
      <c r="C223" s="13" t="n"/>
      <c r="D223" s="13" t="n"/>
      <c r="E223" s="70" t="n"/>
      <c r="F223" s="70" t="n"/>
      <c r="G223" s="70" t="n"/>
      <c r="H223" s="13" t="n"/>
      <c r="I223" s="13" t="n"/>
      <c r="J223" s="13" t="n"/>
      <c r="K223" s="16">
        <f>IF($A223="","",1)</f>
        <v/>
      </c>
    </row>
    <row r="224">
      <c r="A224" s="13" t="n"/>
      <c r="B224" s="69" t="n"/>
      <c r="C224" s="13" t="n"/>
      <c r="D224" s="13" t="n"/>
      <c r="E224" s="70" t="n"/>
      <c r="F224" s="70" t="n"/>
      <c r="G224" s="70" t="n"/>
      <c r="H224" s="13" t="n"/>
      <c r="I224" s="13" t="n"/>
      <c r="J224" s="13" t="n"/>
      <c r="K224" s="16">
        <f>IF($A224="","",1)</f>
        <v/>
      </c>
    </row>
    <row r="225">
      <c r="A225" s="13" t="n"/>
      <c r="B225" s="69" t="n"/>
      <c r="C225" s="13" t="n"/>
      <c r="D225" s="13" t="n"/>
      <c r="E225" s="70" t="n"/>
      <c r="F225" s="70" t="n"/>
      <c r="G225" s="70" t="n"/>
      <c r="H225" s="13" t="n"/>
      <c r="I225" s="13" t="n"/>
      <c r="J225" s="13" t="n"/>
      <c r="K225" s="16">
        <f>IF($A225="","",1)</f>
        <v/>
      </c>
    </row>
    <row r="226">
      <c r="A226" s="13" t="n"/>
      <c r="B226" s="69" t="n"/>
      <c r="C226" s="13" t="n"/>
      <c r="D226" s="13" t="n"/>
      <c r="E226" s="70" t="n"/>
      <c r="F226" s="70" t="n"/>
      <c r="G226" s="70" t="n"/>
      <c r="H226" s="13" t="n"/>
      <c r="I226" s="13" t="n"/>
      <c r="J226" s="13" t="n"/>
      <c r="K226" s="16">
        <f>IF($A226="","",1)</f>
        <v/>
      </c>
    </row>
    <row r="227">
      <c r="A227" s="13" t="n"/>
      <c r="B227" s="69" t="n"/>
      <c r="C227" s="13" t="n"/>
      <c r="D227" s="13" t="n"/>
      <c r="E227" s="70" t="n"/>
      <c r="F227" s="70" t="n"/>
      <c r="G227" s="70" t="n"/>
      <c r="H227" s="13" t="n"/>
      <c r="I227" s="13" t="n"/>
      <c r="J227" s="13" t="n"/>
      <c r="K227" s="16">
        <f>IF($A227="","",1)</f>
        <v/>
      </c>
    </row>
    <row r="228">
      <c r="A228" s="13" t="n"/>
      <c r="B228" s="69" t="n"/>
      <c r="C228" s="13" t="n"/>
      <c r="D228" s="13" t="n"/>
      <c r="E228" s="70" t="n"/>
      <c r="F228" s="70" t="n"/>
      <c r="G228" s="70" t="n"/>
      <c r="H228" s="13" t="n"/>
      <c r="I228" s="13" t="n"/>
      <c r="J228" s="13" t="n"/>
      <c r="K228" s="16">
        <f>IF($A228="","",1)</f>
        <v/>
      </c>
    </row>
    <row r="229">
      <c r="A229" s="13" t="n"/>
      <c r="B229" s="69" t="n"/>
      <c r="C229" s="13" t="n"/>
      <c r="D229" s="13" t="n"/>
      <c r="E229" s="70" t="n"/>
      <c r="F229" s="70" t="n"/>
      <c r="G229" s="70" t="n"/>
      <c r="H229" s="13" t="n"/>
      <c r="I229" s="13" t="n"/>
      <c r="J229" s="13" t="n"/>
      <c r="K229" s="16">
        <f>IF($A229="","",1)</f>
        <v/>
      </c>
    </row>
    <row r="230">
      <c r="A230" s="13" t="n"/>
      <c r="B230" s="69" t="n"/>
      <c r="C230" s="13" t="n"/>
      <c r="D230" s="13" t="n"/>
      <c r="E230" s="70" t="n"/>
      <c r="F230" s="70" t="n"/>
      <c r="G230" s="70" t="n"/>
      <c r="H230" s="13" t="n"/>
      <c r="I230" s="13" t="n"/>
      <c r="J230" s="13" t="n"/>
      <c r="K230" s="16">
        <f>IF($A230="","",1)</f>
        <v/>
      </c>
    </row>
    <row r="231">
      <c r="A231" s="13" t="n"/>
      <c r="B231" s="69" t="n"/>
      <c r="C231" s="13" t="n"/>
      <c r="D231" s="13" t="n"/>
      <c r="E231" s="70" t="n"/>
      <c r="F231" s="70" t="n"/>
      <c r="G231" s="70" t="n"/>
      <c r="H231" s="13" t="n"/>
      <c r="I231" s="13" t="n"/>
      <c r="J231" s="13" t="n"/>
      <c r="K231" s="16">
        <f>IF($A231="","",1)</f>
        <v/>
      </c>
    </row>
    <row r="232">
      <c r="A232" s="13" t="n"/>
      <c r="B232" s="69" t="n"/>
      <c r="C232" s="13" t="n"/>
      <c r="D232" s="13" t="n"/>
      <c r="E232" s="70" t="n"/>
      <c r="F232" s="70" t="n"/>
      <c r="G232" s="70" t="n"/>
      <c r="H232" s="13" t="n"/>
      <c r="I232" s="13" t="n"/>
      <c r="J232" s="13" t="n"/>
      <c r="K232" s="16">
        <f>IF($A232="","",1)</f>
        <v/>
      </c>
    </row>
    <row r="233">
      <c r="A233" s="13" t="n"/>
      <c r="B233" s="69" t="n"/>
      <c r="C233" s="13" t="n"/>
      <c r="D233" s="13" t="n"/>
      <c r="E233" s="70" t="n"/>
      <c r="F233" s="70" t="n"/>
      <c r="G233" s="70" t="n"/>
      <c r="H233" s="13" t="n"/>
      <c r="I233" s="13" t="n"/>
      <c r="J233" s="13" t="n"/>
      <c r="K233" s="16">
        <f>IF($A233="","",1)</f>
        <v/>
      </c>
    </row>
    <row r="234">
      <c r="A234" s="13" t="n"/>
      <c r="B234" s="69" t="n"/>
      <c r="C234" s="13" t="n"/>
      <c r="D234" s="13" t="n"/>
      <c r="E234" s="70" t="n"/>
      <c r="F234" s="70" t="n"/>
      <c r="G234" s="70" t="n"/>
      <c r="H234" s="13" t="n"/>
      <c r="I234" s="13" t="n"/>
      <c r="J234" s="13" t="n"/>
      <c r="K234" s="16">
        <f>IF($A234="","",1)</f>
        <v/>
      </c>
    </row>
    <row r="235">
      <c r="A235" s="13" t="n"/>
      <c r="B235" s="69" t="n"/>
      <c r="C235" s="13" t="n"/>
      <c r="D235" s="13" t="n"/>
      <c r="E235" s="70" t="n"/>
      <c r="F235" s="70" t="n"/>
      <c r="G235" s="70" t="n"/>
      <c r="H235" s="13" t="n"/>
      <c r="I235" s="13" t="n"/>
      <c r="J235" s="13" t="n"/>
      <c r="K235" s="16">
        <f>IF($A235="","",1)</f>
        <v/>
      </c>
    </row>
    <row r="236">
      <c r="A236" s="13" t="n"/>
      <c r="B236" s="69" t="n"/>
      <c r="C236" s="13" t="n"/>
      <c r="D236" s="13" t="n"/>
      <c r="E236" s="70" t="n"/>
      <c r="F236" s="70" t="n"/>
      <c r="G236" s="70" t="n"/>
      <c r="H236" s="13" t="n"/>
      <c r="I236" s="13" t="n"/>
      <c r="J236" s="13" t="n"/>
      <c r="K236" s="16">
        <f>IF($A236="","",1)</f>
        <v/>
      </c>
    </row>
    <row r="237">
      <c r="A237" s="13" t="n"/>
      <c r="B237" s="69" t="n"/>
      <c r="C237" s="13" t="n"/>
      <c r="D237" s="13" t="n"/>
      <c r="E237" s="70" t="n"/>
      <c r="F237" s="70" t="n"/>
      <c r="G237" s="70" t="n"/>
      <c r="H237" s="13" t="n"/>
      <c r="I237" s="13" t="n"/>
      <c r="J237" s="13" t="n"/>
      <c r="K237" s="16">
        <f>IF($A237="","",1)</f>
        <v/>
      </c>
    </row>
    <row r="238">
      <c r="A238" s="13" t="n"/>
      <c r="B238" s="69" t="n"/>
      <c r="C238" s="13" t="n"/>
      <c r="D238" s="13" t="n"/>
      <c r="E238" s="70" t="n"/>
      <c r="F238" s="70" t="n"/>
      <c r="G238" s="70" t="n"/>
      <c r="H238" s="13" t="n"/>
      <c r="I238" s="13" t="n"/>
      <c r="J238" s="13" t="n"/>
      <c r="K238" s="16">
        <f>IF($A238="","",1)</f>
        <v/>
      </c>
    </row>
    <row r="239">
      <c r="A239" s="13" t="n"/>
      <c r="B239" s="69" t="n"/>
      <c r="C239" s="13" t="n"/>
      <c r="D239" s="13" t="n"/>
      <c r="E239" s="70" t="n"/>
      <c r="F239" s="70" t="n"/>
      <c r="G239" s="70" t="n"/>
      <c r="H239" s="13" t="n"/>
      <c r="I239" s="13" t="n"/>
      <c r="J239" s="13" t="n"/>
      <c r="K239" s="16">
        <f>IF($A239="","",1)</f>
        <v/>
      </c>
    </row>
    <row r="240">
      <c r="A240" s="13" t="n"/>
      <c r="B240" s="69" t="n"/>
      <c r="C240" s="13" t="n"/>
      <c r="D240" s="13" t="n"/>
      <c r="E240" s="70" t="n"/>
      <c r="F240" s="70" t="n"/>
      <c r="G240" s="70" t="n"/>
      <c r="H240" s="13" t="n"/>
      <c r="I240" s="13" t="n"/>
      <c r="J240" s="13" t="n"/>
      <c r="K240" s="16">
        <f>IF($A240="","",1)</f>
        <v/>
      </c>
    </row>
    <row r="241">
      <c r="A241" s="13" t="n"/>
      <c r="B241" s="69" t="n"/>
      <c r="C241" s="13" t="n"/>
      <c r="D241" s="13" t="n"/>
      <c r="E241" s="70" t="n"/>
      <c r="F241" s="70" t="n"/>
      <c r="G241" s="70" t="n"/>
      <c r="H241" s="13" t="n"/>
      <c r="I241" s="13" t="n"/>
      <c r="J241" s="13" t="n"/>
      <c r="K241" s="16">
        <f>IF($A241="","",1)</f>
        <v/>
      </c>
    </row>
    <row r="242">
      <c r="A242" s="13" t="n"/>
      <c r="B242" s="69" t="n"/>
      <c r="C242" s="13" t="n"/>
      <c r="D242" s="13" t="n"/>
      <c r="E242" s="70" t="n"/>
      <c r="F242" s="70" t="n"/>
      <c r="G242" s="70" t="n"/>
      <c r="H242" s="13" t="n"/>
      <c r="I242" s="13" t="n"/>
      <c r="J242" s="13" t="n"/>
      <c r="K242" s="16">
        <f>IF($A242="","",1)</f>
        <v/>
      </c>
    </row>
    <row r="243">
      <c r="A243" s="13" t="n"/>
      <c r="B243" s="69" t="n"/>
      <c r="C243" s="13" t="n"/>
      <c r="D243" s="13" t="n"/>
      <c r="E243" s="70" t="n"/>
      <c r="F243" s="70" t="n"/>
      <c r="G243" s="70" t="n"/>
      <c r="H243" s="13" t="n"/>
      <c r="I243" s="13" t="n"/>
      <c r="J243" s="13" t="n"/>
      <c r="K243" s="16">
        <f>IF($A243="","",1)</f>
        <v/>
      </c>
    </row>
    <row r="244">
      <c r="A244" s="13" t="n"/>
      <c r="B244" s="69" t="n"/>
      <c r="C244" s="13" t="n"/>
      <c r="D244" s="13" t="n"/>
      <c r="E244" s="70" t="n"/>
      <c r="F244" s="70" t="n"/>
      <c r="G244" s="70" t="n"/>
      <c r="H244" s="13" t="n"/>
      <c r="I244" s="13" t="n"/>
      <c r="J244" s="13" t="n"/>
      <c r="K244" s="16">
        <f>IF($A244="","",1)</f>
        <v/>
      </c>
    </row>
    <row r="245">
      <c r="A245" s="13" t="n"/>
      <c r="B245" s="69" t="n"/>
      <c r="C245" s="13" t="n"/>
      <c r="D245" s="13" t="n"/>
      <c r="E245" s="70" t="n"/>
      <c r="F245" s="70" t="n"/>
      <c r="G245" s="70" t="n"/>
      <c r="H245" s="13" t="n"/>
      <c r="I245" s="13" t="n"/>
      <c r="J245" s="13" t="n"/>
      <c r="K245" s="16">
        <f>IF($A245="","",1)</f>
        <v/>
      </c>
    </row>
    <row r="246">
      <c r="A246" s="13" t="n"/>
      <c r="B246" s="69" t="n"/>
      <c r="C246" s="13" t="n"/>
      <c r="D246" s="13" t="n"/>
      <c r="E246" s="70" t="n"/>
      <c r="F246" s="70" t="n"/>
      <c r="G246" s="70" t="n"/>
      <c r="H246" s="13" t="n"/>
      <c r="I246" s="13" t="n"/>
      <c r="J246" s="13" t="n"/>
      <c r="K246" s="16">
        <f>IF($A246="","",1)</f>
        <v/>
      </c>
    </row>
    <row r="247">
      <c r="A247" s="13" t="n"/>
      <c r="B247" s="69" t="n"/>
      <c r="C247" s="13" t="n"/>
      <c r="D247" s="13" t="n"/>
      <c r="E247" s="70" t="n"/>
      <c r="F247" s="70" t="n"/>
      <c r="G247" s="70" t="n"/>
      <c r="H247" s="13" t="n"/>
      <c r="I247" s="13" t="n"/>
      <c r="J247" s="13" t="n"/>
      <c r="K247" s="16">
        <f>IF($A247="","",1)</f>
        <v/>
      </c>
    </row>
    <row r="248">
      <c r="A248" s="13" t="n"/>
      <c r="B248" s="69" t="n"/>
      <c r="C248" s="13" t="n"/>
      <c r="D248" s="13" t="n"/>
      <c r="E248" s="70" t="n"/>
      <c r="F248" s="70" t="n"/>
      <c r="G248" s="70" t="n"/>
      <c r="H248" s="13" t="n"/>
      <c r="I248" s="13" t="n"/>
      <c r="J248" s="13" t="n"/>
      <c r="K248" s="16">
        <f>IF($A248="","",1)</f>
        <v/>
      </c>
    </row>
    <row r="249">
      <c r="A249" s="13" t="n"/>
      <c r="B249" s="69" t="n"/>
      <c r="C249" s="13" t="n"/>
      <c r="D249" s="13" t="n"/>
      <c r="E249" s="70" t="n"/>
      <c r="F249" s="70" t="n"/>
      <c r="G249" s="70" t="n"/>
      <c r="H249" s="13" t="n"/>
      <c r="I249" s="13" t="n"/>
      <c r="J249" s="13" t="n"/>
      <c r="K249" s="16">
        <f>IF($A249="","",1)</f>
        <v/>
      </c>
    </row>
    <row r="250">
      <c r="A250" s="13" t="n"/>
      <c r="B250" s="69" t="n"/>
      <c r="C250" s="13" t="n"/>
      <c r="D250" s="13" t="n"/>
      <c r="E250" s="70" t="n"/>
      <c r="F250" s="70" t="n"/>
      <c r="G250" s="70" t="n"/>
      <c r="H250" s="13" t="n"/>
      <c r="I250" s="13" t="n"/>
      <c r="J250" s="13" t="n"/>
      <c r="K250" s="16">
        <f>IF($A250="","",1)</f>
        <v/>
      </c>
    </row>
    <row r="251">
      <c r="A251" s="13" t="n"/>
      <c r="B251" s="69" t="n"/>
      <c r="C251" s="13" t="n"/>
      <c r="D251" s="13" t="n"/>
      <c r="E251" s="70" t="n"/>
      <c r="F251" s="70" t="n"/>
      <c r="G251" s="70" t="n"/>
      <c r="H251" s="13" t="n"/>
      <c r="I251" s="13" t="n"/>
      <c r="J251" s="13" t="n"/>
      <c r="K251" s="16">
        <f>IF($A251="","",1)</f>
        <v/>
      </c>
    </row>
    <row r="252">
      <c r="A252" s="13" t="n"/>
      <c r="B252" s="69" t="n"/>
      <c r="C252" s="13" t="n"/>
      <c r="D252" s="13" t="n"/>
      <c r="E252" s="70" t="n"/>
      <c r="F252" s="70" t="n"/>
      <c r="G252" s="70" t="n"/>
      <c r="H252" s="13" t="n"/>
      <c r="I252" s="13" t="n"/>
      <c r="J252" s="13" t="n"/>
      <c r="K252" s="16">
        <f>IF($A252="","",1)</f>
        <v/>
      </c>
    </row>
    <row r="253">
      <c r="A253" s="13" t="n"/>
      <c r="B253" s="69" t="n"/>
      <c r="C253" s="13" t="n"/>
      <c r="D253" s="13" t="n"/>
      <c r="E253" s="70" t="n"/>
      <c r="F253" s="70" t="n"/>
      <c r="G253" s="70" t="n"/>
      <c r="H253" s="13" t="n"/>
      <c r="I253" s="13" t="n"/>
      <c r="J253" s="13" t="n"/>
      <c r="K253" s="16">
        <f>IF($A253="","",1)</f>
        <v/>
      </c>
    </row>
    <row r="254">
      <c r="A254" s="13" t="n"/>
      <c r="B254" s="69" t="n"/>
      <c r="C254" s="13" t="n"/>
      <c r="D254" s="13" t="n"/>
      <c r="E254" s="70" t="n"/>
      <c r="F254" s="70" t="n"/>
      <c r="G254" s="70" t="n"/>
      <c r="H254" s="13" t="n"/>
      <c r="I254" s="13" t="n"/>
      <c r="J254" s="13" t="n"/>
      <c r="K254" s="16">
        <f>IF($A254="","",1)</f>
        <v/>
      </c>
    </row>
    <row r="255">
      <c r="A255" s="13" t="n"/>
      <c r="B255" s="69" t="n"/>
      <c r="C255" s="13" t="n"/>
      <c r="D255" s="13" t="n"/>
      <c r="E255" s="70" t="n"/>
      <c r="F255" s="70" t="n"/>
      <c r="G255" s="70" t="n"/>
      <c r="H255" s="13" t="n"/>
      <c r="I255" s="13" t="n"/>
      <c r="J255" s="13" t="n"/>
      <c r="K255" s="16">
        <f>IF($A255="","",1)</f>
        <v/>
      </c>
    </row>
    <row r="256">
      <c r="A256" s="13" t="n"/>
      <c r="B256" s="69" t="n"/>
      <c r="C256" s="13" t="n"/>
      <c r="D256" s="13" t="n"/>
      <c r="E256" s="70" t="n"/>
      <c r="F256" s="70" t="n"/>
      <c r="G256" s="70" t="n"/>
      <c r="H256" s="13" t="n"/>
      <c r="I256" s="13" t="n"/>
      <c r="J256" s="13" t="n"/>
      <c r="K256" s="16">
        <f>IF($A256="","",1)</f>
        <v/>
      </c>
    </row>
    <row r="257">
      <c r="A257" s="13" t="n"/>
      <c r="B257" s="69" t="n"/>
      <c r="C257" s="13" t="n"/>
      <c r="D257" s="13" t="n"/>
      <c r="E257" s="70" t="n"/>
      <c r="F257" s="70" t="n"/>
      <c r="G257" s="70" t="n"/>
      <c r="H257" s="13" t="n"/>
      <c r="I257" s="13" t="n"/>
      <c r="J257" s="13" t="n"/>
      <c r="K257" s="16">
        <f>IF($A257="","",1)</f>
        <v/>
      </c>
    </row>
    <row r="258">
      <c r="A258" s="13" t="n"/>
      <c r="B258" s="69" t="n"/>
      <c r="C258" s="13" t="n"/>
      <c r="D258" s="13" t="n"/>
      <c r="E258" s="70" t="n"/>
      <c r="F258" s="70" t="n"/>
      <c r="G258" s="70" t="n"/>
      <c r="H258" s="13" t="n"/>
      <c r="I258" s="13" t="n"/>
      <c r="J258" s="13" t="n"/>
      <c r="K258" s="16">
        <f>IF($A258="","",1)</f>
        <v/>
      </c>
    </row>
    <row r="259">
      <c r="A259" s="13" t="n"/>
      <c r="B259" s="69" t="n"/>
      <c r="C259" s="13" t="n"/>
      <c r="D259" s="13" t="n"/>
      <c r="E259" s="70" t="n"/>
      <c r="F259" s="70" t="n"/>
      <c r="G259" s="70" t="n"/>
      <c r="H259" s="13" t="n"/>
      <c r="I259" s="13" t="n"/>
      <c r="J259" s="13" t="n"/>
      <c r="K259" s="16">
        <f>IF($A259="","",1)</f>
        <v/>
      </c>
    </row>
    <row r="260">
      <c r="A260" s="13" t="n"/>
      <c r="B260" s="69" t="n"/>
      <c r="C260" s="13" t="n"/>
      <c r="D260" s="13" t="n"/>
      <c r="E260" s="70" t="n"/>
      <c r="F260" s="70" t="n"/>
      <c r="G260" s="70" t="n"/>
      <c r="H260" s="13" t="n"/>
      <c r="I260" s="13" t="n"/>
      <c r="J260" s="13" t="n"/>
      <c r="K260" s="16">
        <f>IF($A260="","",1)</f>
        <v/>
      </c>
    </row>
    <row r="261">
      <c r="A261" s="13" t="n"/>
      <c r="B261" s="69" t="n"/>
      <c r="C261" s="13" t="n"/>
      <c r="D261" s="13" t="n"/>
      <c r="E261" s="70" t="n"/>
      <c r="F261" s="70" t="n"/>
      <c r="G261" s="70" t="n"/>
      <c r="H261" s="13" t="n"/>
      <c r="I261" s="13" t="n"/>
      <c r="J261" s="13" t="n"/>
      <c r="K261" s="16">
        <f>IF($A261="","",1)</f>
        <v/>
      </c>
    </row>
    <row r="262">
      <c r="A262" s="13" t="n"/>
      <c r="B262" s="69" t="n"/>
      <c r="C262" s="13" t="n"/>
      <c r="D262" s="13" t="n"/>
      <c r="E262" s="70" t="n"/>
      <c r="F262" s="70" t="n"/>
      <c r="G262" s="70" t="n"/>
      <c r="H262" s="13" t="n"/>
      <c r="I262" s="13" t="n"/>
      <c r="J262" s="13" t="n"/>
      <c r="K262" s="16">
        <f>IF($A262="","",1)</f>
        <v/>
      </c>
    </row>
    <row r="263">
      <c r="A263" s="13" t="n"/>
      <c r="B263" s="69" t="n"/>
      <c r="C263" s="13" t="n"/>
      <c r="D263" s="13" t="n"/>
      <c r="E263" s="70" t="n"/>
      <c r="F263" s="70" t="n"/>
      <c r="G263" s="70" t="n"/>
      <c r="H263" s="13" t="n"/>
      <c r="I263" s="13" t="n"/>
      <c r="J263" s="13" t="n"/>
      <c r="K263" s="16">
        <f>IF($A263="","",1)</f>
        <v/>
      </c>
    </row>
    <row r="264">
      <c r="A264" s="13" t="n"/>
      <c r="B264" s="69" t="n"/>
      <c r="C264" s="13" t="n"/>
      <c r="D264" s="13" t="n"/>
      <c r="E264" s="70" t="n"/>
      <c r="F264" s="70" t="n"/>
      <c r="G264" s="70" t="n"/>
      <c r="H264" s="13" t="n"/>
      <c r="I264" s="13" t="n"/>
      <c r="J264" s="13" t="n"/>
      <c r="K264" s="16">
        <f>IF($A264="","",1)</f>
        <v/>
      </c>
    </row>
    <row r="265">
      <c r="A265" s="13" t="n"/>
      <c r="B265" s="69" t="n"/>
      <c r="C265" s="13" t="n"/>
      <c r="D265" s="13" t="n"/>
      <c r="E265" s="70" t="n"/>
      <c r="F265" s="70" t="n"/>
      <c r="G265" s="70" t="n"/>
      <c r="H265" s="13" t="n"/>
      <c r="I265" s="13" t="n"/>
      <c r="J265" s="13" t="n"/>
      <c r="K265" s="16">
        <f>IF($A265="","",1)</f>
        <v/>
      </c>
    </row>
    <row r="266">
      <c r="A266" s="13" t="n"/>
      <c r="B266" s="69" t="n"/>
      <c r="C266" s="13" t="n"/>
      <c r="D266" s="13" t="n"/>
      <c r="E266" s="70" t="n"/>
      <c r="F266" s="70" t="n"/>
      <c r="G266" s="70" t="n"/>
      <c r="H266" s="13" t="n"/>
      <c r="I266" s="13" t="n"/>
      <c r="J266" s="13" t="n"/>
      <c r="K266" s="16">
        <f>IF($A266="","",1)</f>
        <v/>
      </c>
    </row>
    <row r="267">
      <c r="A267" s="13" t="n"/>
      <c r="B267" s="69" t="n"/>
      <c r="C267" s="13" t="n"/>
      <c r="D267" s="13" t="n"/>
      <c r="E267" s="70" t="n"/>
      <c r="F267" s="70" t="n"/>
      <c r="G267" s="70" t="n"/>
      <c r="H267" s="13" t="n"/>
      <c r="I267" s="13" t="n"/>
      <c r="J267" s="13" t="n"/>
      <c r="K267" s="16">
        <f>IF($A267="","",1)</f>
        <v/>
      </c>
    </row>
    <row r="268">
      <c r="A268" s="13" t="n"/>
      <c r="B268" s="69" t="n"/>
      <c r="C268" s="13" t="n"/>
      <c r="D268" s="13" t="n"/>
      <c r="E268" s="70" t="n"/>
      <c r="F268" s="70" t="n"/>
      <c r="G268" s="70" t="n"/>
      <c r="H268" s="13" t="n"/>
      <c r="I268" s="13" t="n"/>
      <c r="J268" s="13" t="n"/>
      <c r="K268" s="16">
        <f>IF($A268="","",1)</f>
        <v/>
      </c>
    </row>
    <row r="269">
      <c r="A269" s="13" t="n"/>
      <c r="B269" s="69" t="n"/>
      <c r="C269" s="13" t="n"/>
      <c r="D269" s="13" t="n"/>
      <c r="E269" s="70" t="n"/>
      <c r="F269" s="70" t="n"/>
      <c r="G269" s="70" t="n"/>
      <c r="H269" s="13" t="n"/>
      <c r="I269" s="13" t="n"/>
      <c r="J269" s="13" t="n"/>
      <c r="K269" s="16">
        <f>IF($A269="","",1)</f>
        <v/>
      </c>
    </row>
    <row r="270">
      <c r="A270" s="13" t="n"/>
      <c r="B270" s="69" t="n"/>
      <c r="C270" s="13" t="n"/>
      <c r="D270" s="13" t="n"/>
      <c r="E270" s="70" t="n"/>
      <c r="F270" s="70" t="n"/>
      <c r="G270" s="70" t="n"/>
      <c r="H270" s="13" t="n"/>
      <c r="I270" s="13" t="n"/>
      <c r="J270" s="13" t="n"/>
      <c r="K270" s="16">
        <f>IF($A270="","",1)</f>
        <v/>
      </c>
    </row>
    <row r="271">
      <c r="A271" s="13" t="n"/>
      <c r="B271" s="69" t="n"/>
      <c r="C271" s="13" t="n"/>
      <c r="D271" s="13" t="n"/>
      <c r="E271" s="70" t="n"/>
      <c r="F271" s="70" t="n"/>
      <c r="G271" s="70" t="n"/>
      <c r="H271" s="13" t="n"/>
      <c r="I271" s="13" t="n"/>
      <c r="J271" s="13" t="n"/>
      <c r="K271" s="16">
        <f>IF($A271="","",1)</f>
        <v/>
      </c>
    </row>
    <row r="272">
      <c r="A272" s="13" t="n"/>
      <c r="B272" s="69" t="n"/>
      <c r="C272" s="13" t="n"/>
      <c r="D272" s="13" t="n"/>
      <c r="E272" s="70" t="n"/>
      <c r="F272" s="70" t="n"/>
      <c r="G272" s="70" t="n"/>
      <c r="H272" s="13" t="n"/>
      <c r="I272" s="13" t="n"/>
      <c r="J272" s="13" t="n"/>
      <c r="K272" s="16">
        <f>IF($A272="","",1)</f>
        <v/>
      </c>
    </row>
    <row r="273">
      <c r="A273" s="13" t="n"/>
      <c r="B273" s="69" t="n"/>
      <c r="C273" s="13" t="n"/>
      <c r="D273" s="13" t="n"/>
      <c r="E273" s="70" t="n"/>
      <c r="F273" s="70" t="n"/>
      <c r="G273" s="70" t="n"/>
      <c r="H273" s="13" t="n"/>
      <c r="I273" s="13" t="n"/>
      <c r="J273" s="13" t="n"/>
      <c r="K273" s="16">
        <f>IF($A273="","",1)</f>
        <v/>
      </c>
    </row>
    <row r="274">
      <c r="A274" s="13" t="n"/>
      <c r="B274" s="69" t="n"/>
      <c r="C274" s="13" t="n"/>
      <c r="D274" s="13" t="n"/>
      <c r="E274" s="70" t="n"/>
      <c r="F274" s="70" t="n"/>
      <c r="G274" s="70" t="n"/>
      <c r="H274" s="13" t="n"/>
      <c r="I274" s="13" t="n"/>
      <c r="J274" s="13" t="n"/>
      <c r="K274" s="16">
        <f>IF($A274="","",1)</f>
        <v/>
      </c>
    </row>
    <row r="275">
      <c r="A275" s="13" t="n"/>
      <c r="B275" s="69" t="n"/>
      <c r="C275" s="13" t="n"/>
      <c r="D275" s="13" t="n"/>
      <c r="E275" s="70" t="n"/>
      <c r="F275" s="70" t="n"/>
      <c r="G275" s="70" t="n"/>
      <c r="H275" s="13" t="n"/>
      <c r="I275" s="13" t="n"/>
      <c r="J275" s="13" t="n"/>
      <c r="K275" s="16">
        <f>IF($A275="","",1)</f>
        <v/>
      </c>
    </row>
    <row r="276">
      <c r="A276" s="13" t="n"/>
      <c r="B276" s="69" t="n"/>
      <c r="C276" s="13" t="n"/>
      <c r="D276" s="13" t="n"/>
      <c r="E276" s="70" t="n"/>
      <c r="F276" s="70" t="n"/>
      <c r="G276" s="70" t="n"/>
      <c r="H276" s="13" t="n"/>
      <c r="I276" s="13" t="n"/>
      <c r="J276" s="13" t="n"/>
      <c r="K276" s="16">
        <f>IF($A276="","",1)</f>
        <v/>
      </c>
    </row>
    <row r="277">
      <c r="A277" s="13" t="n"/>
      <c r="B277" s="69" t="n"/>
      <c r="C277" s="13" t="n"/>
      <c r="D277" s="13" t="n"/>
      <c r="E277" s="70" t="n"/>
      <c r="F277" s="70" t="n"/>
      <c r="G277" s="70" t="n"/>
      <c r="H277" s="13" t="n"/>
      <c r="I277" s="13" t="n"/>
      <c r="J277" s="13" t="n"/>
      <c r="K277" s="16">
        <f>IF($A277="","",1)</f>
        <v/>
      </c>
    </row>
    <row r="278">
      <c r="A278" s="13" t="n"/>
      <c r="B278" s="69" t="n"/>
      <c r="C278" s="13" t="n"/>
      <c r="D278" s="13" t="n"/>
      <c r="E278" s="70" t="n"/>
      <c r="F278" s="70" t="n"/>
      <c r="G278" s="70" t="n"/>
      <c r="H278" s="13" t="n"/>
      <c r="I278" s="13" t="n"/>
      <c r="J278" s="13" t="n"/>
      <c r="K278" s="16">
        <f>IF($A278="","",1)</f>
        <v/>
      </c>
    </row>
    <row r="279">
      <c r="A279" s="13" t="n"/>
      <c r="B279" s="69" t="n"/>
      <c r="C279" s="13" t="n"/>
      <c r="D279" s="13" t="n"/>
      <c r="E279" s="70" t="n"/>
      <c r="F279" s="70" t="n"/>
      <c r="G279" s="70" t="n"/>
      <c r="H279" s="13" t="n"/>
      <c r="I279" s="13" t="n"/>
      <c r="J279" s="13" t="n"/>
      <c r="K279" s="16">
        <f>IF($A279="","",1)</f>
        <v/>
      </c>
    </row>
    <row r="280">
      <c r="A280" s="13" t="n"/>
      <c r="B280" s="69" t="n"/>
      <c r="C280" s="13" t="n"/>
      <c r="D280" s="13" t="n"/>
      <c r="E280" s="70" t="n"/>
      <c r="F280" s="70" t="n"/>
      <c r="G280" s="70" t="n"/>
      <c r="H280" s="13" t="n"/>
      <c r="I280" s="13" t="n"/>
      <c r="J280" s="13" t="n"/>
      <c r="K280" s="16">
        <f>IF($A280="","",1)</f>
        <v/>
      </c>
    </row>
    <row r="281">
      <c r="A281" s="13" t="n"/>
      <c r="B281" s="69" t="n"/>
      <c r="C281" s="13" t="n"/>
      <c r="D281" s="13" t="n"/>
      <c r="E281" s="70" t="n"/>
      <c r="F281" s="70" t="n"/>
      <c r="G281" s="70" t="n"/>
      <c r="H281" s="13" t="n"/>
      <c r="I281" s="13" t="n"/>
      <c r="J281" s="13" t="n"/>
      <c r="K281" s="16">
        <f>IF($A281="","",1)</f>
        <v/>
      </c>
    </row>
    <row r="282">
      <c r="A282" s="13" t="n"/>
      <c r="B282" s="69" t="n"/>
      <c r="C282" s="13" t="n"/>
      <c r="D282" s="13" t="n"/>
      <c r="E282" s="70" t="n"/>
      <c r="F282" s="70" t="n"/>
      <c r="G282" s="70" t="n"/>
      <c r="H282" s="13" t="n"/>
      <c r="I282" s="13" t="n"/>
      <c r="J282" s="13" t="n"/>
      <c r="K282" s="16">
        <f>IF($A282="","",1)</f>
        <v/>
      </c>
    </row>
    <row r="283">
      <c r="A283" s="13" t="n"/>
      <c r="B283" s="69" t="n"/>
      <c r="C283" s="13" t="n"/>
      <c r="D283" s="13" t="n"/>
      <c r="E283" s="70" t="n"/>
      <c r="F283" s="70" t="n"/>
      <c r="G283" s="70" t="n"/>
      <c r="H283" s="13" t="n"/>
      <c r="I283" s="13" t="n"/>
      <c r="J283" s="13" t="n"/>
      <c r="K283" s="16">
        <f>IF($A283="","",1)</f>
        <v/>
      </c>
    </row>
    <row r="284">
      <c r="A284" s="13" t="n"/>
      <c r="B284" s="69" t="n"/>
      <c r="C284" s="13" t="n"/>
      <c r="D284" s="13" t="n"/>
      <c r="E284" s="70" t="n"/>
      <c r="F284" s="70" t="n"/>
      <c r="G284" s="70" t="n"/>
      <c r="H284" s="13" t="n"/>
      <c r="I284" s="13" t="n"/>
      <c r="J284" s="13" t="n"/>
      <c r="K284" s="16">
        <f>IF($A284="","",1)</f>
        <v/>
      </c>
    </row>
    <row r="285">
      <c r="A285" s="13" t="n"/>
      <c r="B285" s="69" t="n"/>
      <c r="C285" s="13" t="n"/>
      <c r="D285" s="13" t="n"/>
      <c r="E285" s="70" t="n"/>
      <c r="F285" s="70" t="n"/>
      <c r="G285" s="70" t="n"/>
      <c r="H285" s="13" t="n"/>
      <c r="I285" s="13" t="n"/>
      <c r="J285" s="13" t="n"/>
      <c r="K285" s="16">
        <f>IF($A285="","",1)</f>
        <v/>
      </c>
    </row>
    <row r="286">
      <c r="A286" s="13" t="n"/>
      <c r="B286" s="69" t="n"/>
      <c r="C286" s="13" t="n"/>
      <c r="D286" s="13" t="n"/>
      <c r="E286" s="70" t="n"/>
      <c r="F286" s="70" t="n"/>
      <c r="G286" s="70" t="n"/>
      <c r="H286" s="13" t="n"/>
      <c r="I286" s="13" t="n"/>
      <c r="J286" s="13" t="n"/>
      <c r="K286" s="16">
        <f>IF($A286="","",1)</f>
        <v/>
      </c>
    </row>
    <row r="287">
      <c r="A287" s="13" t="n"/>
      <c r="B287" s="69" t="n"/>
      <c r="C287" s="13" t="n"/>
      <c r="D287" s="13" t="n"/>
      <c r="E287" s="70" t="n"/>
      <c r="F287" s="70" t="n"/>
      <c r="G287" s="70" t="n"/>
      <c r="H287" s="13" t="n"/>
      <c r="I287" s="13" t="n"/>
      <c r="J287" s="13" t="n"/>
      <c r="K287" s="16">
        <f>IF($A287="","",1)</f>
        <v/>
      </c>
    </row>
    <row r="288">
      <c r="A288" s="13" t="n"/>
      <c r="B288" s="69" t="n"/>
      <c r="C288" s="13" t="n"/>
      <c r="D288" s="13" t="n"/>
      <c r="E288" s="70" t="n"/>
      <c r="F288" s="70" t="n"/>
      <c r="G288" s="70" t="n"/>
      <c r="H288" s="13" t="n"/>
      <c r="I288" s="13" t="n"/>
      <c r="J288" s="13" t="n"/>
      <c r="K288" s="16">
        <f>IF($A288="","",1)</f>
        <v/>
      </c>
    </row>
    <row r="289">
      <c r="A289" s="13" t="n"/>
      <c r="B289" s="69" t="n"/>
      <c r="C289" s="13" t="n"/>
      <c r="D289" s="13" t="n"/>
      <c r="E289" s="70" t="n"/>
      <c r="F289" s="70" t="n"/>
      <c r="G289" s="70" t="n"/>
      <c r="H289" s="13" t="n"/>
      <c r="I289" s="13" t="n"/>
      <c r="J289" s="13" t="n"/>
      <c r="K289" s="16">
        <f>IF($A289="","",1)</f>
        <v/>
      </c>
    </row>
    <row r="290">
      <c r="A290" s="13" t="n"/>
      <c r="B290" s="69" t="n"/>
      <c r="C290" s="13" t="n"/>
      <c r="D290" s="13" t="n"/>
      <c r="E290" s="70" t="n"/>
      <c r="F290" s="70" t="n"/>
      <c r="G290" s="70" t="n"/>
      <c r="H290" s="13" t="n"/>
      <c r="I290" s="13" t="n"/>
      <c r="J290" s="13" t="n"/>
      <c r="K290" s="16">
        <f>IF($A290="","",1)</f>
        <v/>
      </c>
    </row>
    <row r="291">
      <c r="A291" s="13" t="n"/>
      <c r="B291" s="69" t="n"/>
      <c r="C291" s="13" t="n"/>
      <c r="D291" s="13" t="n"/>
      <c r="E291" s="70" t="n"/>
      <c r="F291" s="70" t="n"/>
      <c r="G291" s="70" t="n"/>
      <c r="H291" s="13" t="n"/>
      <c r="I291" s="13" t="n"/>
      <c r="J291" s="13" t="n"/>
      <c r="K291" s="16">
        <f>IF($A291="","",1)</f>
        <v/>
      </c>
    </row>
    <row r="292">
      <c r="A292" s="13" t="n"/>
      <c r="B292" s="69" t="n"/>
      <c r="C292" s="13" t="n"/>
      <c r="D292" s="13" t="n"/>
      <c r="E292" s="70" t="n"/>
      <c r="F292" s="70" t="n"/>
      <c r="G292" s="70" t="n"/>
      <c r="H292" s="13" t="n"/>
      <c r="I292" s="13" t="n"/>
      <c r="J292" s="13" t="n"/>
      <c r="K292" s="16">
        <f>IF($A292="","",1)</f>
        <v/>
      </c>
    </row>
    <row r="293">
      <c r="A293" s="13" t="n"/>
      <c r="B293" s="69" t="n"/>
      <c r="C293" s="13" t="n"/>
      <c r="D293" s="13" t="n"/>
      <c r="E293" s="70" t="n"/>
      <c r="F293" s="70" t="n"/>
      <c r="G293" s="70" t="n"/>
      <c r="H293" s="13" t="n"/>
      <c r="I293" s="13" t="n"/>
      <c r="J293" s="13" t="n"/>
      <c r="K293" s="16">
        <f>IF($A293="","",1)</f>
        <v/>
      </c>
    </row>
    <row r="294">
      <c r="A294" s="13" t="n"/>
      <c r="B294" s="69" t="n"/>
      <c r="C294" s="13" t="n"/>
      <c r="D294" s="13" t="n"/>
      <c r="E294" s="70" t="n"/>
      <c r="F294" s="70" t="n"/>
      <c r="G294" s="70" t="n"/>
      <c r="H294" s="13" t="n"/>
      <c r="I294" s="13" t="n"/>
      <c r="J294" s="13" t="n"/>
      <c r="K294" s="16">
        <f>IF($A294="","",1)</f>
        <v/>
      </c>
    </row>
    <row r="295">
      <c r="A295" s="13" t="n"/>
      <c r="B295" s="69" t="n"/>
      <c r="C295" s="13" t="n"/>
      <c r="D295" s="13" t="n"/>
      <c r="E295" s="70" t="n"/>
      <c r="F295" s="70" t="n"/>
      <c r="G295" s="70" t="n"/>
      <c r="H295" s="13" t="n"/>
      <c r="I295" s="13" t="n"/>
      <c r="J295" s="13" t="n"/>
      <c r="K295" s="16">
        <f>IF($A295="","",1)</f>
        <v/>
      </c>
    </row>
    <row r="296">
      <c r="A296" s="13" t="n"/>
      <c r="B296" s="69" t="n"/>
      <c r="C296" s="13" t="n"/>
      <c r="D296" s="13" t="n"/>
      <c r="E296" s="70" t="n"/>
      <c r="F296" s="70" t="n"/>
      <c r="G296" s="70" t="n"/>
      <c r="H296" s="13" t="n"/>
      <c r="I296" s="13" t="n"/>
      <c r="J296" s="13" t="n"/>
      <c r="K296" s="16">
        <f>IF($A296="","",1)</f>
        <v/>
      </c>
    </row>
    <row r="297">
      <c r="A297" s="13" t="n"/>
      <c r="B297" s="69" t="n"/>
      <c r="C297" s="13" t="n"/>
      <c r="D297" s="13" t="n"/>
      <c r="E297" s="70" t="n"/>
      <c r="F297" s="70" t="n"/>
      <c r="G297" s="70" t="n"/>
      <c r="H297" s="13" t="n"/>
      <c r="I297" s="13" t="n"/>
      <c r="J297" s="13" t="n"/>
      <c r="K297" s="16">
        <f>IF($A297="","",1)</f>
        <v/>
      </c>
    </row>
    <row r="298">
      <c r="A298" s="13" t="n"/>
      <c r="B298" s="69" t="n"/>
      <c r="C298" s="13" t="n"/>
      <c r="D298" s="13" t="n"/>
      <c r="E298" s="70" t="n"/>
      <c r="F298" s="70" t="n"/>
      <c r="G298" s="70" t="n"/>
      <c r="H298" s="13" t="n"/>
      <c r="I298" s="13" t="n"/>
      <c r="J298" s="13" t="n"/>
      <c r="K298" s="16">
        <f>IF($A298="","",1)</f>
        <v/>
      </c>
    </row>
    <row r="299">
      <c r="A299" s="13" t="n"/>
      <c r="B299" s="69" t="n"/>
      <c r="C299" s="13" t="n"/>
      <c r="D299" s="13" t="n"/>
      <c r="E299" s="70" t="n"/>
      <c r="F299" s="70" t="n"/>
      <c r="G299" s="70" t="n"/>
      <c r="H299" s="13" t="n"/>
      <c r="I299" s="13" t="n"/>
      <c r="J299" s="13" t="n"/>
      <c r="K299" s="16">
        <f>IF($A299="","",1)</f>
        <v/>
      </c>
    </row>
    <row r="300">
      <c r="A300" s="13" t="n"/>
      <c r="B300" s="69" t="n"/>
      <c r="C300" s="13" t="n"/>
      <c r="D300" s="13" t="n"/>
      <c r="E300" s="70" t="n"/>
      <c r="F300" s="70" t="n"/>
      <c r="G300" s="70" t="n"/>
      <c r="H300" s="13" t="n"/>
      <c r="I300" s="13" t="n"/>
      <c r="J300" s="13" t="n"/>
      <c r="K300" s="16">
        <f>IF($A300="","",1)</f>
        <v/>
      </c>
    </row>
    <row r="301">
      <c r="A301" s="13" t="n"/>
      <c r="B301" s="69" t="n"/>
      <c r="C301" s="13" t="n"/>
      <c r="D301" s="13" t="n"/>
      <c r="E301" s="70" t="n"/>
      <c r="F301" s="70" t="n"/>
      <c r="G301" s="70" t="n"/>
      <c r="H301" s="13" t="n"/>
      <c r="I301" s="13" t="n"/>
      <c r="J301" s="13" t="n"/>
      <c r="K301" s="16">
        <f>IF($A301="","",1)</f>
        <v/>
      </c>
    </row>
    <row r="302">
      <c r="A302" s="13" t="n"/>
      <c r="B302" s="69" t="n"/>
      <c r="C302" s="13" t="n"/>
      <c r="D302" s="13" t="n"/>
      <c r="E302" s="70" t="n"/>
      <c r="F302" s="70" t="n"/>
      <c r="G302" s="70" t="n"/>
      <c r="H302" s="13" t="n"/>
      <c r="I302" s="13" t="n"/>
      <c r="J302" s="13" t="n"/>
      <c r="K302" s="16">
        <f>IF($A302="","",1)</f>
        <v/>
      </c>
    </row>
    <row r="303">
      <c r="A303" s="13" t="n"/>
      <c r="B303" s="69" t="n"/>
      <c r="C303" s="13" t="n"/>
      <c r="D303" s="13" t="n"/>
      <c r="E303" s="70" t="n"/>
      <c r="F303" s="70" t="n"/>
      <c r="G303" s="70" t="n"/>
      <c r="H303" s="13" t="n"/>
      <c r="I303" s="13" t="n"/>
      <c r="J303" s="13" t="n"/>
      <c r="K303" s="16">
        <f>IF($A303="","",1)</f>
        <v/>
      </c>
    </row>
    <row r="304">
      <c r="A304" s="13" t="n"/>
      <c r="B304" s="69" t="n"/>
      <c r="C304" s="13" t="n"/>
      <c r="D304" s="13" t="n"/>
      <c r="E304" s="70" t="n"/>
      <c r="F304" s="70" t="n"/>
      <c r="G304" s="70" t="n"/>
      <c r="H304" s="13" t="n"/>
      <c r="I304" s="13" t="n"/>
      <c r="J304" s="13" t="n"/>
      <c r="K304" s="16">
        <f>IF($A304="","",1)</f>
        <v/>
      </c>
    </row>
    <row r="305">
      <c r="A305" s="13" t="n"/>
      <c r="B305" s="69" t="n"/>
      <c r="C305" s="13" t="n"/>
      <c r="D305" s="13" t="n"/>
      <c r="E305" s="70" t="n"/>
      <c r="F305" s="70" t="n"/>
      <c r="G305" s="70" t="n"/>
      <c r="H305" s="13" t="n"/>
      <c r="I305" s="13" t="n"/>
      <c r="J305" s="13" t="n"/>
      <c r="K305" s="16">
        <f>IF($A305="","",1)</f>
        <v/>
      </c>
    </row>
    <row r="306">
      <c r="A306" s="13" t="n"/>
      <c r="B306" s="69" t="n"/>
      <c r="C306" s="13" t="n"/>
      <c r="D306" s="13" t="n"/>
      <c r="E306" s="70" t="n"/>
      <c r="F306" s="70" t="n"/>
      <c r="G306" s="70" t="n"/>
      <c r="H306" s="13" t="n"/>
      <c r="I306" s="13" t="n"/>
      <c r="J306" s="13" t="n"/>
      <c r="K306" s="16">
        <f>IF($A306="","",1)</f>
        <v/>
      </c>
    </row>
    <row r="307">
      <c r="A307" s="13" t="n"/>
      <c r="B307" s="69" t="n"/>
      <c r="C307" s="13" t="n"/>
      <c r="D307" s="13" t="n"/>
      <c r="E307" s="70" t="n"/>
      <c r="F307" s="70" t="n"/>
      <c r="G307" s="70" t="n"/>
      <c r="H307" s="13" t="n"/>
      <c r="I307" s="13" t="n"/>
      <c r="J307" s="13" t="n"/>
      <c r="K307" s="16">
        <f>IF($A307="","",1)</f>
        <v/>
      </c>
    </row>
    <row r="308">
      <c r="A308" s="13" t="n"/>
      <c r="B308" s="69" t="n"/>
      <c r="C308" s="13" t="n"/>
      <c r="D308" s="13" t="n"/>
      <c r="E308" s="70" t="n"/>
      <c r="F308" s="70" t="n"/>
      <c r="G308" s="70" t="n"/>
      <c r="H308" s="13" t="n"/>
      <c r="I308" s="13" t="n"/>
      <c r="J308" s="13" t="n"/>
      <c r="K308" s="16">
        <f>IF($A308="","",1)</f>
        <v/>
      </c>
    </row>
    <row r="309">
      <c r="A309" s="13" t="n"/>
      <c r="B309" s="69" t="n"/>
      <c r="C309" s="13" t="n"/>
      <c r="D309" s="13" t="n"/>
      <c r="E309" s="70" t="n"/>
      <c r="F309" s="70" t="n"/>
      <c r="G309" s="70" t="n"/>
      <c r="H309" s="13" t="n"/>
      <c r="I309" s="13" t="n"/>
      <c r="J309" s="13" t="n"/>
      <c r="K309" s="16">
        <f>IF($A309="","",1)</f>
        <v/>
      </c>
    </row>
    <row r="310">
      <c r="A310" s="13" t="n"/>
      <c r="B310" s="69" t="n"/>
      <c r="C310" s="13" t="n"/>
      <c r="D310" s="13" t="n"/>
      <c r="E310" s="70" t="n"/>
      <c r="F310" s="70" t="n"/>
      <c r="G310" s="70" t="n"/>
      <c r="H310" s="13" t="n"/>
      <c r="I310" s="13" t="n"/>
      <c r="J310" s="13" t="n"/>
      <c r="K310" s="16">
        <f>IF($A310="","",1)</f>
        <v/>
      </c>
    </row>
    <row r="311">
      <c r="A311" s="13" t="n"/>
      <c r="B311" s="69" t="n"/>
      <c r="C311" s="13" t="n"/>
      <c r="D311" s="13" t="n"/>
      <c r="E311" s="70" t="n"/>
      <c r="F311" s="70" t="n"/>
      <c r="G311" s="70" t="n"/>
      <c r="H311" s="13" t="n"/>
      <c r="I311" s="13" t="n"/>
      <c r="J311" s="13" t="n"/>
      <c r="K311" s="16">
        <f>IF($A311="","",1)</f>
        <v/>
      </c>
    </row>
    <row r="312">
      <c r="A312" s="13" t="n"/>
      <c r="B312" s="69" t="n"/>
      <c r="C312" s="13" t="n"/>
      <c r="D312" s="13" t="n"/>
      <c r="E312" s="70" t="n"/>
      <c r="F312" s="70" t="n"/>
      <c r="G312" s="70" t="n"/>
      <c r="H312" s="13" t="n"/>
      <c r="I312" s="13" t="n"/>
      <c r="J312" s="13" t="n"/>
      <c r="K312" s="16">
        <f>IF($A312="","",1)</f>
        <v/>
      </c>
    </row>
    <row r="313">
      <c r="A313" s="13" t="n"/>
      <c r="B313" s="69" t="n"/>
      <c r="C313" s="13" t="n"/>
      <c r="D313" s="13" t="n"/>
      <c r="E313" s="70" t="n"/>
      <c r="F313" s="70" t="n"/>
      <c r="G313" s="70" t="n"/>
      <c r="H313" s="13" t="n"/>
      <c r="I313" s="13" t="n"/>
      <c r="J313" s="13" t="n"/>
      <c r="K313" s="16">
        <f>IF($A313="","",1)</f>
        <v/>
      </c>
    </row>
    <row r="314">
      <c r="A314" s="13" t="n"/>
      <c r="B314" s="69" t="n"/>
      <c r="C314" s="13" t="n"/>
      <c r="D314" s="13" t="n"/>
      <c r="E314" s="70" t="n"/>
      <c r="F314" s="70" t="n"/>
      <c r="G314" s="70" t="n"/>
      <c r="H314" s="13" t="n"/>
      <c r="I314" s="13" t="n"/>
      <c r="J314" s="13" t="n"/>
      <c r="K314" s="16">
        <f>IF($A314="","",1)</f>
        <v/>
      </c>
    </row>
    <row r="315">
      <c r="A315" s="13" t="n"/>
      <c r="B315" s="69" t="n"/>
      <c r="C315" s="13" t="n"/>
      <c r="D315" s="13" t="n"/>
      <c r="E315" s="70" t="n"/>
      <c r="F315" s="70" t="n"/>
      <c r="G315" s="70" t="n"/>
      <c r="H315" s="13" t="n"/>
      <c r="I315" s="13" t="n"/>
      <c r="J315" s="13" t="n"/>
      <c r="K315" s="16">
        <f>IF($A315="","",1)</f>
        <v/>
      </c>
    </row>
    <row r="316">
      <c r="A316" s="13" t="n"/>
      <c r="B316" s="69" t="n"/>
      <c r="C316" s="13" t="n"/>
      <c r="D316" s="13" t="n"/>
      <c r="E316" s="70" t="n"/>
      <c r="F316" s="70" t="n"/>
      <c r="G316" s="70" t="n"/>
      <c r="H316" s="13" t="n"/>
      <c r="I316" s="13" t="n"/>
      <c r="J316" s="13" t="n"/>
      <c r="K316" s="16">
        <f>IF($A316="","",1)</f>
        <v/>
      </c>
    </row>
    <row r="317">
      <c r="A317" s="13" t="n"/>
      <c r="B317" s="69" t="n"/>
      <c r="C317" s="13" t="n"/>
      <c r="D317" s="13" t="n"/>
      <c r="E317" s="70" t="n"/>
      <c r="F317" s="70" t="n"/>
      <c r="G317" s="70" t="n"/>
      <c r="H317" s="13" t="n"/>
      <c r="I317" s="13" t="n"/>
      <c r="J317" s="13" t="n"/>
      <c r="K317" s="16">
        <f>IF($A317="","",1)</f>
        <v/>
      </c>
    </row>
    <row r="318">
      <c r="A318" s="13" t="n"/>
      <c r="B318" s="69" t="n"/>
      <c r="C318" s="13" t="n"/>
      <c r="D318" s="13" t="n"/>
      <c r="E318" s="70" t="n"/>
      <c r="F318" s="70" t="n"/>
      <c r="G318" s="70" t="n"/>
      <c r="H318" s="13" t="n"/>
      <c r="I318" s="13" t="n"/>
      <c r="J318" s="13" t="n"/>
      <c r="K318" s="16">
        <f>IF($A318="","",1)</f>
        <v/>
      </c>
    </row>
    <row r="319">
      <c r="A319" s="13" t="n"/>
      <c r="B319" s="69" t="n"/>
      <c r="C319" s="13" t="n"/>
      <c r="D319" s="13" t="n"/>
      <c r="E319" s="70" t="n"/>
      <c r="F319" s="70" t="n"/>
      <c r="G319" s="70" t="n"/>
      <c r="H319" s="13" t="n"/>
      <c r="I319" s="13" t="n"/>
      <c r="J319" s="13" t="n"/>
      <c r="K319" s="16">
        <f>IF($A319="","",1)</f>
        <v/>
      </c>
    </row>
    <row r="320">
      <c r="A320" s="13" t="n"/>
      <c r="B320" s="69" t="n"/>
      <c r="C320" s="13" t="n"/>
      <c r="D320" s="13" t="n"/>
      <c r="E320" s="70" t="n"/>
      <c r="F320" s="70" t="n"/>
      <c r="G320" s="70" t="n"/>
      <c r="H320" s="13" t="n"/>
      <c r="I320" s="13" t="n"/>
      <c r="J320" s="13" t="n"/>
      <c r="K320" s="16">
        <f>IF($A320="","",1)</f>
        <v/>
      </c>
    </row>
    <row r="321">
      <c r="A321" s="13" t="n"/>
      <c r="B321" s="69" t="n"/>
      <c r="C321" s="13" t="n"/>
      <c r="D321" s="13" t="n"/>
      <c r="E321" s="70" t="n"/>
      <c r="F321" s="70" t="n"/>
      <c r="G321" s="70" t="n"/>
      <c r="H321" s="13" t="n"/>
      <c r="I321" s="13" t="n"/>
      <c r="J321" s="13" t="n"/>
      <c r="K321" s="16">
        <f>IF($A321="","",1)</f>
        <v/>
      </c>
    </row>
    <row r="322">
      <c r="A322" s="13" t="n"/>
      <c r="B322" s="69" t="n"/>
      <c r="C322" s="13" t="n"/>
      <c r="D322" s="13" t="n"/>
      <c r="E322" s="70" t="n"/>
      <c r="F322" s="70" t="n"/>
      <c r="G322" s="70" t="n"/>
      <c r="H322" s="13" t="n"/>
      <c r="I322" s="13" t="n"/>
      <c r="J322" s="13" t="n"/>
      <c r="K322" s="16">
        <f>IF($A322="","",1)</f>
        <v/>
      </c>
    </row>
    <row r="323">
      <c r="A323" s="13" t="n"/>
      <c r="B323" s="69" t="n"/>
      <c r="C323" s="13" t="n"/>
      <c r="D323" s="13" t="n"/>
      <c r="E323" s="70" t="n"/>
      <c r="F323" s="70" t="n"/>
      <c r="G323" s="70" t="n"/>
      <c r="H323" s="13" t="n"/>
      <c r="I323" s="13" t="n"/>
      <c r="J323" s="13" t="n"/>
      <c r="K323" s="16">
        <f>IF($A323="","",1)</f>
        <v/>
      </c>
    </row>
    <row r="324">
      <c r="A324" s="13" t="n"/>
      <c r="B324" s="69" t="n"/>
      <c r="C324" s="13" t="n"/>
      <c r="D324" s="13" t="n"/>
      <c r="E324" s="70" t="n"/>
      <c r="F324" s="70" t="n"/>
      <c r="G324" s="70" t="n"/>
      <c r="H324" s="13" t="n"/>
      <c r="I324" s="13" t="n"/>
      <c r="J324" s="13" t="n"/>
      <c r="K324" s="16">
        <f>IF($A324="","",1)</f>
        <v/>
      </c>
    </row>
    <row r="325">
      <c r="A325" s="13" t="n"/>
      <c r="B325" s="69" t="n"/>
      <c r="C325" s="13" t="n"/>
      <c r="D325" s="13" t="n"/>
      <c r="E325" s="70" t="n"/>
      <c r="F325" s="70" t="n"/>
      <c r="G325" s="70" t="n"/>
      <c r="H325" s="13" t="n"/>
      <c r="I325" s="13" t="n"/>
      <c r="J325" s="13" t="n"/>
      <c r="K325" s="16">
        <f>IF($A325="","",1)</f>
        <v/>
      </c>
    </row>
    <row r="326">
      <c r="A326" s="13" t="n"/>
      <c r="B326" s="69" t="n"/>
      <c r="C326" s="13" t="n"/>
      <c r="D326" s="13" t="n"/>
      <c r="E326" s="70" t="n"/>
      <c r="F326" s="70" t="n"/>
      <c r="G326" s="70" t="n"/>
      <c r="H326" s="13" t="n"/>
      <c r="I326" s="13" t="n"/>
      <c r="J326" s="13" t="n"/>
      <c r="K326" s="16">
        <f>IF($A326="","",1)</f>
        <v/>
      </c>
    </row>
    <row r="327">
      <c r="A327" s="13" t="n"/>
      <c r="B327" s="69" t="n"/>
      <c r="C327" s="13" t="n"/>
      <c r="D327" s="13" t="n"/>
      <c r="E327" s="70" t="n"/>
      <c r="F327" s="70" t="n"/>
      <c r="G327" s="70" t="n"/>
      <c r="H327" s="13" t="n"/>
      <c r="I327" s="13" t="n"/>
      <c r="J327" s="13" t="n"/>
      <c r="K327" s="16">
        <f>IF($A327="","",1)</f>
        <v/>
      </c>
    </row>
    <row r="328">
      <c r="A328" s="13" t="n"/>
      <c r="B328" s="69" t="n"/>
      <c r="C328" s="13" t="n"/>
      <c r="D328" s="13" t="n"/>
      <c r="E328" s="70" t="n"/>
      <c r="F328" s="70" t="n"/>
      <c r="G328" s="70" t="n"/>
      <c r="H328" s="13" t="n"/>
      <c r="I328" s="13" t="n"/>
      <c r="J328" s="13" t="n"/>
      <c r="K328" s="16">
        <f>IF($A328="","",1)</f>
        <v/>
      </c>
    </row>
    <row r="329">
      <c r="A329" s="13" t="n"/>
      <c r="B329" s="69" t="n"/>
      <c r="C329" s="13" t="n"/>
      <c r="D329" s="13" t="n"/>
      <c r="E329" s="70" t="n"/>
      <c r="F329" s="70" t="n"/>
      <c r="G329" s="70" t="n"/>
      <c r="H329" s="13" t="n"/>
      <c r="I329" s="13" t="n"/>
      <c r="J329" s="13" t="n"/>
      <c r="K329" s="16">
        <f>IF($A329="","",1)</f>
        <v/>
      </c>
    </row>
    <row r="330">
      <c r="A330" s="13" t="n"/>
      <c r="B330" s="69" t="n"/>
      <c r="C330" s="13" t="n"/>
      <c r="D330" s="13" t="n"/>
      <c r="E330" s="70" t="n"/>
      <c r="F330" s="70" t="n"/>
      <c r="G330" s="70" t="n"/>
      <c r="H330" s="13" t="n"/>
      <c r="I330" s="13" t="n"/>
      <c r="J330" s="13" t="n"/>
      <c r="K330" s="16">
        <f>IF($A330="","",1)</f>
        <v/>
      </c>
    </row>
    <row r="331">
      <c r="A331" s="13" t="n"/>
      <c r="B331" s="69" t="n"/>
      <c r="C331" s="13" t="n"/>
      <c r="D331" s="13" t="n"/>
      <c r="E331" s="70" t="n"/>
      <c r="F331" s="70" t="n"/>
      <c r="G331" s="70" t="n"/>
      <c r="H331" s="13" t="n"/>
      <c r="I331" s="13" t="n"/>
      <c r="J331" s="13" t="n"/>
      <c r="K331" s="16">
        <f>IF($A331="","",1)</f>
        <v/>
      </c>
    </row>
    <row r="332">
      <c r="A332" s="13" t="n"/>
      <c r="B332" s="69" t="n"/>
      <c r="C332" s="13" t="n"/>
      <c r="D332" s="13" t="n"/>
      <c r="E332" s="70" t="n"/>
      <c r="F332" s="70" t="n"/>
      <c r="G332" s="70" t="n"/>
      <c r="H332" s="13" t="n"/>
      <c r="I332" s="13" t="n"/>
      <c r="J332" s="13" t="n"/>
      <c r="K332" s="16">
        <f>IF($A332="","",1)</f>
        <v/>
      </c>
    </row>
    <row r="333">
      <c r="A333" s="13" t="n"/>
      <c r="B333" s="69" t="n"/>
      <c r="C333" s="13" t="n"/>
      <c r="D333" s="13" t="n"/>
      <c r="E333" s="70" t="n"/>
      <c r="F333" s="70" t="n"/>
      <c r="G333" s="70" t="n"/>
      <c r="H333" s="13" t="n"/>
      <c r="I333" s="13" t="n"/>
      <c r="J333" s="13" t="n"/>
      <c r="K333" s="16">
        <f>IF($A333="","",1)</f>
        <v/>
      </c>
    </row>
    <row r="334">
      <c r="A334" s="13" t="n"/>
      <c r="B334" s="69" t="n"/>
      <c r="C334" s="13" t="n"/>
      <c r="D334" s="13" t="n"/>
      <c r="E334" s="70" t="n"/>
      <c r="F334" s="70" t="n"/>
      <c r="G334" s="70" t="n"/>
      <c r="H334" s="13" t="n"/>
      <c r="I334" s="13" t="n"/>
      <c r="J334" s="13" t="n"/>
      <c r="K334" s="16">
        <f>IF($A334="","",1)</f>
        <v/>
      </c>
    </row>
    <row r="335">
      <c r="A335" s="13" t="n"/>
      <c r="B335" s="69" t="n"/>
      <c r="C335" s="13" t="n"/>
      <c r="D335" s="13" t="n"/>
      <c r="E335" s="70" t="n"/>
      <c r="F335" s="70" t="n"/>
      <c r="G335" s="70" t="n"/>
      <c r="H335" s="13" t="n"/>
      <c r="I335" s="13" t="n"/>
      <c r="J335" s="13" t="n"/>
      <c r="K335" s="16">
        <f>IF($A335="","",1)</f>
        <v/>
      </c>
    </row>
    <row r="336">
      <c r="A336" s="13" t="n"/>
      <c r="B336" s="69" t="n"/>
      <c r="C336" s="13" t="n"/>
      <c r="D336" s="13" t="n"/>
      <c r="E336" s="70" t="n"/>
      <c r="F336" s="70" t="n"/>
      <c r="G336" s="70" t="n"/>
      <c r="H336" s="13" t="n"/>
      <c r="I336" s="13" t="n"/>
      <c r="J336" s="13" t="n"/>
      <c r="K336" s="16">
        <f>IF($A336="","",1)</f>
        <v/>
      </c>
    </row>
    <row r="337">
      <c r="A337" s="13" t="n"/>
      <c r="B337" s="69" t="n"/>
      <c r="C337" s="13" t="n"/>
      <c r="D337" s="13" t="n"/>
      <c r="E337" s="70" t="n"/>
      <c r="F337" s="70" t="n"/>
      <c r="G337" s="70" t="n"/>
      <c r="H337" s="13" t="n"/>
      <c r="I337" s="13" t="n"/>
      <c r="J337" s="13" t="n"/>
      <c r="K337" s="16">
        <f>IF($A337="","",1)</f>
        <v/>
      </c>
    </row>
    <row r="338">
      <c r="A338" s="13" t="n"/>
      <c r="B338" s="69" t="n"/>
      <c r="C338" s="13" t="n"/>
      <c r="D338" s="13" t="n"/>
      <c r="E338" s="70" t="n"/>
      <c r="F338" s="70" t="n"/>
      <c r="G338" s="70" t="n"/>
      <c r="H338" s="13" t="n"/>
      <c r="I338" s="13" t="n"/>
      <c r="J338" s="13" t="n"/>
      <c r="K338" s="16">
        <f>IF($A338="","",1)</f>
        <v/>
      </c>
    </row>
    <row r="339">
      <c r="A339" s="13" t="n"/>
      <c r="B339" s="69" t="n"/>
      <c r="C339" s="13" t="n"/>
      <c r="D339" s="13" t="n"/>
      <c r="E339" s="70" t="n"/>
      <c r="F339" s="70" t="n"/>
      <c r="G339" s="70" t="n"/>
      <c r="H339" s="13" t="n"/>
      <c r="I339" s="13" t="n"/>
      <c r="J339" s="13" t="n"/>
      <c r="K339" s="16">
        <f>IF($A339="","",1)</f>
        <v/>
      </c>
    </row>
    <row r="340">
      <c r="A340" s="13" t="n"/>
      <c r="B340" s="69" t="n"/>
      <c r="C340" s="13" t="n"/>
      <c r="D340" s="13" t="n"/>
      <c r="E340" s="70" t="n"/>
      <c r="F340" s="70" t="n"/>
      <c r="G340" s="70" t="n"/>
      <c r="H340" s="13" t="n"/>
      <c r="I340" s="13" t="n"/>
      <c r="J340" s="13" t="n"/>
      <c r="K340" s="16">
        <f>IF($A340="","",1)</f>
        <v/>
      </c>
    </row>
    <row r="341">
      <c r="A341" s="13" t="n"/>
      <c r="B341" s="69" t="n"/>
      <c r="C341" s="13" t="n"/>
      <c r="D341" s="13" t="n"/>
      <c r="E341" s="70" t="n"/>
      <c r="F341" s="70" t="n"/>
      <c r="G341" s="70" t="n"/>
      <c r="H341" s="13" t="n"/>
      <c r="I341" s="13" t="n"/>
      <c r="J341" s="13" t="n"/>
      <c r="K341" s="16">
        <f>IF($A341="","",1)</f>
        <v/>
      </c>
    </row>
    <row r="342">
      <c r="A342" s="13" t="n"/>
      <c r="B342" s="69" t="n"/>
      <c r="C342" s="13" t="n"/>
      <c r="D342" s="13" t="n"/>
      <c r="E342" s="70" t="n"/>
      <c r="F342" s="70" t="n"/>
      <c r="G342" s="70" t="n"/>
      <c r="H342" s="13" t="n"/>
      <c r="I342" s="13" t="n"/>
      <c r="J342" s="13" t="n"/>
      <c r="K342" s="16">
        <f>IF($A342="","",1)</f>
        <v/>
      </c>
    </row>
    <row r="343">
      <c r="A343" s="13" t="n"/>
      <c r="B343" s="69" t="n"/>
      <c r="C343" s="13" t="n"/>
      <c r="D343" s="13" t="n"/>
      <c r="E343" s="70" t="n"/>
      <c r="F343" s="70" t="n"/>
      <c r="G343" s="70" t="n"/>
      <c r="H343" s="13" t="n"/>
      <c r="I343" s="13" t="n"/>
      <c r="J343" s="13" t="n"/>
      <c r="K343" s="16">
        <f>IF($A343="","",1)</f>
        <v/>
      </c>
    </row>
    <row r="344">
      <c r="A344" s="13" t="n"/>
      <c r="B344" s="69" t="n"/>
      <c r="C344" s="13" t="n"/>
      <c r="D344" s="13" t="n"/>
      <c r="E344" s="70" t="n"/>
      <c r="F344" s="70" t="n"/>
      <c r="G344" s="70" t="n"/>
      <c r="H344" s="13" t="n"/>
      <c r="I344" s="13" t="n"/>
      <c r="J344" s="13" t="n"/>
      <c r="K344" s="16">
        <f>IF($A344="","",1)</f>
        <v/>
      </c>
    </row>
    <row r="345">
      <c r="A345" s="13" t="n"/>
      <c r="B345" s="69" t="n"/>
      <c r="C345" s="13" t="n"/>
      <c r="D345" s="13" t="n"/>
      <c r="E345" s="70" t="n"/>
      <c r="F345" s="70" t="n"/>
      <c r="G345" s="70" t="n"/>
      <c r="H345" s="13" t="n"/>
      <c r="I345" s="13" t="n"/>
      <c r="J345" s="13" t="n"/>
      <c r="K345" s="16">
        <f>IF($A345="","",1)</f>
        <v/>
      </c>
    </row>
    <row r="346">
      <c r="A346" s="13" t="n"/>
      <c r="B346" s="69" t="n"/>
      <c r="C346" s="13" t="n"/>
      <c r="D346" s="13" t="n"/>
      <c r="E346" s="70" t="n"/>
      <c r="F346" s="70" t="n"/>
      <c r="G346" s="70" t="n"/>
      <c r="H346" s="13" t="n"/>
      <c r="I346" s="13" t="n"/>
      <c r="J346" s="13" t="n"/>
      <c r="K346" s="16">
        <f>IF($A346="","",1)</f>
        <v/>
      </c>
    </row>
    <row r="347">
      <c r="A347" s="13" t="n"/>
      <c r="B347" s="69" t="n"/>
      <c r="C347" s="13" t="n"/>
      <c r="D347" s="13" t="n"/>
      <c r="E347" s="70" t="n"/>
      <c r="F347" s="70" t="n"/>
      <c r="G347" s="70" t="n"/>
      <c r="H347" s="13" t="n"/>
      <c r="I347" s="13" t="n"/>
      <c r="J347" s="13" t="n"/>
      <c r="K347" s="16">
        <f>IF($A347="","",1)</f>
        <v/>
      </c>
    </row>
    <row r="348">
      <c r="A348" s="13" t="n"/>
      <c r="B348" s="69" t="n"/>
      <c r="C348" s="13" t="n"/>
      <c r="D348" s="13" t="n"/>
      <c r="E348" s="70" t="n"/>
      <c r="F348" s="70" t="n"/>
      <c r="G348" s="70" t="n"/>
      <c r="H348" s="13" t="n"/>
      <c r="I348" s="13" t="n"/>
      <c r="J348" s="13" t="n"/>
      <c r="K348" s="16">
        <f>IF($A348="","",1)</f>
        <v/>
      </c>
    </row>
    <row r="349">
      <c r="A349" s="13" t="n"/>
      <c r="B349" s="69" t="n"/>
      <c r="C349" s="13" t="n"/>
      <c r="D349" s="13" t="n"/>
      <c r="E349" s="70" t="n"/>
      <c r="F349" s="70" t="n"/>
      <c r="G349" s="70" t="n"/>
      <c r="H349" s="13" t="n"/>
      <c r="I349" s="13" t="n"/>
      <c r="J349" s="13" t="n"/>
      <c r="K349" s="16">
        <f>IF($A349="","",1)</f>
        <v/>
      </c>
    </row>
    <row r="350">
      <c r="A350" s="13" t="n"/>
      <c r="B350" s="69" t="n"/>
      <c r="C350" s="13" t="n"/>
      <c r="D350" s="13" t="n"/>
      <c r="E350" s="70" t="n"/>
      <c r="F350" s="70" t="n"/>
      <c r="G350" s="70" t="n"/>
      <c r="H350" s="13" t="n"/>
      <c r="I350" s="13" t="n"/>
      <c r="J350" s="13" t="n"/>
      <c r="K350" s="16">
        <f>IF($A350="","",1)</f>
        <v/>
      </c>
    </row>
    <row r="351">
      <c r="A351" s="13" t="n"/>
      <c r="B351" s="69" t="n"/>
      <c r="C351" s="13" t="n"/>
      <c r="D351" s="13" t="n"/>
      <c r="E351" s="70" t="n"/>
      <c r="F351" s="70" t="n"/>
      <c r="G351" s="70" t="n"/>
      <c r="H351" s="13" t="n"/>
      <c r="I351" s="13" t="n"/>
      <c r="J351" s="13" t="n"/>
      <c r="K351" s="16">
        <f>IF($A351="","",1)</f>
        <v/>
      </c>
    </row>
    <row r="352">
      <c r="A352" s="13" t="n"/>
      <c r="B352" s="69" t="n"/>
      <c r="C352" s="13" t="n"/>
      <c r="D352" s="13" t="n"/>
      <c r="E352" s="70" t="n"/>
      <c r="F352" s="70" t="n"/>
      <c r="G352" s="70" t="n"/>
      <c r="H352" s="13" t="n"/>
      <c r="I352" s="13" t="n"/>
      <c r="J352" s="13" t="n"/>
      <c r="K352" s="16">
        <f>IF($A352="","",1)</f>
        <v/>
      </c>
    </row>
    <row r="353">
      <c r="A353" s="13" t="n"/>
      <c r="B353" s="69" t="n"/>
      <c r="C353" s="13" t="n"/>
      <c r="D353" s="13" t="n"/>
      <c r="E353" s="70" t="n"/>
      <c r="F353" s="70" t="n"/>
      <c r="G353" s="70" t="n"/>
      <c r="H353" s="13" t="n"/>
      <c r="I353" s="13" t="n"/>
      <c r="J353" s="13" t="n"/>
      <c r="K353" s="16">
        <f>IF($A353="","",1)</f>
        <v/>
      </c>
    </row>
    <row r="354">
      <c r="A354" s="13" t="n"/>
      <c r="B354" s="69" t="n"/>
      <c r="C354" s="13" t="n"/>
      <c r="D354" s="13" t="n"/>
      <c r="E354" s="70" t="n"/>
      <c r="F354" s="70" t="n"/>
      <c r="G354" s="70" t="n"/>
      <c r="H354" s="13" t="n"/>
      <c r="I354" s="13" t="n"/>
      <c r="J354" s="13" t="n"/>
      <c r="K354" s="16">
        <f>IF($A354="","",1)</f>
        <v/>
      </c>
    </row>
    <row r="355">
      <c r="A355" s="13" t="n"/>
      <c r="B355" s="69" t="n"/>
      <c r="C355" s="13" t="n"/>
      <c r="D355" s="13" t="n"/>
      <c r="E355" s="70" t="n"/>
      <c r="F355" s="70" t="n"/>
      <c r="G355" s="70" t="n"/>
      <c r="H355" s="13" t="n"/>
      <c r="I355" s="13" t="n"/>
      <c r="J355" s="13" t="n"/>
      <c r="K355" s="16">
        <f>IF($A355="","",1)</f>
        <v/>
      </c>
    </row>
    <row r="356">
      <c r="A356" s="13" t="n"/>
      <c r="B356" s="69" t="n"/>
      <c r="C356" s="13" t="n"/>
      <c r="D356" s="13" t="n"/>
      <c r="E356" s="70" t="n"/>
      <c r="F356" s="70" t="n"/>
      <c r="G356" s="70" t="n"/>
      <c r="H356" s="13" t="n"/>
      <c r="I356" s="13" t="n"/>
      <c r="J356" s="13" t="n"/>
      <c r="K356" s="16">
        <f>IF($A356="","",1)</f>
        <v/>
      </c>
    </row>
    <row r="357">
      <c r="A357" s="13" t="n"/>
      <c r="B357" s="69" t="n"/>
      <c r="C357" s="13" t="n"/>
      <c r="D357" s="13" t="n"/>
      <c r="E357" s="70" t="n"/>
      <c r="F357" s="70" t="n"/>
      <c r="G357" s="70" t="n"/>
      <c r="H357" s="13" t="n"/>
      <c r="I357" s="13" t="n"/>
      <c r="J357" s="13" t="n"/>
      <c r="K357" s="16">
        <f>IF($A357="","",1)</f>
        <v/>
      </c>
    </row>
    <row r="358">
      <c r="A358" s="13" t="n"/>
      <c r="B358" s="69" t="n"/>
      <c r="C358" s="13" t="n"/>
      <c r="D358" s="13" t="n"/>
      <c r="E358" s="70" t="n"/>
      <c r="F358" s="70" t="n"/>
      <c r="G358" s="70" t="n"/>
      <c r="H358" s="13" t="n"/>
      <c r="I358" s="13" t="n"/>
      <c r="J358" s="13" t="n"/>
      <c r="K358" s="16">
        <f>IF($A358="","",1)</f>
        <v/>
      </c>
    </row>
    <row r="359">
      <c r="A359" s="13" t="n"/>
      <c r="B359" s="69" t="n"/>
      <c r="C359" s="13" t="n"/>
      <c r="D359" s="13" t="n"/>
      <c r="E359" s="70" t="n"/>
      <c r="F359" s="70" t="n"/>
      <c r="G359" s="70" t="n"/>
      <c r="H359" s="13" t="n"/>
      <c r="I359" s="13" t="n"/>
      <c r="J359" s="13" t="n"/>
      <c r="K359" s="16">
        <f>IF($A359="","",1)</f>
        <v/>
      </c>
    </row>
    <row r="360">
      <c r="A360" s="13" t="n"/>
      <c r="B360" s="69" t="n"/>
      <c r="C360" s="13" t="n"/>
      <c r="D360" s="13" t="n"/>
      <c r="E360" s="70" t="n"/>
      <c r="F360" s="70" t="n"/>
      <c r="G360" s="70" t="n"/>
      <c r="H360" s="13" t="n"/>
      <c r="I360" s="13" t="n"/>
      <c r="J360" s="13" t="n"/>
      <c r="K360" s="16">
        <f>IF($A360="","",1)</f>
        <v/>
      </c>
    </row>
    <row r="361">
      <c r="A361" s="13" t="n"/>
      <c r="B361" s="69" t="n"/>
      <c r="C361" s="13" t="n"/>
      <c r="D361" s="13" t="n"/>
      <c r="E361" s="70" t="n"/>
      <c r="F361" s="70" t="n"/>
      <c r="G361" s="70" t="n"/>
      <c r="H361" s="13" t="n"/>
      <c r="I361" s="13" t="n"/>
      <c r="J361" s="13" t="n"/>
      <c r="K361" s="16">
        <f>IF($A361="","",1)</f>
        <v/>
      </c>
    </row>
    <row r="362">
      <c r="A362" s="13" t="n"/>
      <c r="B362" s="69" t="n"/>
      <c r="C362" s="13" t="n"/>
      <c r="D362" s="13" t="n"/>
      <c r="E362" s="70" t="n"/>
      <c r="F362" s="70" t="n"/>
      <c r="G362" s="70" t="n"/>
      <c r="H362" s="13" t="n"/>
      <c r="I362" s="13" t="n"/>
      <c r="J362" s="13" t="n"/>
      <c r="K362" s="16">
        <f>IF($A362="","",1)</f>
        <v/>
      </c>
    </row>
    <row r="363">
      <c r="A363" s="13" t="n"/>
      <c r="B363" s="69" t="n"/>
      <c r="C363" s="13" t="n"/>
      <c r="D363" s="13" t="n"/>
      <c r="E363" s="70" t="n"/>
      <c r="F363" s="70" t="n"/>
      <c r="G363" s="70" t="n"/>
      <c r="H363" s="13" t="n"/>
      <c r="I363" s="13" t="n"/>
      <c r="J363" s="13" t="n"/>
      <c r="K363" s="16">
        <f>IF($A363="","",1)</f>
        <v/>
      </c>
    </row>
    <row r="364">
      <c r="A364" s="13" t="n"/>
      <c r="B364" s="69" t="n"/>
      <c r="C364" s="13" t="n"/>
      <c r="D364" s="13" t="n"/>
      <c r="E364" s="70" t="n"/>
      <c r="F364" s="70" t="n"/>
      <c r="G364" s="70" t="n"/>
      <c r="H364" s="13" t="n"/>
      <c r="I364" s="13" t="n"/>
      <c r="J364" s="13" t="n"/>
      <c r="K364" s="16">
        <f>IF($A364="","",1)</f>
        <v/>
      </c>
    </row>
    <row r="365">
      <c r="A365" s="13" t="n"/>
      <c r="B365" s="69" t="n"/>
      <c r="C365" s="13" t="n"/>
      <c r="D365" s="13" t="n"/>
      <c r="E365" s="70" t="n"/>
      <c r="F365" s="70" t="n"/>
      <c r="G365" s="70" t="n"/>
      <c r="H365" s="13" t="n"/>
      <c r="I365" s="13" t="n"/>
      <c r="J365" s="13" t="n"/>
      <c r="K365" s="16">
        <f>IF($A365="","",1)</f>
        <v/>
      </c>
    </row>
    <row r="366">
      <c r="A366" s="13" t="n"/>
      <c r="B366" s="69" t="n"/>
      <c r="C366" s="13" t="n"/>
      <c r="D366" s="13" t="n"/>
      <c r="E366" s="70" t="n"/>
      <c r="F366" s="70" t="n"/>
      <c r="G366" s="70" t="n"/>
      <c r="H366" s="13" t="n"/>
      <c r="I366" s="13" t="n"/>
      <c r="J366" s="13" t="n"/>
      <c r="K366" s="16">
        <f>IF($A366="","",1)</f>
        <v/>
      </c>
    </row>
    <row r="367">
      <c r="A367" s="13" t="n"/>
      <c r="B367" s="69" t="n"/>
      <c r="C367" s="13" t="n"/>
      <c r="D367" s="13" t="n"/>
      <c r="E367" s="70" t="n"/>
      <c r="F367" s="70" t="n"/>
      <c r="G367" s="70" t="n"/>
      <c r="H367" s="13" t="n"/>
      <c r="I367" s="13" t="n"/>
      <c r="J367" s="13" t="n"/>
      <c r="K367" s="16">
        <f>IF($A367="","",1)</f>
        <v/>
      </c>
    </row>
    <row r="368">
      <c r="A368" s="13" t="n"/>
      <c r="B368" s="69" t="n"/>
      <c r="C368" s="13" t="n"/>
      <c r="D368" s="13" t="n"/>
      <c r="E368" s="70" t="n"/>
      <c r="F368" s="70" t="n"/>
      <c r="G368" s="70" t="n"/>
      <c r="H368" s="13" t="n"/>
      <c r="I368" s="13" t="n"/>
      <c r="J368" s="13" t="n"/>
      <c r="K368" s="16">
        <f>IF($A368="","",1)</f>
        <v/>
      </c>
    </row>
    <row r="369">
      <c r="A369" s="13" t="n"/>
      <c r="B369" s="69" t="n"/>
      <c r="C369" s="13" t="n"/>
      <c r="D369" s="13" t="n"/>
      <c r="E369" s="70" t="n"/>
      <c r="F369" s="70" t="n"/>
      <c r="G369" s="70" t="n"/>
      <c r="H369" s="13" t="n"/>
      <c r="I369" s="13" t="n"/>
      <c r="J369" s="13" t="n"/>
      <c r="K369" s="16">
        <f>IF($A369="","",1)</f>
        <v/>
      </c>
    </row>
    <row r="370">
      <c r="A370" s="13" t="n"/>
      <c r="B370" s="69" t="n"/>
      <c r="C370" s="13" t="n"/>
      <c r="D370" s="13" t="n"/>
      <c r="E370" s="70" t="n"/>
      <c r="F370" s="70" t="n"/>
      <c r="G370" s="70" t="n"/>
      <c r="H370" s="13" t="n"/>
      <c r="I370" s="13" t="n"/>
      <c r="J370" s="13" t="n"/>
      <c r="K370" s="16">
        <f>IF($A370="","",1)</f>
        <v/>
      </c>
    </row>
    <row r="371">
      <c r="A371" s="13" t="n"/>
      <c r="B371" s="69" t="n"/>
      <c r="C371" s="13" t="n"/>
      <c r="D371" s="13" t="n"/>
      <c r="E371" s="70" t="n"/>
      <c r="F371" s="70" t="n"/>
      <c r="G371" s="70" t="n"/>
      <c r="H371" s="13" t="n"/>
      <c r="I371" s="13" t="n"/>
      <c r="J371" s="13" t="n"/>
      <c r="K371" s="16">
        <f>IF($A371="","",1)</f>
        <v/>
      </c>
    </row>
    <row r="372">
      <c r="A372" s="13" t="n"/>
      <c r="B372" s="69" t="n"/>
      <c r="C372" s="13" t="n"/>
      <c r="D372" s="13" t="n"/>
      <c r="E372" s="70" t="n"/>
      <c r="F372" s="70" t="n"/>
      <c r="G372" s="70" t="n"/>
      <c r="H372" s="13" t="n"/>
      <c r="I372" s="13" t="n"/>
      <c r="J372" s="13" t="n"/>
      <c r="K372" s="16">
        <f>IF($A372="","",1)</f>
        <v/>
      </c>
    </row>
    <row r="373">
      <c r="A373" s="13" t="n"/>
      <c r="B373" s="69" t="n"/>
      <c r="C373" s="13" t="n"/>
      <c r="D373" s="13" t="n"/>
      <c r="E373" s="70" t="n"/>
      <c r="F373" s="70" t="n"/>
      <c r="G373" s="70" t="n"/>
      <c r="H373" s="13" t="n"/>
      <c r="I373" s="13" t="n"/>
      <c r="J373" s="13" t="n"/>
      <c r="K373" s="16">
        <f>IF($A373="","",1)</f>
        <v/>
      </c>
    </row>
    <row r="374">
      <c r="A374" s="13" t="n"/>
      <c r="B374" s="69" t="n"/>
      <c r="C374" s="13" t="n"/>
      <c r="D374" s="13" t="n"/>
      <c r="E374" s="70" t="n"/>
      <c r="F374" s="70" t="n"/>
      <c r="G374" s="70" t="n"/>
      <c r="H374" s="13" t="n"/>
      <c r="I374" s="13" t="n"/>
      <c r="J374" s="13" t="n"/>
      <c r="K374" s="16">
        <f>IF($A374="","",1)</f>
        <v/>
      </c>
    </row>
    <row r="375">
      <c r="A375" s="13" t="n"/>
      <c r="B375" s="69" t="n"/>
      <c r="C375" s="13" t="n"/>
      <c r="D375" s="13" t="n"/>
      <c r="E375" s="70" t="n"/>
      <c r="F375" s="70" t="n"/>
      <c r="G375" s="70" t="n"/>
      <c r="H375" s="13" t="n"/>
      <c r="I375" s="13" t="n"/>
      <c r="J375" s="13" t="n"/>
      <c r="K375" s="16">
        <f>IF($A375="","",1)</f>
        <v/>
      </c>
    </row>
    <row r="376">
      <c r="A376" s="13" t="n"/>
      <c r="B376" s="69" t="n"/>
      <c r="C376" s="13" t="n"/>
      <c r="D376" s="13" t="n"/>
      <c r="E376" s="70" t="n"/>
      <c r="F376" s="70" t="n"/>
      <c r="G376" s="70" t="n"/>
      <c r="H376" s="13" t="n"/>
      <c r="I376" s="13" t="n"/>
      <c r="J376" s="13" t="n"/>
      <c r="K376" s="16">
        <f>IF($A376="","",1)</f>
        <v/>
      </c>
    </row>
    <row r="377">
      <c r="A377" s="13" t="n"/>
      <c r="B377" s="69" t="n"/>
      <c r="C377" s="13" t="n"/>
      <c r="D377" s="13" t="n"/>
      <c r="E377" s="70" t="n"/>
      <c r="F377" s="70" t="n"/>
      <c r="G377" s="70" t="n"/>
      <c r="H377" s="13" t="n"/>
      <c r="I377" s="13" t="n"/>
      <c r="J377" s="13" t="n"/>
      <c r="K377" s="16">
        <f>IF($A377="","",1)</f>
        <v/>
      </c>
    </row>
    <row r="378">
      <c r="A378" s="13" t="n"/>
      <c r="B378" s="69" t="n"/>
      <c r="C378" s="13" t="n"/>
      <c r="D378" s="13" t="n"/>
      <c r="E378" s="70" t="n"/>
      <c r="F378" s="70" t="n"/>
      <c r="G378" s="70" t="n"/>
      <c r="H378" s="13" t="n"/>
      <c r="I378" s="13" t="n"/>
      <c r="J378" s="13" t="n"/>
      <c r="K378" s="16">
        <f>IF($A378="","",1)</f>
        <v/>
      </c>
    </row>
    <row r="379">
      <c r="A379" s="13" t="n"/>
      <c r="B379" s="69" t="n"/>
      <c r="C379" s="13" t="n"/>
      <c r="D379" s="13" t="n"/>
      <c r="E379" s="70" t="n"/>
      <c r="F379" s="70" t="n"/>
      <c r="G379" s="70" t="n"/>
      <c r="H379" s="13" t="n"/>
      <c r="I379" s="13" t="n"/>
      <c r="J379" s="13" t="n"/>
      <c r="K379" s="16">
        <f>IF($A379="","",1)</f>
        <v/>
      </c>
    </row>
    <row r="380">
      <c r="A380" s="13" t="n"/>
      <c r="B380" s="69" t="n"/>
      <c r="C380" s="13" t="n"/>
      <c r="D380" s="13" t="n"/>
      <c r="E380" s="70" t="n"/>
      <c r="F380" s="70" t="n"/>
      <c r="G380" s="70" t="n"/>
      <c r="H380" s="13" t="n"/>
      <c r="I380" s="13" t="n"/>
      <c r="J380" s="13" t="n"/>
      <c r="K380" s="16">
        <f>IF($A380="","",1)</f>
        <v/>
      </c>
    </row>
    <row r="381">
      <c r="A381" s="13" t="n"/>
      <c r="B381" s="69" t="n"/>
      <c r="C381" s="13" t="n"/>
      <c r="D381" s="13" t="n"/>
      <c r="E381" s="70" t="n"/>
      <c r="F381" s="70" t="n"/>
      <c r="G381" s="70" t="n"/>
      <c r="H381" s="13" t="n"/>
      <c r="I381" s="13" t="n"/>
      <c r="J381" s="13" t="n"/>
      <c r="K381" s="16">
        <f>IF($A381="","",1)</f>
        <v/>
      </c>
    </row>
    <row r="382">
      <c r="A382" s="13" t="n"/>
      <c r="B382" s="69" t="n"/>
      <c r="C382" s="13" t="n"/>
      <c r="D382" s="13" t="n"/>
      <c r="E382" s="70" t="n"/>
      <c r="F382" s="70" t="n"/>
      <c r="G382" s="70" t="n"/>
      <c r="H382" s="13" t="n"/>
      <c r="I382" s="13" t="n"/>
      <c r="J382" s="13" t="n"/>
      <c r="K382" s="16">
        <f>IF($A382="","",1)</f>
        <v/>
      </c>
    </row>
    <row r="383">
      <c r="A383" s="13" t="n"/>
      <c r="B383" s="69" t="n"/>
      <c r="C383" s="13" t="n"/>
      <c r="D383" s="13" t="n"/>
      <c r="E383" s="70" t="n"/>
      <c r="F383" s="70" t="n"/>
      <c r="G383" s="70" t="n"/>
      <c r="H383" s="13" t="n"/>
      <c r="I383" s="13" t="n"/>
      <c r="J383" s="13" t="n"/>
      <c r="K383" s="16">
        <f>IF($A383="","",1)</f>
        <v/>
      </c>
    </row>
    <row r="384">
      <c r="A384" s="13" t="n"/>
      <c r="B384" s="69" t="n"/>
      <c r="C384" s="13" t="n"/>
      <c r="D384" s="13" t="n"/>
      <c r="E384" s="70" t="n"/>
      <c r="F384" s="70" t="n"/>
      <c r="G384" s="70" t="n"/>
      <c r="H384" s="13" t="n"/>
      <c r="I384" s="13" t="n"/>
      <c r="J384" s="13" t="n"/>
      <c r="K384" s="16">
        <f>IF($A384="","",1)</f>
        <v/>
      </c>
    </row>
    <row r="385">
      <c r="A385" s="13" t="n"/>
      <c r="B385" s="69" t="n"/>
      <c r="C385" s="13" t="n"/>
      <c r="D385" s="13" t="n"/>
      <c r="E385" s="70" t="n"/>
      <c r="F385" s="70" t="n"/>
      <c r="G385" s="70" t="n"/>
      <c r="H385" s="13" t="n"/>
      <c r="I385" s="13" t="n"/>
      <c r="J385" s="13" t="n"/>
      <c r="K385" s="16">
        <f>IF($A385="","",1)</f>
        <v/>
      </c>
    </row>
    <row r="386">
      <c r="A386" s="13" t="n"/>
      <c r="B386" s="69" t="n"/>
      <c r="C386" s="13" t="n"/>
      <c r="D386" s="13" t="n"/>
      <c r="E386" s="70" t="n"/>
      <c r="F386" s="70" t="n"/>
      <c r="G386" s="70" t="n"/>
      <c r="H386" s="13" t="n"/>
      <c r="I386" s="13" t="n"/>
      <c r="J386" s="13" t="n"/>
      <c r="K386" s="16">
        <f>IF($A386="","",1)</f>
        <v/>
      </c>
    </row>
    <row r="387">
      <c r="A387" s="13" t="n"/>
      <c r="B387" s="69" t="n"/>
      <c r="C387" s="13" t="n"/>
      <c r="D387" s="13" t="n"/>
      <c r="E387" s="70" t="n"/>
      <c r="F387" s="70" t="n"/>
      <c r="G387" s="70" t="n"/>
      <c r="H387" s="13" t="n"/>
      <c r="I387" s="13" t="n"/>
      <c r="J387" s="13" t="n"/>
      <c r="K387" s="16">
        <f>IF($A387="","",1)</f>
        <v/>
      </c>
    </row>
    <row r="388">
      <c r="A388" s="13" t="n"/>
      <c r="B388" s="69" t="n"/>
      <c r="C388" s="13" t="n"/>
      <c r="D388" s="13" t="n"/>
      <c r="E388" s="70" t="n"/>
      <c r="F388" s="70" t="n"/>
      <c r="G388" s="70" t="n"/>
      <c r="H388" s="13" t="n"/>
      <c r="I388" s="13" t="n"/>
      <c r="J388" s="13" t="n"/>
      <c r="K388" s="16">
        <f>IF($A388="","",1)</f>
        <v/>
      </c>
    </row>
    <row r="389">
      <c r="A389" s="13" t="n"/>
      <c r="B389" s="69" t="n"/>
      <c r="C389" s="13" t="n"/>
      <c r="D389" s="13" t="n"/>
      <c r="E389" s="70" t="n"/>
      <c r="F389" s="70" t="n"/>
      <c r="G389" s="70" t="n"/>
      <c r="H389" s="13" t="n"/>
      <c r="I389" s="13" t="n"/>
      <c r="J389" s="13" t="n"/>
      <c r="K389" s="16">
        <f>IF($A389="","",1)</f>
        <v/>
      </c>
    </row>
    <row r="390">
      <c r="A390" s="13" t="n"/>
      <c r="B390" s="69" t="n"/>
      <c r="C390" s="13" t="n"/>
      <c r="D390" s="13" t="n"/>
      <c r="E390" s="70" t="n"/>
      <c r="F390" s="70" t="n"/>
      <c r="G390" s="70" t="n"/>
      <c r="H390" s="13" t="n"/>
      <c r="I390" s="13" t="n"/>
      <c r="J390" s="13" t="n"/>
      <c r="K390" s="16">
        <f>IF($A390="","",1)</f>
        <v/>
      </c>
    </row>
    <row r="391">
      <c r="A391" s="13" t="n"/>
      <c r="B391" s="69" t="n"/>
      <c r="C391" s="13" t="n"/>
      <c r="D391" s="13" t="n"/>
      <c r="E391" s="70" t="n"/>
      <c r="F391" s="70" t="n"/>
      <c r="G391" s="70" t="n"/>
      <c r="H391" s="13" t="n"/>
      <c r="I391" s="13" t="n"/>
      <c r="J391" s="13" t="n"/>
      <c r="K391" s="16">
        <f>IF($A391="","",1)</f>
        <v/>
      </c>
    </row>
    <row r="392">
      <c r="A392" s="13" t="n"/>
      <c r="B392" s="69" t="n"/>
      <c r="C392" s="13" t="n"/>
      <c r="D392" s="13" t="n"/>
      <c r="E392" s="70" t="n"/>
      <c r="F392" s="70" t="n"/>
      <c r="G392" s="70" t="n"/>
      <c r="H392" s="13" t="n"/>
      <c r="I392" s="13" t="n"/>
      <c r="J392" s="13" t="n"/>
      <c r="K392" s="16">
        <f>IF($A392="","",1)</f>
        <v/>
      </c>
    </row>
    <row r="393">
      <c r="A393" s="13" t="n"/>
      <c r="B393" s="69" t="n"/>
      <c r="C393" s="13" t="n"/>
      <c r="D393" s="13" t="n"/>
      <c r="E393" s="70" t="n"/>
      <c r="F393" s="70" t="n"/>
      <c r="G393" s="70" t="n"/>
      <c r="H393" s="13" t="n"/>
      <c r="I393" s="13" t="n"/>
      <c r="J393" s="13" t="n"/>
      <c r="K393" s="16">
        <f>IF($A393="","",1)</f>
        <v/>
      </c>
    </row>
    <row r="394">
      <c r="A394" s="13" t="n"/>
      <c r="B394" s="69" t="n"/>
      <c r="C394" s="13" t="n"/>
      <c r="D394" s="13" t="n"/>
      <c r="E394" s="70" t="n"/>
      <c r="F394" s="70" t="n"/>
      <c r="G394" s="70" t="n"/>
      <c r="H394" s="13" t="n"/>
      <c r="I394" s="13" t="n"/>
      <c r="J394" s="13" t="n"/>
      <c r="K394" s="16">
        <f>IF($A394="","",1)</f>
        <v/>
      </c>
    </row>
    <row r="395">
      <c r="A395" s="13" t="n"/>
      <c r="B395" s="69" t="n"/>
      <c r="C395" s="13" t="n"/>
      <c r="D395" s="13" t="n"/>
      <c r="E395" s="70" t="n"/>
      <c r="F395" s="70" t="n"/>
      <c r="G395" s="70" t="n"/>
      <c r="H395" s="13" t="n"/>
      <c r="I395" s="13" t="n"/>
      <c r="J395" s="13" t="n"/>
      <c r="K395" s="16">
        <f>IF($A395="","",1)</f>
        <v/>
      </c>
    </row>
    <row r="396">
      <c r="A396" s="13" t="n"/>
      <c r="B396" s="69" t="n"/>
      <c r="C396" s="13" t="n"/>
      <c r="D396" s="13" t="n"/>
      <c r="E396" s="70" t="n"/>
      <c r="F396" s="70" t="n"/>
      <c r="G396" s="70" t="n"/>
      <c r="H396" s="13" t="n"/>
      <c r="I396" s="13" t="n"/>
      <c r="J396" s="13" t="n"/>
      <c r="K396" s="16">
        <f>IF($A396="","",1)</f>
        <v/>
      </c>
    </row>
    <row r="397">
      <c r="A397" s="13" t="n"/>
      <c r="B397" s="69" t="n"/>
      <c r="C397" s="13" t="n"/>
      <c r="D397" s="13" t="n"/>
      <c r="E397" s="70" t="n"/>
      <c r="F397" s="70" t="n"/>
      <c r="G397" s="70" t="n"/>
      <c r="H397" s="13" t="n"/>
      <c r="I397" s="13" t="n"/>
      <c r="J397" s="13" t="n"/>
      <c r="K397" s="16">
        <f>IF($A397="","",1)</f>
        <v/>
      </c>
    </row>
    <row r="398">
      <c r="A398" s="13" t="n"/>
      <c r="B398" s="69" t="n"/>
      <c r="C398" s="13" t="n"/>
      <c r="D398" s="13" t="n"/>
      <c r="E398" s="70" t="n"/>
      <c r="F398" s="70" t="n"/>
      <c r="G398" s="70" t="n"/>
      <c r="H398" s="13" t="n"/>
      <c r="I398" s="13" t="n"/>
      <c r="J398" s="13" t="n"/>
      <c r="K398" s="16">
        <f>IF($A398="","",1)</f>
        <v/>
      </c>
    </row>
    <row r="399">
      <c r="A399" s="13" t="n"/>
      <c r="B399" s="69" t="n"/>
      <c r="C399" s="13" t="n"/>
      <c r="D399" s="13" t="n"/>
      <c r="E399" s="70" t="n"/>
      <c r="F399" s="70" t="n"/>
      <c r="G399" s="70" t="n"/>
      <c r="H399" s="13" t="n"/>
      <c r="I399" s="13" t="n"/>
      <c r="J399" s="13" t="n"/>
      <c r="K399" s="16">
        <f>IF($A399="","",1)</f>
        <v/>
      </c>
    </row>
    <row r="400">
      <c r="A400" s="13" t="n"/>
      <c r="B400" s="69" t="n"/>
      <c r="C400" s="13" t="n"/>
      <c r="D400" s="13" t="n"/>
      <c r="E400" s="70" t="n"/>
      <c r="F400" s="70" t="n"/>
      <c r="G400" s="70" t="n"/>
      <c r="H400" s="13" t="n"/>
      <c r="I400" s="13" t="n"/>
      <c r="J400" s="13" t="n"/>
      <c r="K400" s="16">
        <f>IF($A400="","",1)</f>
        <v/>
      </c>
    </row>
    <row r="401">
      <c r="A401" s="13" t="n"/>
      <c r="B401" s="69" t="n"/>
      <c r="C401" s="13" t="n"/>
      <c r="D401" s="13" t="n"/>
      <c r="E401" s="70" t="n"/>
      <c r="F401" s="70" t="n"/>
      <c r="G401" s="70" t="n"/>
      <c r="H401" s="13" t="n"/>
      <c r="I401" s="13" t="n"/>
      <c r="J401" s="13" t="n"/>
      <c r="K401" s="16">
        <f>IF($A401="","",1)</f>
        <v/>
      </c>
    </row>
    <row r="402">
      <c r="A402" s="13" t="n"/>
      <c r="B402" s="69" t="n"/>
      <c r="C402" s="13" t="n"/>
      <c r="D402" s="13" t="n"/>
      <c r="E402" s="70" t="n"/>
      <c r="F402" s="70" t="n"/>
      <c r="G402" s="70" t="n"/>
      <c r="H402" s="13" t="n"/>
      <c r="I402" s="13" t="n"/>
      <c r="J402" s="13" t="n"/>
      <c r="K402" s="16">
        <f>IF($A402="","",1)</f>
        <v/>
      </c>
    </row>
    <row r="403">
      <c r="A403" s="13" t="n"/>
      <c r="B403" s="69" t="n"/>
      <c r="C403" s="13" t="n"/>
      <c r="D403" s="13" t="n"/>
      <c r="E403" s="70" t="n"/>
      <c r="F403" s="70" t="n"/>
      <c r="G403" s="70" t="n"/>
      <c r="H403" s="13" t="n"/>
      <c r="I403" s="13" t="n"/>
      <c r="J403" s="13" t="n"/>
      <c r="K403" s="16">
        <f>IF($A403="","",1)</f>
        <v/>
      </c>
    </row>
    <row r="404">
      <c r="A404" s="13" t="n"/>
      <c r="B404" s="69" t="n"/>
      <c r="C404" s="13" t="n"/>
      <c r="D404" s="13" t="n"/>
      <c r="E404" s="70" t="n"/>
      <c r="F404" s="70" t="n"/>
      <c r="G404" s="70" t="n"/>
      <c r="H404" s="13" t="n"/>
      <c r="I404" s="13" t="n"/>
      <c r="J404" s="13" t="n"/>
      <c r="K404" s="16">
        <f>IF($A404="","",1)</f>
        <v/>
      </c>
    </row>
    <row r="405">
      <c r="A405" s="13" t="n"/>
      <c r="B405" s="69" t="n"/>
      <c r="C405" s="13" t="n"/>
      <c r="D405" s="13" t="n"/>
      <c r="E405" s="70" t="n"/>
      <c r="F405" s="70" t="n"/>
      <c r="G405" s="70" t="n"/>
      <c r="H405" s="13" t="n"/>
      <c r="I405" s="13" t="n"/>
      <c r="J405" s="13" t="n"/>
      <c r="K405" s="16">
        <f>IF($A405="","",1)</f>
        <v/>
      </c>
    </row>
    <row r="406">
      <c r="A406" s="13" t="n"/>
      <c r="B406" s="69" t="n"/>
      <c r="C406" s="13" t="n"/>
      <c r="D406" s="13" t="n"/>
      <c r="E406" s="70" t="n"/>
      <c r="F406" s="70" t="n"/>
      <c r="G406" s="70" t="n"/>
      <c r="H406" s="13" t="n"/>
      <c r="I406" s="13" t="n"/>
      <c r="J406" s="13" t="n"/>
      <c r="K406" s="16">
        <f>IF($A406="","",1)</f>
        <v/>
      </c>
    </row>
    <row r="407">
      <c r="A407" s="13" t="n"/>
      <c r="B407" s="69" t="n"/>
      <c r="C407" s="13" t="n"/>
      <c r="D407" s="13" t="n"/>
      <c r="E407" s="70" t="n"/>
      <c r="F407" s="70" t="n"/>
      <c r="G407" s="70" t="n"/>
      <c r="H407" s="13" t="n"/>
      <c r="I407" s="13" t="n"/>
      <c r="J407" s="13" t="n"/>
      <c r="K407" s="16">
        <f>IF($A407="","",1)</f>
        <v/>
      </c>
    </row>
    <row r="408">
      <c r="A408" s="13" t="n"/>
      <c r="B408" s="69" t="n"/>
      <c r="C408" s="13" t="n"/>
      <c r="D408" s="13" t="n"/>
      <c r="E408" s="70" t="n"/>
      <c r="F408" s="70" t="n"/>
      <c r="G408" s="70" t="n"/>
      <c r="H408" s="13" t="n"/>
      <c r="I408" s="13" t="n"/>
      <c r="J408" s="13" t="n"/>
      <c r="K408" s="16">
        <f>IF($A408="","",1)</f>
        <v/>
      </c>
    </row>
    <row r="409">
      <c r="A409" s="13" t="n"/>
      <c r="B409" s="69" t="n"/>
      <c r="C409" s="13" t="n"/>
      <c r="D409" s="13" t="n"/>
      <c r="E409" s="70" t="n"/>
      <c r="F409" s="70" t="n"/>
      <c r="G409" s="70" t="n"/>
      <c r="H409" s="13" t="n"/>
      <c r="I409" s="13" t="n"/>
      <c r="J409" s="13" t="n"/>
      <c r="K409" s="16">
        <f>IF($A409="","",1)</f>
        <v/>
      </c>
    </row>
    <row r="410">
      <c r="A410" s="13" t="n"/>
      <c r="B410" s="69" t="n"/>
      <c r="C410" s="13" t="n"/>
      <c r="D410" s="13" t="n"/>
      <c r="E410" s="70" t="n"/>
      <c r="F410" s="70" t="n"/>
      <c r="G410" s="70" t="n"/>
      <c r="H410" s="13" t="n"/>
      <c r="I410" s="13" t="n"/>
      <c r="J410" s="13" t="n"/>
      <c r="K410" s="16">
        <f>IF($A410="","",1)</f>
        <v/>
      </c>
    </row>
    <row r="411">
      <c r="A411" s="13" t="n"/>
      <c r="B411" s="69" t="n"/>
      <c r="C411" s="13" t="n"/>
      <c r="D411" s="13" t="n"/>
      <c r="E411" s="70" t="n"/>
      <c r="F411" s="70" t="n"/>
      <c r="G411" s="70" t="n"/>
      <c r="H411" s="13" t="n"/>
      <c r="I411" s="13" t="n"/>
      <c r="J411" s="13" t="n"/>
      <c r="K411" s="16">
        <f>IF($A411="","",1)</f>
        <v/>
      </c>
    </row>
    <row r="412">
      <c r="A412" s="13" t="n"/>
      <c r="B412" s="69" t="n"/>
      <c r="C412" s="13" t="n"/>
      <c r="D412" s="13" t="n"/>
      <c r="E412" s="70" t="n"/>
      <c r="F412" s="70" t="n"/>
      <c r="G412" s="70" t="n"/>
      <c r="H412" s="13" t="n"/>
      <c r="I412" s="13" t="n"/>
      <c r="J412" s="13" t="n"/>
      <c r="K412" s="16">
        <f>IF($A412="","",1)</f>
        <v/>
      </c>
    </row>
    <row r="413">
      <c r="A413" s="13" t="n"/>
      <c r="B413" s="69" t="n"/>
      <c r="C413" s="13" t="n"/>
      <c r="D413" s="13" t="n"/>
      <c r="E413" s="70" t="n"/>
      <c r="F413" s="70" t="n"/>
      <c r="G413" s="70" t="n"/>
      <c r="H413" s="13" t="n"/>
      <c r="I413" s="13" t="n"/>
      <c r="J413" s="13" t="n"/>
      <c r="K413" s="16">
        <f>IF($A413="","",1)</f>
        <v/>
      </c>
    </row>
    <row r="414">
      <c r="A414" s="13" t="n"/>
      <c r="B414" s="69" t="n"/>
      <c r="C414" s="13" t="n"/>
      <c r="D414" s="13" t="n"/>
      <c r="E414" s="70" t="n"/>
      <c r="F414" s="70" t="n"/>
      <c r="G414" s="70" t="n"/>
      <c r="H414" s="13" t="n"/>
      <c r="I414" s="13" t="n"/>
      <c r="J414" s="13" t="n"/>
      <c r="K414" s="16">
        <f>IF($A414="","",1)</f>
        <v/>
      </c>
    </row>
    <row r="415">
      <c r="A415" s="13" t="n"/>
      <c r="B415" s="69" t="n"/>
      <c r="C415" s="13" t="n"/>
      <c r="D415" s="13" t="n"/>
      <c r="E415" s="70" t="n"/>
      <c r="F415" s="70" t="n"/>
      <c r="G415" s="70" t="n"/>
      <c r="H415" s="13" t="n"/>
      <c r="I415" s="13" t="n"/>
      <c r="J415" s="13" t="n"/>
      <c r="K415" s="16">
        <f>IF($A415="","",1)</f>
        <v/>
      </c>
    </row>
    <row r="416">
      <c r="A416" s="13" t="n"/>
      <c r="B416" s="69" t="n"/>
      <c r="C416" s="13" t="n"/>
      <c r="D416" s="13" t="n"/>
      <c r="E416" s="70" t="n"/>
      <c r="F416" s="70" t="n"/>
      <c r="G416" s="70" t="n"/>
      <c r="H416" s="13" t="n"/>
      <c r="I416" s="13" t="n"/>
      <c r="J416" s="13" t="n"/>
      <c r="K416" s="16">
        <f>IF($A416="","",1)</f>
        <v/>
      </c>
    </row>
    <row r="417">
      <c r="A417" s="13" t="n"/>
      <c r="B417" s="69" t="n"/>
      <c r="C417" s="13" t="n"/>
      <c r="D417" s="13" t="n"/>
      <c r="E417" s="70" t="n"/>
      <c r="F417" s="70" t="n"/>
      <c r="G417" s="70" t="n"/>
      <c r="H417" s="13" t="n"/>
      <c r="I417" s="13" t="n"/>
      <c r="J417" s="13" t="n"/>
      <c r="K417" s="16">
        <f>IF($A417="","",1)</f>
        <v/>
      </c>
    </row>
    <row r="418">
      <c r="A418" s="13" t="n"/>
      <c r="B418" s="69" t="n"/>
      <c r="C418" s="13" t="n"/>
      <c r="D418" s="13" t="n"/>
      <c r="E418" s="70" t="n"/>
      <c r="F418" s="70" t="n"/>
      <c r="G418" s="70" t="n"/>
      <c r="H418" s="13" t="n"/>
      <c r="I418" s="13" t="n"/>
      <c r="J418" s="13" t="n"/>
      <c r="K418" s="16">
        <f>IF($A418="","",1)</f>
        <v/>
      </c>
    </row>
    <row r="419">
      <c r="A419" s="13" t="n"/>
      <c r="B419" s="69" t="n"/>
      <c r="C419" s="13" t="n"/>
      <c r="D419" s="13" t="n"/>
      <c r="E419" s="70" t="n"/>
      <c r="F419" s="70" t="n"/>
      <c r="G419" s="70" t="n"/>
      <c r="H419" s="13" t="n"/>
      <c r="I419" s="13" t="n"/>
      <c r="J419" s="13" t="n"/>
      <c r="K419" s="16">
        <f>IF($A419="","",1)</f>
        <v/>
      </c>
    </row>
    <row r="420">
      <c r="A420" s="13" t="n"/>
      <c r="B420" s="69" t="n"/>
      <c r="C420" s="13" t="n"/>
      <c r="D420" s="13" t="n"/>
      <c r="E420" s="70" t="n"/>
      <c r="F420" s="70" t="n"/>
      <c r="G420" s="70" t="n"/>
      <c r="H420" s="13" t="n"/>
      <c r="I420" s="13" t="n"/>
      <c r="J420" s="13" t="n"/>
      <c r="K420" s="16">
        <f>IF($A420="","",1)</f>
        <v/>
      </c>
    </row>
    <row r="421">
      <c r="A421" s="13" t="n"/>
      <c r="B421" s="69" t="n"/>
      <c r="C421" s="13" t="n"/>
      <c r="D421" s="13" t="n"/>
      <c r="E421" s="70" t="n"/>
      <c r="F421" s="70" t="n"/>
      <c r="G421" s="70" t="n"/>
      <c r="H421" s="13" t="n"/>
      <c r="I421" s="13" t="n"/>
      <c r="J421" s="13" t="n"/>
      <c r="K421" s="16">
        <f>IF($A421="","",1)</f>
        <v/>
      </c>
    </row>
    <row r="422">
      <c r="A422" s="13" t="n"/>
      <c r="B422" s="69" t="n"/>
      <c r="C422" s="13" t="n"/>
      <c r="D422" s="13" t="n"/>
      <c r="E422" s="70" t="n"/>
      <c r="F422" s="70" t="n"/>
      <c r="G422" s="70" t="n"/>
      <c r="H422" s="13" t="n"/>
      <c r="I422" s="13" t="n"/>
      <c r="J422" s="13" t="n"/>
      <c r="K422" s="16">
        <f>IF($A422="","",1)</f>
        <v/>
      </c>
    </row>
    <row r="423">
      <c r="A423" s="13" t="n"/>
      <c r="B423" s="69" t="n"/>
      <c r="C423" s="13" t="n"/>
      <c r="D423" s="13" t="n"/>
      <c r="E423" s="70" t="n"/>
      <c r="F423" s="70" t="n"/>
      <c r="G423" s="70" t="n"/>
      <c r="H423" s="13" t="n"/>
      <c r="I423" s="13" t="n"/>
      <c r="J423" s="13" t="n"/>
      <c r="K423" s="16">
        <f>IF($A423="","",1)</f>
        <v/>
      </c>
    </row>
    <row r="424">
      <c r="A424" s="13" t="n"/>
      <c r="B424" s="69" t="n"/>
      <c r="C424" s="13" t="n"/>
      <c r="D424" s="13" t="n"/>
      <c r="E424" s="70" t="n"/>
      <c r="F424" s="70" t="n"/>
      <c r="G424" s="70" t="n"/>
      <c r="H424" s="13" t="n"/>
      <c r="I424" s="13" t="n"/>
      <c r="J424" s="13" t="n"/>
      <c r="K424" s="16">
        <f>IF($A424="","",1)</f>
        <v/>
      </c>
    </row>
    <row r="425">
      <c r="A425" s="13" t="n"/>
      <c r="B425" s="69" t="n"/>
      <c r="C425" s="13" t="n"/>
      <c r="D425" s="13" t="n"/>
      <c r="E425" s="70" t="n"/>
      <c r="F425" s="70" t="n"/>
      <c r="G425" s="70" t="n"/>
      <c r="H425" s="13" t="n"/>
      <c r="I425" s="13" t="n"/>
      <c r="J425" s="13" t="n"/>
      <c r="K425" s="16">
        <f>IF($A425="","",1)</f>
        <v/>
      </c>
    </row>
    <row r="426">
      <c r="A426" s="13" t="n"/>
      <c r="B426" s="69" t="n"/>
      <c r="C426" s="13" t="n"/>
      <c r="D426" s="13" t="n"/>
      <c r="E426" s="70" t="n"/>
      <c r="F426" s="70" t="n"/>
      <c r="G426" s="70" t="n"/>
      <c r="H426" s="13" t="n"/>
      <c r="I426" s="13" t="n"/>
      <c r="J426" s="13" t="n"/>
      <c r="K426" s="16">
        <f>IF($A426="","",1)</f>
        <v/>
      </c>
    </row>
    <row r="427">
      <c r="A427" s="13" t="n"/>
      <c r="B427" s="69" t="n"/>
      <c r="C427" s="13" t="n"/>
      <c r="D427" s="13" t="n"/>
      <c r="E427" s="70" t="n"/>
      <c r="F427" s="70" t="n"/>
      <c r="G427" s="70" t="n"/>
      <c r="H427" s="13" t="n"/>
      <c r="I427" s="13" t="n"/>
      <c r="J427" s="13" t="n"/>
      <c r="K427" s="16">
        <f>IF($A427="","",1)</f>
        <v/>
      </c>
    </row>
    <row r="428">
      <c r="A428" s="13" t="n"/>
      <c r="B428" s="69" t="n"/>
      <c r="C428" s="13" t="n"/>
      <c r="D428" s="13" t="n"/>
      <c r="E428" s="70" t="n"/>
      <c r="F428" s="70" t="n"/>
      <c r="G428" s="70" t="n"/>
      <c r="H428" s="13" t="n"/>
      <c r="I428" s="13" t="n"/>
      <c r="J428" s="13" t="n"/>
      <c r="K428" s="16">
        <f>IF($A428="","",1)</f>
        <v/>
      </c>
    </row>
    <row r="429">
      <c r="A429" s="13" t="n"/>
      <c r="B429" s="69" t="n"/>
      <c r="C429" s="13" t="n"/>
      <c r="D429" s="13" t="n"/>
      <c r="E429" s="70" t="n"/>
      <c r="F429" s="70" t="n"/>
      <c r="G429" s="70" t="n"/>
      <c r="H429" s="13" t="n"/>
      <c r="I429" s="13" t="n"/>
      <c r="J429" s="13" t="n"/>
      <c r="K429" s="16">
        <f>IF($A429="","",1)</f>
        <v/>
      </c>
    </row>
    <row r="430">
      <c r="A430" s="13" t="n"/>
      <c r="B430" s="69" t="n"/>
      <c r="C430" s="13" t="n"/>
      <c r="D430" s="13" t="n"/>
      <c r="E430" s="70" t="n"/>
      <c r="F430" s="70" t="n"/>
      <c r="G430" s="70" t="n"/>
      <c r="H430" s="13" t="n"/>
      <c r="I430" s="13" t="n"/>
      <c r="J430" s="13" t="n"/>
      <c r="K430" s="16">
        <f>IF($A430="","",1)</f>
        <v/>
      </c>
    </row>
    <row r="431">
      <c r="A431" s="13" t="n"/>
      <c r="B431" s="69" t="n"/>
      <c r="C431" s="13" t="n"/>
      <c r="D431" s="13" t="n"/>
      <c r="E431" s="70" t="n"/>
      <c r="F431" s="70" t="n"/>
      <c r="G431" s="70" t="n"/>
      <c r="H431" s="13" t="n"/>
      <c r="I431" s="13" t="n"/>
      <c r="J431" s="13" t="n"/>
      <c r="K431" s="16">
        <f>IF($A431="","",1)</f>
        <v/>
      </c>
    </row>
    <row r="432">
      <c r="A432" s="13" t="n"/>
      <c r="B432" s="69" t="n"/>
      <c r="C432" s="13" t="n"/>
      <c r="D432" s="13" t="n"/>
      <c r="E432" s="70" t="n"/>
      <c r="F432" s="70" t="n"/>
      <c r="G432" s="70" t="n"/>
      <c r="H432" s="13" t="n"/>
      <c r="I432" s="13" t="n"/>
      <c r="J432" s="13" t="n"/>
      <c r="K432" s="16">
        <f>IF($A432="","",1)</f>
        <v/>
      </c>
    </row>
    <row r="433">
      <c r="A433" s="13" t="n"/>
      <c r="B433" s="69" t="n"/>
      <c r="C433" s="13" t="n"/>
      <c r="D433" s="13" t="n"/>
      <c r="E433" s="70" t="n"/>
      <c r="F433" s="70" t="n"/>
      <c r="G433" s="70" t="n"/>
      <c r="H433" s="13" t="n"/>
      <c r="I433" s="13" t="n"/>
      <c r="J433" s="13" t="n"/>
      <c r="K433" s="16">
        <f>IF($A433="","",1)</f>
        <v/>
      </c>
    </row>
    <row r="434">
      <c r="A434" s="13" t="n"/>
      <c r="B434" s="69" t="n"/>
      <c r="C434" s="13" t="n"/>
      <c r="D434" s="13" t="n"/>
      <c r="E434" s="70" t="n"/>
      <c r="F434" s="70" t="n"/>
      <c r="G434" s="70" t="n"/>
      <c r="H434" s="13" t="n"/>
      <c r="I434" s="13" t="n"/>
      <c r="J434" s="13" t="n"/>
      <c r="K434" s="16">
        <f>IF($A434="","",1)</f>
        <v/>
      </c>
    </row>
    <row r="435">
      <c r="A435" s="13" t="n"/>
      <c r="B435" s="69" t="n"/>
      <c r="C435" s="13" t="n"/>
      <c r="D435" s="13" t="n"/>
      <c r="E435" s="70" t="n"/>
      <c r="F435" s="70" t="n"/>
      <c r="G435" s="70" t="n"/>
      <c r="H435" s="13" t="n"/>
      <c r="I435" s="13" t="n"/>
      <c r="J435" s="13" t="n"/>
      <c r="K435" s="16">
        <f>IF($A435="","",1)</f>
        <v/>
      </c>
    </row>
    <row r="436">
      <c r="A436" s="13" t="n"/>
      <c r="B436" s="69" t="n"/>
      <c r="C436" s="13" t="n"/>
      <c r="D436" s="13" t="n"/>
      <c r="E436" s="70" t="n"/>
      <c r="F436" s="70" t="n"/>
      <c r="G436" s="70" t="n"/>
      <c r="H436" s="13" t="n"/>
      <c r="I436" s="13" t="n"/>
      <c r="J436" s="13" t="n"/>
      <c r="K436" s="16">
        <f>IF($A436="","",1)</f>
        <v/>
      </c>
    </row>
    <row r="437">
      <c r="A437" s="13" t="n"/>
      <c r="B437" s="69" t="n"/>
      <c r="C437" s="13" t="n"/>
      <c r="D437" s="13" t="n"/>
      <c r="E437" s="70" t="n"/>
      <c r="F437" s="70" t="n"/>
      <c r="G437" s="70" t="n"/>
      <c r="H437" s="13" t="n"/>
      <c r="I437" s="13" t="n"/>
      <c r="J437" s="13" t="n"/>
      <c r="K437" s="16">
        <f>IF($A437="","",1)</f>
        <v/>
      </c>
    </row>
    <row r="438">
      <c r="A438" s="13" t="n"/>
      <c r="B438" s="69" t="n"/>
      <c r="C438" s="13" t="n"/>
      <c r="D438" s="13" t="n"/>
      <c r="E438" s="70" t="n"/>
      <c r="F438" s="70" t="n"/>
      <c r="G438" s="70" t="n"/>
      <c r="H438" s="13" t="n"/>
      <c r="I438" s="13" t="n"/>
      <c r="J438" s="13" t="n"/>
      <c r="K438" s="16">
        <f>IF($A438="","",1)</f>
        <v/>
      </c>
    </row>
    <row r="439">
      <c r="A439" s="13" t="n"/>
      <c r="B439" s="69" t="n"/>
      <c r="C439" s="13" t="n"/>
      <c r="D439" s="13" t="n"/>
      <c r="E439" s="70" t="n"/>
      <c r="F439" s="70" t="n"/>
      <c r="G439" s="70" t="n"/>
      <c r="H439" s="13" t="n"/>
      <c r="I439" s="13" t="n"/>
      <c r="J439" s="13" t="n"/>
      <c r="K439" s="16">
        <f>IF($A439="","",1)</f>
        <v/>
      </c>
    </row>
    <row r="440">
      <c r="A440" s="13" t="n"/>
      <c r="B440" s="69" t="n"/>
      <c r="C440" s="13" t="n"/>
      <c r="D440" s="13" t="n"/>
      <c r="E440" s="70" t="n"/>
      <c r="F440" s="70" t="n"/>
      <c r="G440" s="70" t="n"/>
      <c r="H440" s="13" t="n"/>
      <c r="I440" s="13" t="n"/>
      <c r="J440" s="13" t="n"/>
      <c r="K440" s="16">
        <f>IF($A440="","",1)</f>
        <v/>
      </c>
    </row>
    <row r="441">
      <c r="A441" s="13" t="n"/>
      <c r="B441" s="69" t="n"/>
      <c r="C441" s="13" t="n"/>
      <c r="D441" s="13" t="n"/>
      <c r="E441" s="70" t="n"/>
      <c r="F441" s="70" t="n"/>
      <c r="G441" s="70" t="n"/>
      <c r="H441" s="13" t="n"/>
      <c r="I441" s="13" t="n"/>
      <c r="J441" s="13" t="n"/>
      <c r="K441" s="16">
        <f>IF($A441="","",1)</f>
        <v/>
      </c>
    </row>
    <row r="442">
      <c r="A442" s="13" t="n"/>
      <c r="B442" s="69" t="n"/>
      <c r="C442" s="13" t="n"/>
      <c r="D442" s="13" t="n"/>
      <c r="E442" s="70" t="n"/>
      <c r="F442" s="70" t="n"/>
      <c r="G442" s="70" t="n"/>
      <c r="H442" s="13" t="n"/>
      <c r="I442" s="13" t="n"/>
      <c r="J442" s="13" t="n"/>
      <c r="K442" s="16">
        <f>IF($A442="","",1)</f>
        <v/>
      </c>
    </row>
    <row r="443">
      <c r="A443" s="13" t="n"/>
      <c r="B443" s="69" t="n"/>
      <c r="C443" s="13" t="n"/>
      <c r="D443" s="13" t="n"/>
      <c r="E443" s="70" t="n"/>
      <c r="F443" s="70" t="n"/>
      <c r="G443" s="70" t="n"/>
      <c r="H443" s="13" t="n"/>
      <c r="I443" s="13" t="n"/>
      <c r="J443" s="13" t="n"/>
      <c r="K443" s="16">
        <f>IF($A443="","",1)</f>
        <v/>
      </c>
    </row>
    <row r="444">
      <c r="A444" s="13" t="n"/>
      <c r="B444" s="69" t="n"/>
      <c r="C444" s="13" t="n"/>
      <c r="D444" s="13" t="n"/>
      <c r="E444" s="70" t="n"/>
      <c r="F444" s="70" t="n"/>
      <c r="G444" s="70" t="n"/>
      <c r="H444" s="13" t="n"/>
      <c r="I444" s="13" t="n"/>
      <c r="J444" s="13" t="n"/>
      <c r="K444" s="16">
        <f>IF($A444="","",1)</f>
        <v/>
      </c>
    </row>
    <row r="445">
      <c r="A445" s="13" t="n"/>
      <c r="B445" s="69" t="n"/>
      <c r="C445" s="13" t="n"/>
      <c r="D445" s="13" t="n"/>
      <c r="E445" s="70" t="n"/>
      <c r="F445" s="70" t="n"/>
      <c r="G445" s="70" t="n"/>
      <c r="H445" s="13" t="n"/>
      <c r="I445" s="13" t="n"/>
      <c r="J445" s="13" t="n"/>
      <c r="K445" s="16">
        <f>IF($A445="","",1)</f>
        <v/>
      </c>
    </row>
    <row r="446">
      <c r="A446" s="13" t="n"/>
      <c r="B446" s="69" t="n"/>
      <c r="C446" s="13" t="n"/>
      <c r="D446" s="13" t="n"/>
      <c r="E446" s="70" t="n"/>
      <c r="F446" s="70" t="n"/>
      <c r="G446" s="70" t="n"/>
      <c r="H446" s="13" t="n"/>
      <c r="I446" s="13" t="n"/>
      <c r="J446" s="13" t="n"/>
      <c r="K446" s="16">
        <f>IF($A446="","",1)</f>
        <v/>
      </c>
    </row>
    <row r="447">
      <c r="A447" s="13" t="n"/>
      <c r="B447" s="69" t="n"/>
      <c r="C447" s="13" t="n"/>
      <c r="D447" s="13" t="n"/>
      <c r="E447" s="70" t="n"/>
      <c r="F447" s="70" t="n"/>
      <c r="G447" s="70" t="n"/>
      <c r="H447" s="13" t="n"/>
      <c r="I447" s="13" t="n"/>
      <c r="J447" s="13" t="n"/>
      <c r="K447" s="16">
        <f>IF($A447="","",1)</f>
        <v/>
      </c>
    </row>
    <row r="448">
      <c r="A448" s="13" t="n"/>
      <c r="B448" s="69" t="n"/>
      <c r="C448" s="13" t="n"/>
      <c r="D448" s="13" t="n"/>
      <c r="E448" s="70" t="n"/>
      <c r="F448" s="70" t="n"/>
      <c r="G448" s="70" t="n"/>
      <c r="H448" s="13" t="n"/>
      <c r="I448" s="13" t="n"/>
      <c r="J448" s="13" t="n"/>
      <c r="K448" s="16">
        <f>IF($A448="","",1)</f>
        <v/>
      </c>
    </row>
    <row r="449">
      <c r="A449" s="13" t="n"/>
      <c r="B449" s="69" t="n"/>
      <c r="C449" s="13" t="n"/>
      <c r="D449" s="13" t="n"/>
      <c r="E449" s="70" t="n"/>
      <c r="F449" s="70" t="n"/>
      <c r="G449" s="70" t="n"/>
      <c r="H449" s="13" t="n"/>
      <c r="I449" s="13" t="n"/>
      <c r="J449" s="13" t="n"/>
      <c r="K449" s="16">
        <f>IF($A449="","",1)</f>
        <v/>
      </c>
    </row>
    <row r="450">
      <c r="A450" s="13" t="n"/>
      <c r="B450" s="69" t="n"/>
      <c r="C450" s="13" t="n"/>
      <c r="D450" s="13" t="n"/>
      <c r="E450" s="70" t="n"/>
      <c r="F450" s="70" t="n"/>
      <c r="G450" s="70" t="n"/>
      <c r="H450" s="13" t="n"/>
      <c r="I450" s="13" t="n"/>
      <c r="J450" s="13" t="n"/>
      <c r="K450" s="16">
        <f>IF($A450="","",1)</f>
        <v/>
      </c>
    </row>
    <row r="451">
      <c r="A451" s="13" t="n"/>
      <c r="B451" s="69" t="n"/>
      <c r="C451" s="13" t="n"/>
      <c r="D451" s="13" t="n"/>
      <c r="E451" s="70" t="n"/>
      <c r="F451" s="70" t="n"/>
      <c r="G451" s="70" t="n"/>
      <c r="H451" s="13" t="n"/>
      <c r="I451" s="13" t="n"/>
      <c r="J451" s="13" t="n"/>
      <c r="K451" s="16">
        <f>IF($A451="","",1)</f>
        <v/>
      </c>
    </row>
    <row r="452">
      <c r="A452" s="13" t="n"/>
      <c r="B452" s="69" t="n"/>
      <c r="C452" s="13" t="n"/>
      <c r="D452" s="13" t="n"/>
      <c r="E452" s="70" t="n"/>
      <c r="F452" s="70" t="n"/>
      <c r="G452" s="70" t="n"/>
      <c r="H452" s="13" t="n"/>
      <c r="I452" s="13" t="n"/>
      <c r="J452" s="13" t="n"/>
      <c r="K452" s="16">
        <f>IF($A452="","",1)</f>
        <v/>
      </c>
    </row>
    <row r="453">
      <c r="A453" s="13" t="n"/>
      <c r="B453" s="69" t="n"/>
      <c r="C453" s="13" t="n"/>
      <c r="D453" s="13" t="n"/>
      <c r="E453" s="70" t="n"/>
      <c r="F453" s="70" t="n"/>
      <c r="G453" s="70" t="n"/>
      <c r="H453" s="13" t="n"/>
      <c r="I453" s="13" t="n"/>
      <c r="J453" s="13" t="n"/>
      <c r="K453" s="16">
        <f>IF($A453="","",1)</f>
        <v/>
      </c>
    </row>
    <row r="454">
      <c r="A454" s="13" t="n"/>
      <c r="B454" s="69" t="n"/>
      <c r="C454" s="13" t="n"/>
      <c r="D454" s="13" t="n"/>
      <c r="E454" s="70" t="n"/>
      <c r="F454" s="70" t="n"/>
      <c r="G454" s="70" t="n"/>
      <c r="H454" s="13" t="n"/>
      <c r="I454" s="13" t="n"/>
      <c r="J454" s="13" t="n"/>
      <c r="K454" s="16">
        <f>IF($A454="","",1)</f>
        <v/>
      </c>
    </row>
    <row r="455">
      <c r="A455" s="13" t="n"/>
      <c r="B455" s="69" t="n"/>
      <c r="C455" s="13" t="n"/>
      <c r="D455" s="13" t="n"/>
      <c r="E455" s="70" t="n"/>
      <c r="F455" s="70" t="n"/>
      <c r="G455" s="70" t="n"/>
      <c r="H455" s="13" t="n"/>
      <c r="I455" s="13" t="n"/>
      <c r="J455" s="13" t="n"/>
      <c r="K455" s="16">
        <f>IF($A455="","",1)</f>
        <v/>
      </c>
    </row>
    <row r="456">
      <c r="A456" s="13" t="n"/>
      <c r="B456" s="69" t="n"/>
      <c r="C456" s="13" t="n"/>
      <c r="D456" s="13" t="n"/>
      <c r="E456" s="70" t="n"/>
      <c r="F456" s="70" t="n"/>
      <c r="G456" s="70" t="n"/>
      <c r="H456" s="13" t="n"/>
      <c r="I456" s="13" t="n"/>
      <c r="J456" s="13" t="n"/>
      <c r="K456" s="16">
        <f>IF($A456="","",1)</f>
        <v/>
      </c>
    </row>
    <row r="457">
      <c r="A457" s="13" t="n"/>
      <c r="B457" s="69" t="n"/>
      <c r="C457" s="13" t="n"/>
      <c r="D457" s="13" t="n"/>
      <c r="E457" s="70" t="n"/>
      <c r="F457" s="70" t="n"/>
      <c r="G457" s="70" t="n"/>
      <c r="H457" s="13" t="n"/>
      <c r="I457" s="13" t="n"/>
      <c r="J457" s="13" t="n"/>
      <c r="K457" s="16">
        <f>IF($A457="","",1)</f>
        <v/>
      </c>
    </row>
    <row r="458">
      <c r="A458" s="13" t="n"/>
      <c r="B458" s="69" t="n"/>
      <c r="C458" s="13" t="n"/>
      <c r="D458" s="13" t="n"/>
      <c r="E458" s="70" t="n"/>
      <c r="F458" s="70" t="n"/>
      <c r="G458" s="70" t="n"/>
      <c r="H458" s="13" t="n"/>
      <c r="I458" s="13" t="n"/>
      <c r="J458" s="13" t="n"/>
      <c r="K458" s="16">
        <f>IF($A458="","",1)</f>
        <v/>
      </c>
    </row>
    <row r="459">
      <c r="A459" s="13" t="n"/>
      <c r="B459" s="69" t="n"/>
      <c r="C459" s="13" t="n"/>
      <c r="D459" s="13" t="n"/>
      <c r="E459" s="70" t="n"/>
      <c r="F459" s="70" t="n"/>
      <c r="G459" s="70" t="n"/>
      <c r="H459" s="13" t="n"/>
      <c r="I459" s="13" t="n"/>
      <c r="J459" s="13" t="n"/>
      <c r="K459" s="16">
        <f>IF($A459="","",1)</f>
        <v/>
      </c>
    </row>
    <row r="460">
      <c r="A460" s="13" t="n"/>
      <c r="B460" s="69" t="n"/>
      <c r="C460" s="13" t="n"/>
      <c r="D460" s="13" t="n"/>
      <c r="E460" s="70" t="n"/>
      <c r="F460" s="70" t="n"/>
      <c r="G460" s="70" t="n"/>
      <c r="H460" s="13" t="n"/>
      <c r="I460" s="13" t="n"/>
      <c r="J460" s="13" t="n"/>
      <c r="K460" s="16">
        <f>IF($A460="","",1)</f>
        <v/>
      </c>
    </row>
    <row r="461">
      <c r="A461" s="13" t="n"/>
      <c r="B461" s="69" t="n"/>
      <c r="C461" s="13" t="n"/>
      <c r="D461" s="13" t="n"/>
      <c r="E461" s="70" t="n"/>
      <c r="F461" s="70" t="n"/>
      <c r="G461" s="70" t="n"/>
      <c r="H461" s="13" t="n"/>
      <c r="I461" s="13" t="n"/>
      <c r="J461" s="13" t="n"/>
      <c r="K461" s="16">
        <f>IF($A461="","",1)</f>
        <v/>
      </c>
    </row>
    <row r="462">
      <c r="A462" s="13" t="n"/>
      <c r="B462" s="69" t="n"/>
      <c r="C462" s="13" t="n"/>
      <c r="D462" s="13" t="n"/>
      <c r="E462" s="70" t="n"/>
      <c r="F462" s="70" t="n"/>
      <c r="G462" s="70" t="n"/>
      <c r="H462" s="13" t="n"/>
      <c r="I462" s="13" t="n"/>
      <c r="J462" s="13" t="n"/>
      <c r="K462" s="16">
        <f>IF($A462="","",1)</f>
        <v/>
      </c>
    </row>
    <row r="463">
      <c r="A463" s="13" t="n"/>
      <c r="B463" s="69" t="n"/>
      <c r="C463" s="13" t="n"/>
      <c r="D463" s="13" t="n"/>
      <c r="E463" s="70" t="n"/>
      <c r="F463" s="70" t="n"/>
      <c r="G463" s="70" t="n"/>
      <c r="H463" s="13" t="n"/>
      <c r="I463" s="13" t="n"/>
      <c r="J463" s="13" t="n"/>
      <c r="K463" s="16">
        <f>IF($A463="","",1)</f>
        <v/>
      </c>
    </row>
    <row r="464">
      <c r="A464" s="13" t="n"/>
      <c r="B464" s="69" t="n"/>
      <c r="C464" s="13" t="n"/>
      <c r="D464" s="13" t="n"/>
      <c r="E464" s="70" t="n"/>
      <c r="F464" s="70" t="n"/>
      <c r="G464" s="70" t="n"/>
      <c r="H464" s="13" t="n"/>
      <c r="I464" s="13" t="n"/>
      <c r="J464" s="13" t="n"/>
      <c r="K464" s="16">
        <f>IF($A464="","",1)</f>
        <v/>
      </c>
    </row>
    <row r="465">
      <c r="A465" s="13" t="n"/>
      <c r="B465" s="69" t="n"/>
      <c r="C465" s="13" t="n"/>
      <c r="D465" s="13" t="n"/>
      <c r="E465" s="70" t="n"/>
      <c r="F465" s="70" t="n"/>
      <c r="G465" s="70" t="n"/>
      <c r="H465" s="13" t="n"/>
      <c r="I465" s="13" t="n"/>
      <c r="J465" s="13" t="n"/>
      <c r="K465" s="16">
        <f>IF($A465="","",1)</f>
        <v/>
      </c>
    </row>
    <row r="466">
      <c r="A466" s="13" t="n"/>
      <c r="B466" s="69" t="n"/>
      <c r="C466" s="13" t="n"/>
      <c r="D466" s="13" t="n"/>
      <c r="E466" s="70" t="n"/>
      <c r="F466" s="70" t="n"/>
      <c r="G466" s="70" t="n"/>
      <c r="H466" s="13" t="n"/>
      <c r="I466" s="13" t="n"/>
      <c r="J466" s="13" t="n"/>
      <c r="K466" s="16">
        <f>IF($A466="","",1)</f>
        <v/>
      </c>
    </row>
    <row r="467">
      <c r="A467" s="13" t="n"/>
      <c r="B467" s="69" t="n"/>
      <c r="C467" s="13" t="n"/>
      <c r="D467" s="13" t="n"/>
      <c r="E467" s="70" t="n"/>
      <c r="F467" s="70" t="n"/>
      <c r="G467" s="70" t="n"/>
      <c r="H467" s="13" t="n"/>
      <c r="I467" s="13" t="n"/>
      <c r="J467" s="13" t="n"/>
      <c r="K467" s="16">
        <f>IF($A467="","",1)</f>
        <v/>
      </c>
    </row>
    <row r="468">
      <c r="A468" s="13" t="n"/>
      <c r="B468" s="69" t="n"/>
      <c r="C468" s="13" t="n"/>
      <c r="D468" s="13" t="n"/>
      <c r="E468" s="70" t="n"/>
      <c r="F468" s="70" t="n"/>
      <c r="G468" s="70" t="n"/>
      <c r="H468" s="13" t="n"/>
      <c r="I468" s="13" t="n"/>
      <c r="J468" s="13" t="n"/>
      <c r="K468" s="16">
        <f>IF($A468="","",1)</f>
        <v/>
      </c>
    </row>
    <row r="469">
      <c r="A469" s="13" t="n"/>
      <c r="B469" s="69" t="n"/>
      <c r="C469" s="13" t="n"/>
      <c r="D469" s="13" t="n"/>
      <c r="E469" s="70" t="n"/>
      <c r="F469" s="70" t="n"/>
      <c r="G469" s="70" t="n"/>
      <c r="H469" s="13" t="n"/>
      <c r="I469" s="13" t="n"/>
      <c r="J469" s="13" t="n"/>
      <c r="K469" s="16">
        <f>IF($A469="","",1)</f>
        <v/>
      </c>
    </row>
    <row r="470">
      <c r="A470" s="13" t="n"/>
      <c r="B470" s="69" t="n"/>
      <c r="C470" s="13" t="n"/>
      <c r="D470" s="13" t="n"/>
      <c r="E470" s="70" t="n"/>
      <c r="F470" s="70" t="n"/>
      <c r="G470" s="70" t="n"/>
      <c r="H470" s="13" t="n"/>
      <c r="I470" s="13" t="n"/>
      <c r="J470" s="13" t="n"/>
      <c r="K470" s="16">
        <f>IF($A470="","",1)</f>
        <v/>
      </c>
    </row>
    <row r="471">
      <c r="A471" s="13" t="n"/>
      <c r="B471" s="69" t="n"/>
      <c r="C471" s="13" t="n"/>
      <c r="D471" s="13" t="n"/>
      <c r="E471" s="70" t="n"/>
      <c r="F471" s="70" t="n"/>
      <c r="G471" s="70" t="n"/>
      <c r="H471" s="13" t="n"/>
      <c r="I471" s="13" t="n"/>
      <c r="J471" s="13" t="n"/>
      <c r="K471" s="16">
        <f>IF($A471="","",1)</f>
        <v/>
      </c>
    </row>
    <row r="472">
      <c r="A472" s="13" t="n"/>
      <c r="B472" s="69" t="n"/>
      <c r="C472" s="13" t="n"/>
      <c r="D472" s="13" t="n"/>
      <c r="E472" s="70" t="n"/>
      <c r="F472" s="70" t="n"/>
      <c r="G472" s="70" t="n"/>
      <c r="H472" s="13" t="n"/>
      <c r="I472" s="13" t="n"/>
      <c r="J472" s="13" t="n"/>
      <c r="K472" s="16">
        <f>IF($A472="","",1)</f>
        <v/>
      </c>
    </row>
    <row r="473">
      <c r="A473" s="13" t="n"/>
      <c r="B473" s="69" t="n"/>
      <c r="C473" s="13" t="n"/>
      <c r="D473" s="13" t="n"/>
      <c r="E473" s="70" t="n"/>
      <c r="F473" s="70" t="n"/>
      <c r="G473" s="70" t="n"/>
      <c r="H473" s="13" t="n"/>
      <c r="I473" s="13" t="n"/>
      <c r="J473" s="13" t="n"/>
      <c r="K473" s="16">
        <f>IF($A473="","",1)</f>
        <v/>
      </c>
    </row>
    <row r="474">
      <c r="A474" s="13" t="n"/>
      <c r="B474" s="69" t="n"/>
      <c r="C474" s="13" t="n"/>
      <c r="D474" s="13" t="n"/>
      <c r="E474" s="70" t="n"/>
      <c r="F474" s="70" t="n"/>
      <c r="G474" s="70" t="n"/>
      <c r="H474" s="13" t="n"/>
      <c r="I474" s="13" t="n"/>
      <c r="J474" s="13" t="n"/>
      <c r="K474" s="16">
        <f>IF($A474="","",1)</f>
        <v/>
      </c>
    </row>
    <row r="475">
      <c r="A475" s="13" t="n"/>
      <c r="B475" s="69" t="n"/>
      <c r="C475" s="13" t="n"/>
      <c r="D475" s="13" t="n"/>
      <c r="E475" s="70" t="n"/>
      <c r="F475" s="70" t="n"/>
      <c r="G475" s="70" t="n"/>
      <c r="H475" s="13" t="n"/>
      <c r="I475" s="13" t="n"/>
      <c r="J475" s="13" t="n"/>
      <c r="K475" s="16">
        <f>IF($A475="","",1)</f>
        <v/>
      </c>
    </row>
    <row r="476">
      <c r="A476" s="13" t="n"/>
      <c r="B476" s="69" t="n"/>
      <c r="C476" s="13" t="n"/>
      <c r="D476" s="13" t="n"/>
      <c r="E476" s="70" t="n"/>
      <c r="F476" s="70" t="n"/>
      <c r="G476" s="70" t="n"/>
      <c r="H476" s="13" t="n"/>
      <c r="I476" s="13" t="n"/>
      <c r="J476" s="13" t="n"/>
      <c r="K476" s="16">
        <f>IF($A476="","",1)</f>
        <v/>
      </c>
    </row>
    <row r="477">
      <c r="A477" s="13" t="n"/>
      <c r="B477" s="69" t="n"/>
      <c r="C477" s="13" t="n"/>
      <c r="D477" s="13" t="n"/>
      <c r="E477" s="70" t="n"/>
      <c r="F477" s="70" t="n"/>
      <c r="G477" s="70" t="n"/>
      <c r="H477" s="13" t="n"/>
      <c r="I477" s="13" t="n"/>
      <c r="J477" s="13" t="n"/>
      <c r="K477" s="16">
        <f>IF($A477="","",1)</f>
        <v/>
      </c>
    </row>
    <row r="478">
      <c r="A478" s="13" t="n"/>
      <c r="B478" s="69" t="n"/>
      <c r="C478" s="13" t="n"/>
      <c r="D478" s="13" t="n"/>
      <c r="E478" s="70" t="n"/>
      <c r="F478" s="70" t="n"/>
      <c r="G478" s="70" t="n"/>
      <c r="H478" s="13" t="n"/>
      <c r="I478" s="13" t="n"/>
      <c r="J478" s="13" t="n"/>
      <c r="K478" s="16">
        <f>IF($A478="","",1)</f>
        <v/>
      </c>
    </row>
    <row r="479">
      <c r="A479" s="13" t="n"/>
      <c r="B479" s="69" t="n"/>
      <c r="C479" s="13" t="n"/>
      <c r="D479" s="13" t="n"/>
      <c r="E479" s="70" t="n"/>
      <c r="F479" s="70" t="n"/>
      <c r="G479" s="70" t="n"/>
      <c r="H479" s="13" t="n"/>
      <c r="I479" s="13" t="n"/>
      <c r="J479" s="13" t="n"/>
      <c r="K479" s="16">
        <f>IF($A479="","",1)</f>
        <v/>
      </c>
    </row>
    <row r="480">
      <c r="A480" s="13" t="n"/>
      <c r="B480" s="69" t="n"/>
      <c r="C480" s="13" t="n"/>
      <c r="D480" s="13" t="n"/>
      <c r="E480" s="70" t="n"/>
      <c r="F480" s="70" t="n"/>
      <c r="G480" s="70" t="n"/>
      <c r="H480" s="13" t="n"/>
      <c r="I480" s="13" t="n"/>
      <c r="J480" s="13" t="n"/>
      <c r="K480" s="16">
        <f>IF($A480="","",1)</f>
        <v/>
      </c>
    </row>
    <row r="481">
      <c r="A481" s="13" t="n"/>
      <c r="B481" s="69" t="n"/>
      <c r="C481" s="13" t="n"/>
      <c r="D481" s="13" t="n"/>
      <c r="E481" s="70" t="n"/>
      <c r="F481" s="70" t="n"/>
      <c r="G481" s="70" t="n"/>
      <c r="H481" s="13" t="n"/>
      <c r="I481" s="13" t="n"/>
      <c r="J481" s="13" t="n"/>
      <c r="K481" s="16">
        <f>IF($A481="","",1)</f>
        <v/>
      </c>
    </row>
    <row r="482">
      <c r="A482" s="13" t="n"/>
      <c r="B482" s="69" t="n"/>
      <c r="C482" s="13" t="n"/>
      <c r="D482" s="13" t="n"/>
      <c r="E482" s="70" t="n"/>
      <c r="F482" s="70" t="n"/>
      <c r="G482" s="70" t="n"/>
      <c r="H482" s="13" t="n"/>
      <c r="I482" s="13" t="n"/>
      <c r="J482" s="13" t="n"/>
      <c r="K482" s="16">
        <f>IF($A482="","",1)</f>
        <v/>
      </c>
    </row>
    <row r="483">
      <c r="A483" s="13" t="n"/>
      <c r="B483" s="69" t="n"/>
      <c r="C483" s="13" t="n"/>
      <c r="D483" s="13" t="n"/>
      <c r="E483" s="70" t="n"/>
      <c r="F483" s="70" t="n"/>
      <c r="G483" s="70" t="n"/>
      <c r="H483" s="13" t="n"/>
      <c r="I483" s="13" t="n"/>
      <c r="J483" s="13" t="n"/>
      <c r="K483" s="16">
        <f>IF($A483="","",1)</f>
        <v/>
      </c>
    </row>
    <row r="484">
      <c r="A484" s="13" t="n"/>
      <c r="B484" s="69" t="n"/>
      <c r="C484" s="13" t="n"/>
      <c r="D484" s="13" t="n"/>
      <c r="E484" s="70" t="n"/>
      <c r="F484" s="70" t="n"/>
      <c r="G484" s="70" t="n"/>
      <c r="H484" s="13" t="n"/>
      <c r="I484" s="13" t="n"/>
      <c r="J484" s="13" t="n"/>
      <c r="K484" s="16">
        <f>IF($A484="","",1)</f>
        <v/>
      </c>
    </row>
    <row r="485">
      <c r="A485" s="13" t="n"/>
      <c r="B485" s="69" t="n"/>
      <c r="C485" s="13" t="n"/>
      <c r="D485" s="13" t="n"/>
      <c r="E485" s="70" t="n"/>
      <c r="F485" s="70" t="n"/>
      <c r="G485" s="70" t="n"/>
      <c r="H485" s="13" t="n"/>
      <c r="I485" s="13" t="n"/>
      <c r="J485" s="13" t="n"/>
      <c r="K485" s="16">
        <f>IF($A485="","",1)</f>
        <v/>
      </c>
    </row>
    <row r="486">
      <c r="A486" s="13" t="n"/>
      <c r="B486" s="69" t="n"/>
      <c r="C486" s="13" t="n"/>
      <c r="D486" s="13" t="n"/>
      <c r="E486" s="70" t="n"/>
      <c r="F486" s="70" t="n"/>
      <c r="G486" s="70" t="n"/>
      <c r="H486" s="13" t="n"/>
      <c r="I486" s="13" t="n"/>
      <c r="J486" s="13" t="n"/>
      <c r="K486" s="16">
        <f>IF($A486="","",1)</f>
        <v/>
      </c>
    </row>
    <row r="487">
      <c r="A487" s="13" t="n"/>
      <c r="B487" s="69" t="n"/>
      <c r="C487" s="13" t="n"/>
      <c r="D487" s="13" t="n"/>
      <c r="E487" s="70" t="n"/>
      <c r="F487" s="70" t="n"/>
      <c r="G487" s="70" t="n"/>
      <c r="H487" s="13" t="n"/>
      <c r="I487" s="13" t="n"/>
      <c r="J487" s="13" t="n"/>
      <c r="K487" s="16">
        <f>IF($A487="","",1)</f>
        <v/>
      </c>
    </row>
    <row r="488">
      <c r="A488" s="13" t="n"/>
      <c r="B488" s="69" t="n"/>
      <c r="C488" s="13" t="n"/>
      <c r="D488" s="13" t="n"/>
      <c r="E488" s="70" t="n"/>
      <c r="F488" s="70" t="n"/>
      <c r="G488" s="70" t="n"/>
      <c r="H488" s="13" t="n"/>
      <c r="I488" s="13" t="n"/>
      <c r="J488" s="13" t="n"/>
      <c r="K488" s="16">
        <f>IF($A488="","",1)</f>
        <v/>
      </c>
    </row>
    <row r="489">
      <c r="A489" s="13" t="n"/>
      <c r="B489" s="69" t="n"/>
      <c r="C489" s="13" t="n"/>
      <c r="D489" s="13" t="n"/>
      <c r="E489" s="70" t="n"/>
      <c r="F489" s="70" t="n"/>
      <c r="G489" s="70" t="n"/>
      <c r="H489" s="13" t="n"/>
      <c r="I489" s="13" t="n"/>
      <c r="J489" s="13" t="n"/>
      <c r="K489" s="16">
        <f>IF($A489="","",1)</f>
        <v/>
      </c>
    </row>
    <row r="490">
      <c r="A490" s="13" t="n"/>
      <c r="B490" s="69" t="n"/>
      <c r="C490" s="13" t="n"/>
      <c r="D490" s="13" t="n"/>
      <c r="E490" s="70" t="n"/>
      <c r="F490" s="70" t="n"/>
      <c r="G490" s="70" t="n"/>
      <c r="H490" s="13" t="n"/>
      <c r="I490" s="13" t="n"/>
      <c r="J490" s="13" t="n"/>
      <c r="K490" s="16">
        <f>IF($A490="","",1)</f>
        <v/>
      </c>
    </row>
    <row r="491">
      <c r="A491" s="13" t="n"/>
      <c r="B491" s="69" t="n"/>
      <c r="C491" s="13" t="n"/>
      <c r="D491" s="13" t="n"/>
      <c r="E491" s="70" t="n"/>
      <c r="F491" s="70" t="n"/>
      <c r="G491" s="70" t="n"/>
      <c r="H491" s="13" t="n"/>
      <c r="I491" s="13" t="n"/>
      <c r="J491" s="13" t="n"/>
      <c r="K491" s="16">
        <f>IF($A491="","",1)</f>
        <v/>
      </c>
    </row>
    <row r="492">
      <c r="A492" s="13" t="n"/>
      <c r="B492" s="69" t="n"/>
      <c r="C492" s="13" t="n"/>
      <c r="D492" s="13" t="n"/>
      <c r="E492" s="70" t="n"/>
      <c r="F492" s="70" t="n"/>
      <c r="G492" s="70" t="n"/>
      <c r="H492" s="13" t="n"/>
      <c r="I492" s="13" t="n"/>
      <c r="J492" s="13" t="n"/>
      <c r="K492" s="16">
        <f>IF($A492="","",1)</f>
        <v/>
      </c>
    </row>
    <row r="493">
      <c r="A493" s="13" t="n"/>
      <c r="B493" s="69" t="n"/>
      <c r="C493" s="13" t="n"/>
      <c r="D493" s="13" t="n"/>
      <c r="E493" s="70" t="n"/>
      <c r="F493" s="70" t="n"/>
      <c r="G493" s="70" t="n"/>
      <c r="H493" s="13" t="n"/>
      <c r="I493" s="13" t="n"/>
      <c r="J493" s="13" t="n"/>
      <c r="K493" s="16">
        <f>IF($A493="","",1)</f>
        <v/>
      </c>
    </row>
    <row r="494">
      <c r="A494" s="13" t="n"/>
      <c r="B494" s="69" t="n"/>
      <c r="C494" s="13" t="n"/>
      <c r="D494" s="13" t="n"/>
      <c r="E494" s="70" t="n"/>
      <c r="F494" s="70" t="n"/>
      <c r="G494" s="70" t="n"/>
      <c r="H494" s="13" t="n"/>
      <c r="I494" s="13" t="n"/>
      <c r="J494" s="13" t="n"/>
      <c r="K494" s="16">
        <f>IF($A494="","",1)</f>
        <v/>
      </c>
    </row>
    <row r="495">
      <c r="A495" s="13" t="n"/>
      <c r="B495" s="69" t="n"/>
      <c r="C495" s="13" t="n"/>
      <c r="D495" s="13" t="n"/>
      <c r="E495" s="70" t="n"/>
      <c r="F495" s="70" t="n"/>
      <c r="G495" s="70" t="n"/>
      <c r="H495" s="13" t="n"/>
      <c r="I495" s="13" t="n"/>
      <c r="J495" s="13" t="n"/>
      <c r="K495" s="16">
        <f>IF($A495="","",1)</f>
        <v/>
      </c>
    </row>
    <row r="496">
      <c r="A496" s="13" t="n"/>
      <c r="B496" s="69" t="n"/>
      <c r="C496" s="13" t="n"/>
      <c r="D496" s="13" t="n"/>
      <c r="E496" s="70" t="n"/>
      <c r="F496" s="70" t="n"/>
      <c r="G496" s="70" t="n"/>
      <c r="H496" s="13" t="n"/>
      <c r="I496" s="13" t="n"/>
      <c r="J496" s="13" t="n"/>
      <c r="K496" s="16">
        <f>IF($A496="","",1)</f>
        <v/>
      </c>
    </row>
    <row r="497">
      <c r="A497" s="13" t="n"/>
      <c r="B497" s="69" t="n"/>
      <c r="C497" s="13" t="n"/>
      <c r="D497" s="13" t="n"/>
      <c r="E497" s="70" t="n"/>
      <c r="F497" s="70" t="n"/>
      <c r="G497" s="70" t="n"/>
      <c r="H497" s="13" t="n"/>
      <c r="I497" s="13" t="n"/>
      <c r="J497" s="13" t="n"/>
      <c r="K497" s="16">
        <f>IF($A497="","",1)</f>
        <v/>
      </c>
    </row>
    <row r="498">
      <c r="A498" s="13" t="n"/>
      <c r="B498" s="69" t="n"/>
      <c r="C498" s="13" t="n"/>
      <c r="D498" s="13" t="n"/>
      <c r="E498" s="70" t="n"/>
      <c r="F498" s="70" t="n"/>
      <c r="G498" s="70" t="n"/>
      <c r="H498" s="13" t="n"/>
      <c r="I498" s="13" t="n"/>
      <c r="J498" s="13" t="n"/>
      <c r="K498" s="16">
        <f>IF($A498="","",1)</f>
        <v/>
      </c>
    </row>
    <row r="499">
      <c r="A499" s="13" t="n"/>
      <c r="B499" s="69" t="n"/>
      <c r="C499" s="13" t="n"/>
      <c r="D499" s="13" t="n"/>
      <c r="E499" s="70" t="n"/>
      <c r="F499" s="70" t="n"/>
      <c r="G499" s="70" t="n"/>
      <c r="H499" s="13" t="n"/>
      <c r="I499" s="13" t="n"/>
      <c r="J499" s="13" t="n"/>
      <c r="K499" s="16">
        <f>IF($A499="","",1)</f>
        <v/>
      </c>
    </row>
    <row r="500">
      <c r="A500" s="13" t="n"/>
      <c r="B500" s="69" t="n"/>
      <c r="C500" s="13" t="n"/>
      <c r="D500" s="13" t="n"/>
      <c r="E500" s="70" t="n"/>
      <c r="F500" s="70" t="n"/>
      <c r="G500" s="70" t="n"/>
      <c r="H500" s="13" t="n"/>
      <c r="I500" s="13" t="n"/>
      <c r="J500" s="13" t="n"/>
      <c r="K500" s="16">
        <f>IF($A500="","",1)</f>
        <v/>
      </c>
    </row>
    <row r="501">
      <c r="A501" s="13" t="n"/>
      <c r="B501" s="69" t="n"/>
      <c r="C501" s="13" t="n"/>
      <c r="D501" s="13" t="n"/>
      <c r="E501" s="70" t="n"/>
      <c r="F501" s="70" t="n"/>
      <c r="G501" s="70" t="n"/>
      <c r="H501" s="13" t="n"/>
      <c r="I501" s="13" t="n"/>
      <c r="J501" s="13" t="n"/>
      <c r="K501" s="16">
        <f>IF($A501="","",1)</f>
        <v/>
      </c>
    </row>
    <row r="502">
      <c r="A502" s="13" t="n"/>
      <c r="B502" s="69" t="n"/>
      <c r="C502" s="13" t="n"/>
      <c r="D502" s="13" t="n"/>
      <c r="E502" s="70" t="n"/>
      <c r="F502" s="70" t="n"/>
      <c r="G502" s="70" t="n"/>
      <c r="H502" s="13" t="n"/>
      <c r="I502" s="13" t="n"/>
      <c r="J502" s="13" t="n"/>
      <c r="K502" s="16">
        <f>IF($A502="","",1)</f>
        <v/>
      </c>
    </row>
    <row r="503">
      <c r="A503" s="13" t="n"/>
      <c r="B503" s="69" t="n"/>
      <c r="C503" s="13" t="n"/>
      <c r="D503" s="13" t="n"/>
      <c r="E503" s="70" t="n"/>
      <c r="F503" s="70" t="n"/>
      <c r="G503" s="70" t="n"/>
      <c r="H503" s="13" t="n"/>
      <c r="I503" s="13" t="n"/>
      <c r="J503" s="13" t="n"/>
      <c r="K503" s="16">
        <f>IF($A503="","",1)</f>
        <v/>
      </c>
    </row>
    <row r="504">
      <c r="A504" s="13" t="n"/>
      <c r="B504" s="69" t="n"/>
      <c r="C504" s="13" t="n"/>
      <c r="D504" s="13" t="n"/>
      <c r="E504" s="70" t="n"/>
      <c r="F504" s="70" t="n"/>
      <c r="G504" s="70" t="n"/>
      <c r="H504" s="13" t="n"/>
      <c r="I504" s="13" t="n"/>
      <c r="J504" s="13" t="n"/>
      <c r="K504" s="16">
        <f>IF($A504="","",1)</f>
        <v/>
      </c>
    </row>
    <row r="505">
      <c r="A505" s="13" t="n"/>
      <c r="B505" s="69" t="n"/>
      <c r="C505" s="13" t="n"/>
      <c r="D505" s="13" t="n"/>
      <c r="E505" s="70" t="n"/>
      <c r="F505" s="70" t="n"/>
      <c r="G505" s="70" t="n"/>
      <c r="H505" s="13" t="n"/>
      <c r="I505" s="13" t="n"/>
      <c r="J505" s="13" t="n"/>
      <c r="K505" s="16">
        <f>IF($A505="","",1)</f>
        <v/>
      </c>
    </row>
    <row r="506">
      <c r="A506" s="13" t="n"/>
      <c r="B506" s="69" t="n"/>
      <c r="C506" s="13" t="n"/>
      <c r="D506" s="13" t="n"/>
      <c r="E506" s="70" t="n"/>
      <c r="F506" s="70" t="n"/>
      <c r="G506" s="70" t="n"/>
      <c r="H506" s="13" t="n"/>
      <c r="I506" s="13" t="n"/>
      <c r="J506" s="13" t="n"/>
      <c r="K506" s="16">
        <f>IF($A506="","",1)</f>
        <v/>
      </c>
    </row>
    <row r="507">
      <c r="A507" s="13" t="n"/>
      <c r="B507" s="69" t="n"/>
      <c r="C507" s="13" t="n"/>
      <c r="D507" s="13" t="n"/>
      <c r="E507" s="70" t="n"/>
      <c r="F507" s="70" t="n"/>
      <c r="G507" s="70" t="n"/>
      <c r="H507" s="13" t="n"/>
      <c r="I507" s="13" t="n"/>
      <c r="J507" s="13" t="n"/>
      <c r="K507" s="16">
        <f>IF($A507="","",1)</f>
        <v/>
      </c>
    </row>
    <row r="508">
      <c r="A508" s="13" t="n"/>
      <c r="B508" s="69" t="n"/>
      <c r="C508" s="13" t="n"/>
      <c r="D508" s="13" t="n"/>
      <c r="E508" s="70" t="n"/>
      <c r="F508" s="70" t="n"/>
      <c r="G508" s="70" t="n"/>
      <c r="H508" s="13" t="n"/>
      <c r="I508" s="13" t="n"/>
      <c r="J508" s="13" t="n"/>
      <c r="K508" s="16">
        <f>IF($A508="","",1)</f>
        <v/>
      </c>
    </row>
    <row r="509">
      <c r="A509" s="13" t="n"/>
      <c r="B509" s="69" t="n"/>
      <c r="C509" s="13" t="n"/>
      <c r="D509" s="13" t="n"/>
      <c r="E509" s="70" t="n"/>
      <c r="F509" s="70" t="n"/>
      <c r="G509" s="70" t="n"/>
      <c r="H509" s="13" t="n"/>
      <c r="I509" s="13" t="n"/>
      <c r="J509" s="13" t="n"/>
      <c r="K509" s="16">
        <f>IF($A509="","",1)</f>
        <v/>
      </c>
    </row>
    <row r="510">
      <c r="A510" s="13" t="n"/>
      <c r="B510" s="69" t="n"/>
      <c r="C510" s="13" t="n"/>
      <c r="D510" s="13" t="n"/>
      <c r="E510" s="70" t="n"/>
      <c r="F510" s="70" t="n"/>
      <c r="G510" s="70" t="n"/>
      <c r="H510" s="13" t="n"/>
      <c r="I510" s="13" t="n"/>
      <c r="J510" s="13" t="n"/>
      <c r="K510" s="16">
        <f>IF($A510="","",1)</f>
        <v/>
      </c>
    </row>
    <row r="511">
      <c r="A511" s="13" t="n"/>
      <c r="B511" s="69" t="n"/>
      <c r="C511" s="13" t="n"/>
      <c r="D511" s="13" t="n"/>
      <c r="E511" s="70" t="n"/>
      <c r="F511" s="70" t="n"/>
      <c r="G511" s="70" t="n"/>
      <c r="H511" s="13" t="n"/>
      <c r="I511" s="13" t="n"/>
      <c r="J511" s="13" t="n"/>
      <c r="K511" s="16">
        <f>IF($A511="","",1)</f>
        <v/>
      </c>
    </row>
    <row r="512">
      <c r="A512" s="13" t="n"/>
      <c r="B512" s="69" t="n"/>
      <c r="C512" s="13" t="n"/>
      <c r="D512" s="13" t="n"/>
      <c r="E512" s="70" t="n"/>
      <c r="F512" s="70" t="n"/>
      <c r="G512" s="70" t="n"/>
      <c r="H512" s="13" t="n"/>
      <c r="I512" s="13" t="n"/>
      <c r="J512" s="13" t="n"/>
      <c r="K512" s="16">
        <f>IF($A512="","",1)</f>
        <v/>
      </c>
    </row>
    <row r="513">
      <c r="A513" s="13" t="n"/>
      <c r="B513" s="69" t="n"/>
      <c r="C513" s="13" t="n"/>
      <c r="D513" s="13" t="n"/>
      <c r="E513" s="70" t="n"/>
      <c r="F513" s="70" t="n"/>
      <c r="G513" s="70" t="n"/>
      <c r="H513" s="13" t="n"/>
      <c r="I513" s="13" t="n"/>
      <c r="J513" s="13" t="n"/>
      <c r="K513" s="16">
        <f>IF($A513="","",1)</f>
        <v/>
      </c>
    </row>
    <row r="514">
      <c r="A514" s="13" t="n"/>
      <c r="B514" s="69" t="n"/>
      <c r="C514" s="13" t="n"/>
      <c r="D514" s="13" t="n"/>
      <c r="E514" s="70" t="n"/>
      <c r="F514" s="70" t="n"/>
      <c r="G514" s="70" t="n"/>
      <c r="H514" s="13" t="n"/>
      <c r="I514" s="13" t="n"/>
      <c r="J514" s="13" t="n"/>
      <c r="K514" s="16">
        <f>IF($A514="","",1)</f>
        <v/>
      </c>
    </row>
    <row r="515">
      <c r="A515" s="13" t="n"/>
      <c r="B515" s="69" t="n"/>
      <c r="C515" s="13" t="n"/>
      <c r="D515" s="13" t="n"/>
      <c r="E515" s="70" t="n"/>
      <c r="F515" s="70" t="n"/>
      <c r="G515" s="70" t="n"/>
      <c r="H515" s="13" t="n"/>
      <c r="I515" s="13" t="n"/>
      <c r="J515" s="13" t="n"/>
      <c r="K515" s="16">
        <f>IF($A515="","",1)</f>
        <v/>
      </c>
    </row>
    <row r="516">
      <c r="A516" s="13" t="n"/>
      <c r="B516" s="69" t="n"/>
      <c r="C516" s="13" t="n"/>
      <c r="D516" s="13" t="n"/>
      <c r="E516" s="70" t="n"/>
      <c r="F516" s="70" t="n"/>
      <c r="G516" s="70" t="n"/>
      <c r="H516" s="13" t="n"/>
      <c r="I516" s="13" t="n"/>
      <c r="J516" s="13" t="n"/>
      <c r="K516" s="16">
        <f>IF($A516="","",1)</f>
        <v/>
      </c>
    </row>
    <row r="517">
      <c r="A517" s="13" t="n"/>
      <c r="B517" s="69" t="n"/>
      <c r="C517" s="13" t="n"/>
      <c r="D517" s="13" t="n"/>
      <c r="E517" s="70" t="n"/>
      <c r="F517" s="70" t="n"/>
      <c r="G517" s="70" t="n"/>
      <c r="H517" s="13" t="n"/>
      <c r="I517" s="13" t="n"/>
      <c r="J517" s="13" t="n"/>
      <c r="K517" s="16">
        <f>IF($A517="","",1)</f>
        <v/>
      </c>
    </row>
    <row r="518">
      <c r="A518" s="13" t="n"/>
      <c r="B518" s="69" t="n"/>
      <c r="C518" s="13" t="n"/>
      <c r="D518" s="13" t="n"/>
      <c r="E518" s="70" t="n"/>
      <c r="F518" s="70" t="n"/>
      <c r="G518" s="70" t="n"/>
      <c r="H518" s="13" t="n"/>
      <c r="I518" s="13" t="n"/>
      <c r="J518" s="13" t="n"/>
      <c r="K518" s="16">
        <f>IF($A518="","",1)</f>
        <v/>
      </c>
    </row>
    <row r="519">
      <c r="A519" s="13" t="n"/>
      <c r="B519" s="69" t="n"/>
      <c r="C519" s="13" t="n"/>
      <c r="D519" s="13" t="n"/>
      <c r="E519" s="70" t="n"/>
      <c r="F519" s="70" t="n"/>
      <c r="G519" s="70" t="n"/>
      <c r="H519" s="13" t="n"/>
      <c r="I519" s="13" t="n"/>
      <c r="J519" s="13" t="n"/>
      <c r="K519" s="16">
        <f>IF($A519="","",1)</f>
        <v/>
      </c>
    </row>
    <row r="520">
      <c r="A520" s="13" t="n"/>
      <c r="B520" s="69" t="n"/>
      <c r="C520" s="13" t="n"/>
      <c r="D520" s="13" t="n"/>
      <c r="E520" s="70" t="n"/>
      <c r="F520" s="70" t="n"/>
      <c r="G520" s="70" t="n"/>
      <c r="H520" s="13" t="n"/>
      <c r="I520" s="13" t="n"/>
      <c r="J520" s="13" t="n"/>
      <c r="K520" s="16">
        <f>IF($A520="","",1)</f>
        <v/>
      </c>
    </row>
    <row r="521">
      <c r="A521" s="13" t="n"/>
      <c r="B521" s="69" t="n"/>
      <c r="C521" s="13" t="n"/>
      <c r="D521" s="13" t="n"/>
      <c r="E521" s="70" t="n"/>
      <c r="F521" s="70" t="n"/>
      <c r="G521" s="70" t="n"/>
      <c r="H521" s="13" t="n"/>
      <c r="I521" s="13" t="n"/>
      <c r="J521" s="13" t="n"/>
      <c r="K521" s="16">
        <f>IF($A521="","",1)</f>
        <v/>
      </c>
    </row>
    <row r="522">
      <c r="A522" s="13" t="n"/>
      <c r="B522" s="69" t="n"/>
      <c r="C522" s="13" t="n"/>
      <c r="D522" s="13" t="n"/>
      <c r="E522" s="70" t="n"/>
      <c r="F522" s="70" t="n"/>
      <c r="G522" s="70" t="n"/>
      <c r="H522" s="13" t="n"/>
      <c r="I522" s="13" t="n"/>
      <c r="J522" s="13" t="n"/>
      <c r="K522" s="16">
        <f>IF($A522="","",1)</f>
        <v/>
      </c>
    </row>
    <row r="523">
      <c r="A523" s="13" t="n"/>
      <c r="B523" s="69" t="n"/>
      <c r="C523" s="13" t="n"/>
      <c r="D523" s="13" t="n"/>
      <c r="E523" s="70" t="n"/>
      <c r="F523" s="70" t="n"/>
      <c r="G523" s="70" t="n"/>
      <c r="H523" s="13" t="n"/>
      <c r="I523" s="13" t="n"/>
      <c r="J523" s="13" t="n"/>
      <c r="K523" s="16">
        <f>IF($A523="","",1)</f>
        <v/>
      </c>
    </row>
    <row r="524">
      <c r="A524" s="13" t="n"/>
      <c r="B524" s="69" t="n"/>
      <c r="C524" s="13" t="n"/>
      <c r="D524" s="13" t="n"/>
      <c r="E524" s="70" t="n"/>
      <c r="F524" s="70" t="n"/>
      <c r="G524" s="70" t="n"/>
      <c r="H524" s="13" t="n"/>
      <c r="I524" s="13" t="n"/>
      <c r="J524" s="13" t="n"/>
      <c r="K524" s="16">
        <f>IF($A524="","",1)</f>
        <v/>
      </c>
    </row>
    <row r="525">
      <c r="A525" s="13" t="n"/>
      <c r="B525" s="69" t="n"/>
      <c r="C525" s="13" t="n"/>
      <c r="D525" s="13" t="n"/>
      <c r="E525" s="70" t="n"/>
      <c r="F525" s="70" t="n"/>
      <c r="G525" s="70" t="n"/>
      <c r="H525" s="13" t="n"/>
      <c r="I525" s="13" t="n"/>
      <c r="J525" s="13" t="n"/>
      <c r="K525" s="16">
        <f>IF($A525="","",1)</f>
        <v/>
      </c>
    </row>
    <row r="526">
      <c r="A526" s="13" t="n"/>
      <c r="B526" s="69" t="n"/>
      <c r="C526" s="13" t="n"/>
      <c r="D526" s="13" t="n"/>
      <c r="E526" s="70" t="n"/>
      <c r="F526" s="70" t="n"/>
      <c r="G526" s="70" t="n"/>
      <c r="H526" s="13" t="n"/>
      <c r="I526" s="13" t="n"/>
      <c r="J526" s="13" t="n"/>
      <c r="K526" s="16">
        <f>IF($A526="","",1)</f>
        <v/>
      </c>
    </row>
    <row r="527">
      <c r="A527" s="13" t="n"/>
      <c r="B527" s="69" t="n"/>
      <c r="C527" s="13" t="n"/>
      <c r="D527" s="13" t="n"/>
      <c r="E527" s="70" t="n"/>
      <c r="F527" s="70" t="n"/>
      <c r="G527" s="70" t="n"/>
      <c r="H527" s="13" t="n"/>
      <c r="I527" s="13" t="n"/>
      <c r="J527" s="13" t="n"/>
      <c r="K527" s="16">
        <f>IF($A527="","",1)</f>
        <v/>
      </c>
    </row>
    <row r="528">
      <c r="A528" s="13" t="n"/>
      <c r="B528" s="69" t="n"/>
      <c r="C528" s="13" t="n"/>
      <c r="D528" s="13" t="n"/>
      <c r="E528" s="70" t="n"/>
      <c r="F528" s="70" t="n"/>
      <c r="G528" s="70" t="n"/>
      <c r="H528" s="13" t="n"/>
      <c r="I528" s="13" t="n"/>
      <c r="J528" s="13" t="n"/>
      <c r="K528" s="16">
        <f>IF($A528="","",1)</f>
        <v/>
      </c>
    </row>
    <row r="529">
      <c r="A529" s="13" t="n"/>
      <c r="B529" s="69" t="n"/>
      <c r="C529" s="13" t="n"/>
      <c r="D529" s="13" t="n"/>
      <c r="E529" s="70" t="n"/>
      <c r="F529" s="70" t="n"/>
      <c r="G529" s="70" t="n"/>
      <c r="H529" s="13" t="n"/>
      <c r="I529" s="13" t="n"/>
      <c r="J529" s="13" t="n"/>
      <c r="K529" s="16">
        <f>IF($A529="","",1)</f>
        <v/>
      </c>
    </row>
    <row r="530">
      <c r="A530" s="13" t="n"/>
      <c r="B530" s="69" t="n"/>
      <c r="C530" s="13" t="n"/>
      <c r="D530" s="13" t="n"/>
      <c r="E530" s="70" t="n"/>
      <c r="F530" s="70" t="n"/>
      <c r="G530" s="70" t="n"/>
      <c r="H530" s="13" t="n"/>
      <c r="I530" s="13" t="n"/>
      <c r="J530" s="13" t="n"/>
      <c r="K530" s="16">
        <f>IF($A530="","",1)</f>
        <v/>
      </c>
    </row>
    <row r="531">
      <c r="A531" s="13" t="n"/>
      <c r="B531" s="69" t="n"/>
      <c r="C531" s="13" t="n"/>
      <c r="D531" s="13" t="n"/>
      <c r="E531" s="70" t="n"/>
      <c r="F531" s="70" t="n"/>
      <c r="G531" s="70" t="n"/>
      <c r="H531" s="13" t="n"/>
      <c r="I531" s="13" t="n"/>
      <c r="J531" s="13" t="n"/>
      <c r="K531" s="16">
        <f>IF($A531="","",1)</f>
        <v/>
      </c>
    </row>
    <row r="532">
      <c r="A532" s="13" t="n"/>
      <c r="B532" s="69" t="n"/>
      <c r="C532" s="13" t="n"/>
      <c r="D532" s="13" t="n"/>
      <c r="E532" s="70" t="n"/>
      <c r="F532" s="70" t="n"/>
      <c r="G532" s="70" t="n"/>
      <c r="H532" s="13" t="n"/>
      <c r="I532" s="13" t="n"/>
      <c r="J532" s="13" t="n"/>
      <c r="K532" s="16">
        <f>IF($A532="","",1)</f>
        <v/>
      </c>
    </row>
    <row r="533">
      <c r="A533" s="13" t="n"/>
      <c r="B533" s="69" t="n"/>
      <c r="C533" s="13" t="n"/>
      <c r="D533" s="13" t="n"/>
      <c r="E533" s="70" t="n"/>
      <c r="F533" s="70" t="n"/>
      <c r="G533" s="70" t="n"/>
      <c r="H533" s="13" t="n"/>
      <c r="I533" s="13" t="n"/>
      <c r="J533" s="13" t="n"/>
      <c r="K533" s="16">
        <f>IF($A533="","",1)</f>
        <v/>
      </c>
    </row>
    <row r="534">
      <c r="A534" s="13" t="n"/>
      <c r="B534" s="69" t="n"/>
      <c r="C534" s="13" t="n"/>
      <c r="D534" s="13" t="n"/>
      <c r="E534" s="70" t="n"/>
      <c r="F534" s="70" t="n"/>
      <c r="G534" s="70" t="n"/>
      <c r="H534" s="13" t="n"/>
      <c r="I534" s="13" t="n"/>
      <c r="J534" s="13" t="n"/>
      <c r="K534" s="16">
        <f>IF($A534="","",1)</f>
        <v/>
      </c>
    </row>
    <row r="535">
      <c r="A535" s="13" t="n"/>
      <c r="B535" s="69" t="n"/>
      <c r="C535" s="13" t="n"/>
      <c r="D535" s="13" t="n"/>
      <c r="E535" s="70" t="n"/>
      <c r="F535" s="70" t="n"/>
      <c r="G535" s="70" t="n"/>
      <c r="H535" s="13" t="n"/>
      <c r="I535" s="13" t="n"/>
      <c r="J535" s="13" t="n"/>
      <c r="K535" s="16">
        <f>IF($A535="","",1)</f>
        <v/>
      </c>
    </row>
    <row r="536">
      <c r="A536" s="13" t="n"/>
      <c r="B536" s="69" t="n"/>
      <c r="C536" s="13" t="n"/>
      <c r="D536" s="13" t="n"/>
      <c r="E536" s="70" t="n"/>
      <c r="F536" s="70" t="n"/>
      <c r="G536" s="70" t="n"/>
      <c r="H536" s="13" t="n"/>
      <c r="I536" s="13" t="n"/>
      <c r="J536" s="13" t="n"/>
      <c r="K536" s="16">
        <f>IF($A536="","",1)</f>
        <v/>
      </c>
    </row>
    <row r="537">
      <c r="A537" s="13" t="n"/>
      <c r="B537" s="69" t="n"/>
      <c r="C537" s="13" t="n"/>
      <c r="D537" s="13" t="n"/>
      <c r="E537" s="70" t="n"/>
      <c r="F537" s="70" t="n"/>
      <c r="G537" s="70" t="n"/>
      <c r="H537" s="13" t="n"/>
      <c r="I537" s="13" t="n"/>
      <c r="J537" s="13" t="n"/>
      <c r="K537" s="16">
        <f>IF($A537="","",1)</f>
        <v/>
      </c>
    </row>
    <row r="538">
      <c r="A538" s="13" t="n"/>
      <c r="B538" s="69" t="n"/>
      <c r="C538" s="13" t="n"/>
      <c r="D538" s="13" t="n"/>
      <c r="E538" s="70" t="n"/>
      <c r="F538" s="70" t="n"/>
      <c r="G538" s="70" t="n"/>
      <c r="H538" s="13" t="n"/>
      <c r="I538" s="13" t="n"/>
      <c r="J538" s="13" t="n"/>
      <c r="K538" s="16">
        <f>IF($A538="","",1)</f>
        <v/>
      </c>
    </row>
    <row r="539">
      <c r="A539" s="13" t="n"/>
      <c r="B539" s="69" t="n"/>
      <c r="C539" s="13" t="n"/>
      <c r="D539" s="13" t="n"/>
      <c r="E539" s="70" t="n"/>
      <c r="F539" s="70" t="n"/>
      <c r="G539" s="70" t="n"/>
      <c r="H539" s="13" t="n"/>
      <c r="I539" s="13" t="n"/>
      <c r="J539" s="13" t="n"/>
      <c r="K539" s="16">
        <f>IF($A539="","",1)</f>
        <v/>
      </c>
    </row>
    <row r="540">
      <c r="A540" s="13" t="n"/>
      <c r="B540" s="69" t="n"/>
      <c r="C540" s="13" t="n"/>
      <c r="D540" s="13" t="n"/>
      <c r="E540" s="70" t="n"/>
      <c r="F540" s="70" t="n"/>
      <c r="G540" s="70" t="n"/>
      <c r="H540" s="13" t="n"/>
      <c r="I540" s="13" t="n"/>
      <c r="J540" s="13" t="n"/>
      <c r="K540" s="16">
        <f>IF($A540="","",1)</f>
        <v/>
      </c>
    </row>
    <row r="541">
      <c r="A541" s="13" t="n"/>
      <c r="B541" s="69" t="n"/>
      <c r="C541" s="13" t="n"/>
      <c r="D541" s="13" t="n"/>
      <c r="E541" s="70" t="n"/>
      <c r="F541" s="70" t="n"/>
      <c r="G541" s="70" t="n"/>
      <c r="H541" s="13" t="n"/>
      <c r="I541" s="13" t="n"/>
      <c r="J541" s="13" t="n"/>
      <c r="K541" s="16">
        <f>IF($A541="","",1)</f>
        <v/>
      </c>
    </row>
    <row r="542">
      <c r="A542" s="13" t="n"/>
      <c r="B542" s="69" t="n"/>
      <c r="C542" s="13" t="n"/>
      <c r="D542" s="13" t="n"/>
      <c r="E542" s="70" t="n"/>
      <c r="F542" s="70" t="n"/>
      <c r="G542" s="70" t="n"/>
      <c r="H542" s="13" t="n"/>
      <c r="I542" s="13" t="n"/>
      <c r="J542" s="13" t="n"/>
      <c r="K542" s="16">
        <f>IF($A542="","",1)</f>
        <v/>
      </c>
    </row>
    <row r="543">
      <c r="A543" s="13" t="n"/>
      <c r="B543" s="69" t="n"/>
      <c r="C543" s="13" t="n"/>
      <c r="D543" s="13" t="n"/>
      <c r="E543" s="70" t="n"/>
      <c r="F543" s="70" t="n"/>
      <c r="G543" s="70" t="n"/>
      <c r="H543" s="13" t="n"/>
      <c r="I543" s="13" t="n"/>
      <c r="J543" s="13" t="n"/>
      <c r="K543" s="16">
        <f>IF($A543="","",1)</f>
        <v/>
      </c>
    </row>
    <row r="544">
      <c r="A544" s="13" t="n"/>
      <c r="B544" s="69" t="n"/>
      <c r="C544" s="13" t="n"/>
      <c r="D544" s="13" t="n"/>
      <c r="E544" s="70" t="n"/>
      <c r="F544" s="70" t="n"/>
      <c r="G544" s="70" t="n"/>
      <c r="H544" s="13" t="n"/>
      <c r="I544" s="13" t="n"/>
      <c r="J544" s="13" t="n"/>
      <c r="K544" s="16">
        <f>IF($A544="","",1)</f>
        <v/>
      </c>
    </row>
    <row r="545">
      <c r="A545" s="13" t="n"/>
      <c r="B545" s="69" t="n"/>
      <c r="C545" s="13" t="n"/>
      <c r="D545" s="13" t="n"/>
      <c r="E545" s="70" t="n"/>
      <c r="F545" s="70" t="n"/>
      <c r="G545" s="70" t="n"/>
      <c r="H545" s="13" t="n"/>
      <c r="I545" s="13" t="n"/>
      <c r="J545" s="13" t="n"/>
      <c r="K545" s="16">
        <f>IF($A545="","",1)</f>
        <v/>
      </c>
    </row>
    <row r="546">
      <c r="A546" s="13" t="n"/>
      <c r="B546" s="69" t="n"/>
      <c r="C546" s="13" t="n"/>
      <c r="D546" s="13" t="n"/>
      <c r="E546" s="70" t="n"/>
      <c r="F546" s="70" t="n"/>
      <c r="G546" s="70" t="n"/>
      <c r="H546" s="13" t="n"/>
      <c r="I546" s="13" t="n"/>
      <c r="J546" s="13" t="n"/>
      <c r="K546" s="16">
        <f>IF($A546="","",1)</f>
        <v/>
      </c>
    </row>
    <row r="547">
      <c r="A547" s="13" t="n"/>
      <c r="B547" s="69" t="n"/>
      <c r="C547" s="13" t="n"/>
      <c r="D547" s="13" t="n"/>
      <c r="E547" s="70" t="n"/>
      <c r="F547" s="70" t="n"/>
      <c r="G547" s="70" t="n"/>
      <c r="H547" s="13" t="n"/>
      <c r="I547" s="13" t="n"/>
      <c r="J547" s="13" t="n"/>
      <c r="K547" s="16">
        <f>IF($A547="","",1)</f>
        <v/>
      </c>
    </row>
    <row r="548">
      <c r="A548" s="13" t="n"/>
      <c r="B548" s="69" t="n"/>
      <c r="C548" s="13" t="n"/>
      <c r="D548" s="13" t="n"/>
      <c r="E548" s="70" t="n"/>
      <c r="F548" s="70" t="n"/>
      <c r="G548" s="70" t="n"/>
      <c r="H548" s="13" t="n"/>
      <c r="I548" s="13" t="n"/>
      <c r="J548" s="13" t="n"/>
      <c r="K548" s="16">
        <f>IF($A548="","",1)</f>
        <v/>
      </c>
    </row>
    <row r="549">
      <c r="A549" s="13" t="n"/>
      <c r="B549" s="69" t="n"/>
      <c r="C549" s="13" t="n"/>
      <c r="D549" s="13" t="n"/>
      <c r="E549" s="70" t="n"/>
      <c r="F549" s="70" t="n"/>
      <c r="G549" s="70" t="n"/>
      <c r="H549" s="13" t="n"/>
      <c r="I549" s="13" t="n"/>
      <c r="J549" s="13" t="n"/>
      <c r="K549" s="16">
        <f>IF($A549="","",1)</f>
        <v/>
      </c>
    </row>
    <row r="550">
      <c r="A550" s="13" t="n"/>
      <c r="B550" s="69" t="n"/>
      <c r="C550" s="13" t="n"/>
      <c r="D550" s="13" t="n"/>
      <c r="E550" s="70" t="n"/>
      <c r="F550" s="70" t="n"/>
      <c r="G550" s="70" t="n"/>
      <c r="H550" s="13" t="n"/>
      <c r="I550" s="13" t="n"/>
      <c r="J550" s="13" t="n"/>
      <c r="K550" s="16">
        <f>IF($A550="","",1)</f>
        <v/>
      </c>
    </row>
    <row r="551">
      <c r="A551" s="13" t="n"/>
      <c r="B551" s="69" t="n"/>
      <c r="C551" s="13" t="n"/>
      <c r="D551" s="13" t="n"/>
      <c r="E551" s="70" t="n"/>
      <c r="F551" s="70" t="n"/>
      <c r="G551" s="70" t="n"/>
      <c r="H551" s="13" t="n"/>
      <c r="I551" s="13" t="n"/>
      <c r="J551" s="13" t="n"/>
      <c r="K551" s="16">
        <f>IF($A551="","",1)</f>
        <v/>
      </c>
    </row>
    <row r="552">
      <c r="A552" s="13" t="n"/>
      <c r="B552" s="69" t="n"/>
      <c r="C552" s="13" t="n"/>
      <c r="D552" s="13" t="n"/>
      <c r="E552" s="70" t="n"/>
      <c r="F552" s="70" t="n"/>
      <c r="G552" s="70" t="n"/>
      <c r="H552" s="13" t="n"/>
      <c r="I552" s="13" t="n"/>
      <c r="J552" s="13" t="n"/>
      <c r="K552" s="16">
        <f>IF($A552="","",1)</f>
        <v/>
      </c>
    </row>
    <row r="553">
      <c r="A553" s="13" t="n"/>
      <c r="B553" s="69" t="n"/>
      <c r="C553" s="13" t="n"/>
      <c r="D553" s="13" t="n"/>
      <c r="E553" s="70" t="n"/>
      <c r="F553" s="70" t="n"/>
      <c r="G553" s="70" t="n"/>
      <c r="H553" s="13" t="n"/>
      <c r="I553" s="13" t="n"/>
      <c r="J553" s="13" t="n"/>
      <c r="K553" s="16">
        <f>IF($A553="","",1)</f>
        <v/>
      </c>
    </row>
    <row r="554">
      <c r="A554" s="13" t="n"/>
      <c r="B554" s="69" t="n"/>
      <c r="C554" s="13" t="n"/>
      <c r="D554" s="13" t="n"/>
      <c r="E554" s="70" t="n"/>
      <c r="F554" s="70" t="n"/>
      <c r="G554" s="70" t="n"/>
      <c r="H554" s="13" t="n"/>
      <c r="I554" s="13" t="n"/>
      <c r="J554" s="13" t="n"/>
      <c r="K554" s="16">
        <f>IF($A554="","",1)</f>
        <v/>
      </c>
    </row>
    <row r="555">
      <c r="A555" s="13" t="n"/>
      <c r="B555" s="69" t="n"/>
      <c r="C555" s="13" t="n"/>
      <c r="D555" s="13" t="n"/>
      <c r="E555" s="70" t="n"/>
      <c r="F555" s="70" t="n"/>
      <c r="G555" s="70" t="n"/>
      <c r="H555" s="13" t="n"/>
      <c r="I555" s="13" t="n"/>
      <c r="J555" s="13" t="n"/>
      <c r="K555" s="16">
        <f>IF($A555="","",1)</f>
        <v/>
      </c>
    </row>
    <row r="556">
      <c r="A556" s="13" t="n"/>
      <c r="B556" s="69" t="n"/>
      <c r="C556" s="13" t="n"/>
      <c r="D556" s="13" t="n"/>
      <c r="E556" s="70" t="n"/>
      <c r="F556" s="70" t="n"/>
      <c r="G556" s="70" t="n"/>
      <c r="H556" s="13" t="n"/>
      <c r="I556" s="13" t="n"/>
      <c r="J556" s="13" t="n"/>
      <c r="K556" s="16">
        <f>IF($A556="","",1)</f>
        <v/>
      </c>
    </row>
    <row r="557">
      <c r="A557" s="13" t="n"/>
      <c r="B557" s="69" t="n"/>
      <c r="C557" s="13" t="n"/>
      <c r="D557" s="13" t="n"/>
      <c r="E557" s="70" t="n"/>
      <c r="F557" s="70" t="n"/>
      <c r="G557" s="70" t="n"/>
      <c r="H557" s="13" t="n"/>
      <c r="I557" s="13" t="n"/>
      <c r="J557" s="13" t="n"/>
      <c r="K557" s="16">
        <f>IF($A557="","",1)</f>
        <v/>
      </c>
    </row>
    <row r="558">
      <c r="A558" s="13" t="n"/>
      <c r="B558" s="69" t="n"/>
      <c r="C558" s="13" t="n"/>
      <c r="D558" s="13" t="n"/>
      <c r="E558" s="70" t="n"/>
      <c r="F558" s="70" t="n"/>
      <c r="G558" s="70" t="n"/>
      <c r="H558" s="13" t="n"/>
      <c r="I558" s="13" t="n"/>
      <c r="J558" s="13" t="n"/>
      <c r="K558" s="16">
        <f>IF($A558="","",1)</f>
        <v/>
      </c>
    </row>
    <row r="559">
      <c r="A559" s="13" t="n"/>
      <c r="B559" s="69" t="n"/>
      <c r="C559" s="13" t="n"/>
      <c r="D559" s="13" t="n"/>
      <c r="E559" s="70" t="n"/>
      <c r="F559" s="70" t="n"/>
      <c r="G559" s="70" t="n"/>
      <c r="H559" s="13" t="n"/>
      <c r="I559" s="13" t="n"/>
      <c r="J559" s="13" t="n"/>
      <c r="K559" s="16">
        <f>IF($A559="","",1)</f>
        <v/>
      </c>
    </row>
    <row r="560">
      <c r="A560" s="13" t="n"/>
      <c r="B560" s="69" t="n"/>
      <c r="C560" s="13" t="n"/>
      <c r="D560" s="13" t="n"/>
      <c r="E560" s="70" t="n"/>
      <c r="F560" s="70" t="n"/>
      <c r="G560" s="70" t="n"/>
      <c r="H560" s="13" t="n"/>
      <c r="I560" s="13" t="n"/>
      <c r="J560" s="13" t="n"/>
      <c r="K560" s="16">
        <f>IF($A560="","",1)</f>
        <v/>
      </c>
    </row>
    <row r="561">
      <c r="A561" s="13" t="n"/>
      <c r="B561" s="69" t="n"/>
      <c r="C561" s="13" t="n"/>
      <c r="D561" s="13" t="n"/>
      <c r="E561" s="70" t="n"/>
      <c r="F561" s="70" t="n"/>
      <c r="G561" s="70" t="n"/>
      <c r="H561" s="13" t="n"/>
      <c r="I561" s="13" t="n"/>
      <c r="J561" s="13" t="n"/>
      <c r="K561" s="16">
        <f>IF($A561="","",1)</f>
        <v/>
      </c>
    </row>
    <row r="562">
      <c r="A562" s="13" t="n"/>
      <c r="B562" s="69" t="n"/>
      <c r="C562" s="13" t="n"/>
      <c r="D562" s="13" t="n"/>
      <c r="E562" s="70" t="n"/>
      <c r="F562" s="70" t="n"/>
      <c r="G562" s="70" t="n"/>
      <c r="H562" s="13" t="n"/>
      <c r="I562" s="13" t="n"/>
      <c r="J562" s="13" t="n"/>
      <c r="K562" s="16">
        <f>IF($A562="","",1)</f>
        <v/>
      </c>
    </row>
    <row r="563">
      <c r="A563" s="13" t="n"/>
      <c r="B563" s="69" t="n"/>
      <c r="C563" s="13" t="n"/>
      <c r="D563" s="13" t="n"/>
      <c r="E563" s="70" t="n"/>
      <c r="F563" s="70" t="n"/>
      <c r="G563" s="70" t="n"/>
      <c r="H563" s="13" t="n"/>
      <c r="I563" s="13" t="n"/>
      <c r="J563" s="13" t="n"/>
      <c r="K563" s="16">
        <f>IF($A563="","",1)</f>
        <v/>
      </c>
    </row>
    <row r="564">
      <c r="A564" s="13" t="n"/>
      <c r="B564" s="69" t="n"/>
      <c r="C564" s="13" t="n"/>
      <c r="D564" s="13" t="n"/>
      <c r="E564" s="70" t="n"/>
      <c r="F564" s="70" t="n"/>
      <c r="G564" s="70" t="n"/>
      <c r="H564" s="13" t="n"/>
      <c r="I564" s="13" t="n"/>
      <c r="J564" s="13" t="n"/>
      <c r="K564" s="16">
        <f>IF($A564="","",1)</f>
        <v/>
      </c>
    </row>
    <row r="565">
      <c r="A565" s="13" t="n"/>
      <c r="B565" s="69" t="n"/>
      <c r="C565" s="13" t="n"/>
      <c r="D565" s="13" t="n"/>
      <c r="E565" s="70" t="n"/>
      <c r="F565" s="70" t="n"/>
      <c r="G565" s="70" t="n"/>
      <c r="H565" s="13" t="n"/>
      <c r="I565" s="13" t="n"/>
      <c r="J565" s="13" t="n"/>
      <c r="K565" s="16">
        <f>IF($A565="","",1)</f>
        <v/>
      </c>
    </row>
    <row r="566">
      <c r="A566" s="13" t="n"/>
      <c r="B566" s="69" t="n"/>
      <c r="C566" s="13" t="n"/>
      <c r="D566" s="13" t="n"/>
      <c r="E566" s="70" t="n"/>
      <c r="F566" s="70" t="n"/>
      <c r="G566" s="70" t="n"/>
      <c r="H566" s="13" t="n"/>
      <c r="I566" s="13" t="n"/>
      <c r="J566" s="13" t="n"/>
      <c r="K566" s="16">
        <f>IF($A566="","",1)</f>
        <v/>
      </c>
    </row>
    <row r="567">
      <c r="A567" s="13" t="n"/>
      <c r="B567" s="69" t="n"/>
      <c r="C567" s="13" t="n"/>
      <c r="D567" s="13" t="n"/>
      <c r="E567" s="70" t="n"/>
      <c r="F567" s="70" t="n"/>
      <c r="G567" s="70" t="n"/>
      <c r="H567" s="13" t="n"/>
      <c r="I567" s="13" t="n"/>
      <c r="J567" s="13" t="n"/>
      <c r="K567" s="16">
        <f>IF($A567="","",1)</f>
        <v/>
      </c>
    </row>
    <row r="568">
      <c r="A568" s="13" t="n"/>
      <c r="B568" s="69" t="n"/>
      <c r="C568" s="13" t="n"/>
      <c r="D568" s="13" t="n"/>
      <c r="E568" s="70" t="n"/>
      <c r="F568" s="70" t="n"/>
      <c r="G568" s="70" t="n"/>
      <c r="H568" s="13" t="n"/>
      <c r="I568" s="13" t="n"/>
      <c r="J568" s="13" t="n"/>
      <c r="K568" s="16">
        <f>IF($A568="","",1)</f>
        <v/>
      </c>
    </row>
    <row r="569">
      <c r="A569" s="13" t="n"/>
      <c r="B569" s="69" t="n"/>
      <c r="C569" s="13" t="n"/>
      <c r="D569" s="13" t="n"/>
      <c r="E569" s="70" t="n"/>
      <c r="F569" s="70" t="n"/>
      <c r="G569" s="70" t="n"/>
      <c r="H569" s="13" t="n"/>
      <c r="I569" s="13" t="n"/>
      <c r="J569" s="13" t="n"/>
      <c r="K569" s="16">
        <f>IF($A569="","",1)</f>
        <v/>
      </c>
    </row>
    <row r="570">
      <c r="A570" s="13" t="n"/>
      <c r="B570" s="69" t="n"/>
      <c r="C570" s="13" t="n"/>
      <c r="D570" s="13" t="n"/>
      <c r="E570" s="70" t="n"/>
      <c r="F570" s="70" t="n"/>
      <c r="G570" s="70" t="n"/>
      <c r="H570" s="13" t="n"/>
      <c r="I570" s="13" t="n"/>
      <c r="J570" s="13" t="n"/>
      <c r="K570" s="16">
        <f>IF($A570="","",1)</f>
        <v/>
      </c>
    </row>
    <row r="571">
      <c r="A571" s="13" t="n"/>
      <c r="B571" s="69" t="n"/>
      <c r="C571" s="13" t="n"/>
      <c r="D571" s="13" t="n"/>
      <c r="E571" s="70" t="n"/>
      <c r="F571" s="70" t="n"/>
      <c r="G571" s="70" t="n"/>
      <c r="H571" s="13" t="n"/>
      <c r="I571" s="13" t="n"/>
      <c r="J571" s="13" t="n"/>
      <c r="K571" s="16">
        <f>IF($A571="","",1)</f>
        <v/>
      </c>
    </row>
    <row r="572">
      <c r="A572" s="13" t="n"/>
      <c r="B572" s="69" t="n"/>
      <c r="C572" s="13" t="n"/>
      <c r="D572" s="13" t="n"/>
      <c r="E572" s="70" t="n"/>
      <c r="F572" s="70" t="n"/>
      <c r="G572" s="70" t="n"/>
      <c r="H572" s="13" t="n"/>
      <c r="I572" s="13" t="n"/>
      <c r="J572" s="13" t="n"/>
      <c r="K572" s="16">
        <f>IF($A572="","",1)</f>
        <v/>
      </c>
    </row>
    <row r="573">
      <c r="A573" s="13" t="n"/>
      <c r="B573" s="69" t="n"/>
      <c r="C573" s="13" t="n"/>
      <c r="D573" s="13" t="n"/>
      <c r="E573" s="70" t="n"/>
      <c r="F573" s="70" t="n"/>
      <c r="G573" s="70" t="n"/>
      <c r="H573" s="13" t="n"/>
      <c r="I573" s="13" t="n"/>
      <c r="J573" s="13" t="n"/>
      <c r="K573" s="16">
        <f>IF($A573="","",1)</f>
        <v/>
      </c>
    </row>
    <row r="574">
      <c r="A574" s="13" t="n"/>
      <c r="B574" s="69" t="n"/>
      <c r="C574" s="13" t="n"/>
      <c r="D574" s="13" t="n"/>
      <c r="E574" s="70" t="n"/>
      <c r="F574" s="70" t="n"/>
      <c r="G574" s="70" t="n"/>
      <c r="H574" s="13" t="n"/>
      <c r="I574" s="13" t="n"/>
      <c r="J574" s="13" t="n"/>
      <c r="K574" s="16">
        <f>IF($A574="","",1)</f>
        <v/>
      </c>
    </row>
    <row r="575">
      <c r="A575" s="13" t="n"/>
      <c r="B575" s="69" t="n"/>
      <c r="C575" s="13" t="n"/>
      <c r="D575" s="13" t="n"/>
      <c r="E575" s="70" t="n"/>
      <c r="F575" s="70" t="n"/>
      <c r="G575" s="70" t="n"/>
      <c r="H575" s="13" t="n"/>
      <c r="I575" s="13" t="n"/>
      <c r="J575" s="13" t="n"/>
      <c r="K575" s="16">
        <f>IF($A575="","",1)</f>
        <v/>
      </c>
    </row>
    <row r="576">
      <c r="A576" s="13" t="n"/>
      <c r="B576" s="69" t="n"/>
      <c r="C576" s="13" t="n"/>
      <c r="D576" s="13" t="n"/>
      <c r="E576" s="70" t="n"/>
      <c r="F576" s="70" t="n"/>
      <c r="G576" s="70" t="n"/>
      <c r="H576" s="13" t="n"/>
      <c r="I576" s="13" t="n"/>
      <c r="J576" s="13" t="n"/>
      <c r="K576" s="16">
        <f>IF($A576="","",1)</f>
        <v/>
      </c>
    </row>
    <row r="577">
      <c r="A577" s="13" t="n"/>
      <c r="B577" s="69" t="n"/>
      <c r="C577" s="13" t="n"/>
      <c r="D577" s="13" t="n"/>
      <c r="E577" s="70" t="n"/>
      <c r="F577" s="70" t="n"/>
      <c r="G577" s="70" t="n"/>
      <c r="H577" s="13" t="n"/>
      <c r="I577" s="13" t="n"/>
      <c r="J577" s="13" t="n"/>
      <c r="K577" s="16">
        <f>IF($A577="","",1)</f>
        <v/>
      </c>
    </row>
    <row r="578">
      <c r="A578" s="13" t="n"/>
      <c r="B578" s="69" t="n"/>
      <c r="C578" s="13" t="n"/>
      <c r="D578" s="13" t="n"/>
      <c r="E578" s="70" t="n"/>
      <c r="F578" s="70" t="n"/>
      <c r="G578" s="70" t="n"/>
      <c r="H578" s="13" t="n"/>
      <c r="I578" s="13" t="n"/>
      <c r="J578" s="13" t="n"/>
      <c r="K578" s="16">
        <f>IF($A578="","",1)</f>
        <v/>
      </c>
    </row>
    <row r="579">
      <c r="A579" s="13" t="n"/>
      <c r="B579" s="69" t="n"/>
      <c r="C579" s="13" t="n"/>
      <c r="D579" s="13" t="n"/>
      <c r="E579" s="70" t="n"/>
      <c r="F579" s="70" t="n"/>
      <c r="G579" s="70" t="n"/>
      <c r="H579" s="13" t="n"/>
      <c r="I579" s="13" t="n"/>
      <c r="J579" s="13" t="n"/>
      <c r="K579" s="16">
        <f>IF($A579="","",1)</f>
        <v/>
      </c>
    </row>
    <row r="580">
      <c r="A580" s="13" t="n"/>
      <c r="B580" s="69" t="n"/>
      <c r="C580" s="13" t="n"/>
      <c r="D580" s="13" t="n"/>
      <c r="E580" s="70" t="n"/>
      <c r="F580" s="70" t="n"/>
      <c r="G580" s="70" t="n"/>
      <c r="H580" s="13" t="n"/>
      <c r="I580" s="13" t="n"/>
      <c r="J580" s="13" t="n"/>
      <c r="K580" s="16">
        <f>IF($A580="","",1)</f>
        <v/>
      </c>
    </row>
    <row r="581">
      <c r="A581" s="13" t="n"/>
      <c r="B581" s="69" t="n"/>
      <c r="C581" s="13" t="n"/>
      <c r="D581" s="13" t="n"/>
      <c r="E581" s="70" t="n"/>
      <c r="F581" s="70" t="n"/>
      <c r="G581" s="70" t="n"/>
      <c r="H581" s="13" t="n"/>
      <c r="I581" s="13" t="n"/>
      <c r="J581" s="13" t="n"/>
      <c r="K581" s="16">
        <f>IF($A581="","",1)</f>
        <v/>
      </c>
    </row>
    <row r="582">
      <c r="A582" s="13" t="n"/>
      <c r="B582" s="69" t="n"/>
      <c r="C582" s="13" t="n"/>
      <c r="D582" s="13" t="n"/>
      <c r="E582" s="70" t="n"/>
      <c r="F582" s="70" t="n"/>
      <c r="G582" s="70" t="n"/>
      <c r="H582" s="13" t="n"/>
      <c r="I582" s="13" t="n"/>
      <c r="J582" s="13" t="n"/>
      <c r="K582" s="16">
        <f>IF($A582="","",1)</f>
        <v/>
      </c>
    </row>
    <row r="583">
      <c r="A583" s="13" t="n"/>
      <c r="B583" s="69" t="n"/>
      <c r="C583" s="13" t="n"/>
      <c r="D583" s="13" t="n"/>
      <c r="E583" s="70" t="n"/>
      <c r="F583" s="70" t="n"/>
      <c r="G583" s="70" t="n"/>
      <c r="H583" s="13" t="n"/>
      <c r="I583" s="13" t="n"/>
      <c r="J583" s="13" t="n"/>
      <c r="K583" s="16">
        <f>IF($A583="","",1)</f>
        <v/>
      </c>
    </row>
    <row r="584">
      <c r="A584" s="13" t="n"/>
      <c r="B584" s="69" t="n"/>
      <c r="C584" s="13" t="n"/>
      <c r="D584" s="13" t="n"/>
      <c r="E584" s="70" t="n"/>
      <c r="F584" s="70" t="n"/>
      <c r="G584" s="70" t="n"/>
      <c r="H584" s="13" t="n"/>
      <c r="I584" s="13" t="n"/>
      <c r="J584" s="13" t="n"/>
      <c r="K584" s="16">
        <f>IF($A584="","",1)</f>
        <v/>
      </c>
    </row>
    <row r="585">
      <c r="A585" s="13" t="n"/>
      <c r="B585" s="69" t="n"/>
      <c r="C585" s="13" t="n"/>
      <c r="D585" s="13" t="n"/>
      <c r="E585" s="70" t="n"/>
      <c r="F585" s="70" t="n"/>
      <c r="G585" s="70" t="n"/>
      <c r="H585" s="13" t="n"/>
      <c r="I585" s="13" t="n"/>
      <c r="J585" s="13" t="n"/>
      <c r="K585" s="16">
        <f>IF($A585="","",1)</f>
        <v/>
      </c>
    </row>
    <row r="586">
      <c r="A586" s="13" t="n"/>
      <c r="B586" s="69" t="n"/>
      <c r="C586" s="13" t="n"/>
      <c r="D586" s="13" t="n"/>
      <c r="E586" s="70" t="n"/>
      <c r="F586" s="70" t="n"/>
      <c r="G586" s="70" t="n"/>
      <c r="H586" s="13" t="n"/>
      <c r="I586" s="13" t="n"/>
      <c r="J586" s="13" t="n"/>
      <c r="K586" s="16">
        <f>IF($A586="","",1)</f>
        <v/>
      </c>
    </row>
    <row r="587">
      <c r="A587" s="13" t="n"/>
      <c r="B587" s="69" t="n"/>
      <c r="C587" s="13" t="n"/>
      <c r="D587" s="13" t="n"/>
      <c r="E587" s="70" t="n"/>
      <c r="F587" s="70" t="n"/>
      <c r="G587" s="70" t="n"/>
      <c r="H587" s="13" t="n"/>
      <c r="I587" s="13" t="n"/>
      <c r="J587" s="13" t="n"/>
      <c r="K587" s="16">
        <f>IF($A587="","",1)</f>
        <v/>
      </c>
    </row>
    <row r="588">
      <c r="A588" s="13" t="n"/>
      <c r="B588" s="69" t="n"/>
      <c r="C588" s="13" t="n"/>
      <c r="D588" s="13" t="n"/>
      <c r="E588" s="70" t="n"/>
      <c r="F588" s="70" t="n"/>
      <c r="G588" s="70" t="n"/>
      <c r="H588" s="13" t="n"/>
      <c r="I588" s="13" t="n"/>
      <c r="J588" s="13" t="n"/>
      <c r="K588" s="16">
        <f>IF($A588="","",1)</f>
        <v/>
      </c>
    </row>
    <row r="589">
      <c r="A589" s="13" t="n"/>
      <c r="B589" s="69" t="n"/>
      <c r="C589" s="13" t="n"/>
      <c r="D589" s="13" t="n"/>
      <c r="E589" s="70" t="n"/>
      <c r="F589" s="70" t="n"/>
      <c r="G589" s="70" t="n"/>
      <c r="H589" s="13" t="n"/>
      <c r="I589" s="13" t="n"/>
      <c r="J589" s="13" t="n"/>
      <c r="K589" s="16">
        <f>IF($A589="","",1)</f>
        <v/>
      </c>
    </row>
    <row r="590">
      <c r="A590" s="13" t="n"/>
      <c r="B590" s="69" t="n"/>
      <c r="C590" s="13" t="n"/>
      <c r="D590" s="13" t="n"/>
      <c r="E590" s="70" t="n"/>
      <c r="F590" s="70" t="n"/>
      <c r="G590" s="70" t="n"/>
      <c r="H590" s="13" t="n"/>
      <c r="I590" s="13" t="n"/>
      <c r="J590" s="13" t="n"/>
      <c r="K590" s="16">
        <f>IF($A590="","",1)</f>
        <v/>
      </c>
    </row>
    <row r="591">
      <c r="A591" s="13" t="n"/>
      <c r="B591" s="69" t="n"/>
      <c r="C591" s="13" t="n"/>
      <c r="D591" s="13" t="n"/>
      <c r="E591" s="70" t="n"/>
      <c r="F591" s="70" t="n"/>
      <c r="G591" s="70" t="n"/>
      <c r="H591" s="13" t="n"/>
      <c r="I591" s="13" t="n"/>
      <c r="J591" s="13" t="n"/>
      <c r="K591" s="16">
        <f>IF($A591="","",1)</f>
        <v/>
      </c>
    </row>
    <row r="592">
      <c r="A592" s="13" t="n"/>
      <c r="B592" s="69" t="n"/>
      <c r="C592" s="13" t="n"/>
      <c r="D592" s="13" t="n"/>
      <c r="E592" s="70" t="n"/>
      <c r="F592" s="70" t="n"/>
      <c r="G592" s="70" t="n"/>
      <c r="H592" s="13" t="n"/>
      <c r="I592" s="13" t="n"/>
      <c r="J592" s="13" t="n"/>
      <c r="K592" s="16">
        <f>IF($A592="","",1)</f>
        <v/>
      </c>
    </row>
    <row r="593">
      <c r="A593" s="13" t="n"/>
      <c r="B593" s="69" t="n"/>
      <c r="C593" s="13" t="n"/>
      <c r="D593" s="13" t="n"/>
      <c r="E593" s="70" t="n"/>
      <c r="F593" s="70" t="n"/>
      <c r="G593" s="70" t="n"/>
      <c r="H593" s="13" t="n"/>
      <c r="I593" s="13" t="n"/>
      <c r="J593" s="13" t="n"/>
      <c r="K593" s="16">
        <f>IF($A593="","",1)</f>
        <v/>
      </c>
    </row>
    <row r="594">
      <c r="A594" s="13" t="n"/>
      <c r="B594" s="69" t="n"/>
      <c r="C594" s="13" t="n"/>
      <c r="D594" s="13" t="n"/>
      <c r="E594" s="70" t="n"/>
      <c r="F594" s="70" t="n"/>
      <c r="G594" s="70" t="n"/>
      <c r="H594" s="13" t="n"/>
      <c r="I594" s="13" t="n"/>
      <c r="J594" s="13" t="n"/>
      <c r="K594" s="16">
        <f>IF($A594="","",1)</f>
        <v/>
      </c>
    </row>
    <row r="595">
      <c r="A595" s="13" t="n"/>
      <c r="B595" s="69" t="n"/>
      <c r="C595" s="13" t="n"/>
      <c r="D595" s="13" t="n"/>
      <c r="E595" s="70" t="n"/>
      <c r="F595" s="70" t="n"/>
      <c r="G595" s="70" t="n"/>
      <c r="H595" s="13" t="n"/>
      <c r="I595" s="13" t="n"/>
      <c r="J595" s="13" t="n"/>
      <c r="K595" s="16">
        <f>IF($A595="","",1)</f>
        <v/>
      </c>
    </row>
    <row r="596">
      <c r="A596" s="13" t="n"/>
      <c r="B596" s="69" t="n"/>
      <c r="C596" s="13" t="n"/>
      <c r="D596" s="13" t="n"/>
      <c r="E596" s="70" t="n"/>
      <c r="F596" s="70" t="n"/>
      <c r="G596" s="70" t="n"/>
      <c r="H596" s="13" t="n"/>
      <c r="I596" s="13" t="n"/>
      <c r="J596" s="13" t="n"/>
      <c r="K596" s="16">
        <f>IF($A596="","",1)</f>
        <v/>
      </c>
    </row>
    <row r="597">
      <c r="A597" s="13" t="n"/>
      <c r="B597" s="69" t="n"/>
      <c r="C597" s="13" t="n"/>
      <c r="D597" s="13" t="n"/>
      <c r="E597" s="70" t="n"/>
      <c r="F597" s="70" t="n"/>
      <c r="G597" s="70" t="n"/>
      <c r="H597" s="13" t="n"/>
      <c r="I597" s="13" t="n"/>
      <c r="J597" s="13" t="n"/>
      <c r="K597" s="16">
        <f>IF($A597="","",1)</f>
        <v/>
      </c>
    </row>
    <row r="598">
      <c r="A598" s="13" t="n"/>
      <c r="B598" s="69" t="n"/>
      <c r="C598" s="13" t="n"/>
      <c r="D598" s="13" t="n"/>
      <c r="E598" s="70" t="n"/>
      <c r="F598" s="70" t="n"/>
      <c r="G598" s="70" t="n"/>
      <c r="H598" s="13" t="n"/>
      <c r="I598" s="13" t="n"/>
      <c r="J598" s="13" t="n"/>
      <c r="K598" s="16">
        <f>IF($A598="","",1)</f>
        <v/>
      </c>
    </row>
    <row r="599">
      <c r="A599" s="13" t="n"/>
      <c r="B599" s="69" t="n"/>
      <c r="C599" s="13" t="n"/>
      <c r="D599" s="13" t="n"/>
      <c r="E599" s="70" t="n"/>
      <c r="F599" s="70" t="n"/>
      <c r="G599" s="70" t="n"/>
      <c r="H599" s="13" t="n"/>
      <c r="I599" s="13" t="n"/>
      <c r="J599" s="13" t="n"/>
      <c r="K599" s="16">
        <f>IF($A599="","",1)</f>
        <v/>
      </c>
    </row>
    <row r="600">
      <c r="A600" s="13" t="n"/>
      <c r="B600" s="69" t="n"/>
      <c r="C600" s="13" t="n"/>
      <c r="D600" s="13" t="n"/>
      <c r="E600" s="70" t="n"/>
      <c r="F600" s="70" t="n"/>
      <c r="G600" s="70" t="n"/>
      <c r="H600" s="13" t="n"/>
      <c r="I600" s="13" t="n"/>
      <c r="J600" s="13" t="n"/>
      <c r="K600" s="16">
        <f>IF($A600="","",1)</f>
        <v/>
      </c>
    </row>
    <row r="601">
      <c r="A601" s="13" t="n"/>
      <c r="B601" s="69" t="n"/>
      <c r="C601" s="13" t="n"/>
      <c r="D601" s="13" t="n"/>
      <c r="E601" s="70" t="n"/>
      <c r="F601" s="70" t="n"/>
      <c r="G601" s="70" t="n"/>
      <c r="H601" s="13" t="n"/>
      <c r="I601" s="13" t="n"/>
      <c r="J601" s="13" t="n"/>
      <c r="K601" s="16">
        <f>IF($A601="","",1)</f>
        <v/>
      </c>
    </row>
    <row r="602">
      <c r="A602" s="13" t="n"/>
      <c r="B602" s="69" t="n"/>
      <c r="C602" s="13" t="n"/>
      <c r="D602" s="13" t="n"/>
      <c r="E602" s="70" t="n"/>
      <c r="F602" s="70" t="n"/>
      <c r="G602" s="70" t="n"/>
      <c r="H602" s="13" t="n"/>
      <c r="I602" s="13" t="n"/>
      <c r="J602" s="13" t="n"/>
      <c r="K602" s="16">
        <f>IF($A602="","",1)</f>
        <v/>
      </c>
    </row>
    <row r="603">
      <c r="A603" s="13" t="n"/>
      <c r="B603" s="69" t="n"/>
      <c r="C603" s="13" t="n"/>
      <c r="D603" s="13" t="n"/>
      <c r="E603" s="70" t="n"/>
      <c r="F603" s="70" t="n"/>
      <c r="G603" s="70" t="n"/>
      <c r="H603" s="13" t="n"/>
      <c r="I603" s="13" t="n"/>
      <c r="J603" s="13" t="n"/>
      <c r="K603" s="16">
        <f>IF($A603="","",1)</f>
        <v/>
      </c>
    </row>
    <row r="604">
      <c r="A604" s="13" t="n"/>
      <c r="B604" s="69" t="n"/>
      <c r="C604" s="13" t="n"/>
      <c r="D604" s="13" t="n"/>
      <c r="E604" s="70" t="n"/>
      <c r="F604" s="70" t="n"/>
      <c r="G604" s="70" t="n"/>
      <c r="H604" s="13" t="n"/>
      <c r="I604" s="13" t="n"/>
      <c r="J604" s="13" t="n"/>
      <c r="K604" s="16">
        <f>IF($A604="","",1)</f>
        <v/>
      </c>
    </row>
    <row r="605">
      <c r="A605" s="13" t="n"/>
      <c r="B605" s="69" t="n"/>
      <c r="C605" s="13" t="n"/>
      <c r="D605" s="13" t="n"/>
      <c r="E605" s="70" t="n"/>
      <c r="F605" s="70" t="n"/>
      <c r="G605" s="70" t="n"/>
      <c r="H605" s="13" t="n"/>
      <c r="I605" s="13" t="n"/>
      <c r="J605" s="13" t="n"/>
      <c r="K605" s="16">
        <f>IF($A605="","",1)</f>
        <v/>
      </c>
    </row>
    <row r="606">
      <c r="A606" s="13" t="n"/>
      <c r="B606" s="69" t="n"/>
      <c r="C606" s="13" t="n"/>
      <c r="D606" s="13" t="n"/>
      <c r="E606" s="70" t="n"/>
      <c r="F606" s="70" t="n"/>
      <c r="G606" s="70" t="n"/>
      <c r="H606" s="13" t="n"/>
      <c r="I606" s="13" t="n"/>
      <c r="J606" s="13" t="n"/>
      <c r="K606" s="16">
        <f>IF($A606="","",1)</f>
        <v/>
      </c>
    </row>
    <row r="607">
      <c r="A607" s="13" t="n"/>
      <c r="B607" s="69" t="n"/>
      <c r="C607" s="13" t="n"/>
      <c r="D607" s="13" t="n"/>
      <c r="E607" s="70" t="n"/>
      <c r="F607" s="70" t="n"/>
      <c r="G607" s="70" t="n"/>
      <c r="H607" s="13" t="n"/>
      <c r="I607" s="13" t="n"/>
      <c r="J607" s="13" t="n"/>
      <c r="K607" s="16">
        <f>IF($A607="","",1)</f>
        <v/>
      </c>
    </row>
    <row r="608">
      <c r="A608" s="13" t="n"/>
      <c r="B608" s="69" t="n"/>
      <c r="C608" s="13" t="n"/>
      <c r="D608" s="13" t="n"/>
      <c r="E608" s="70" t="n"/>
      <c r="F608" s="70" t="n"/>
      <c r="G608" s="70" t="n"/>
      <c r="H608" s="13" t="n"/>
      <c r="I608" s="13" t="n"/>
      <c r="J608" s="13" t="n"/>
      <c r="K608" s="16">
        <f>IF($A608="","",1)</f>
        <v/>
      </c>
    </row>
    <row r="609">
      <c r="A609" s="13" t="n"/>
      <c r="B609" s="69" t="n"/>
      <c r="C609" s="13" t="n"/>
      <c r="D609" s="13" t="n"/>
      <c r="E609" s="70" t="n"/>
      <c r="F609" s="70" t="n"/>
      <c r="G609" s="70" t="n"/>
      <c r="H609" s="13" t="n"/>
      <c r="I609" s="13" t="n"/>
      <c r="J609" s="13" t="n"/>
      <c r="K609" s="16">
        <f>IF($A609="","",1)</f>
        <v/>
      </c>
    </row>
    <row r="610">
      <c r="A610" s="13" t="n"/>
      <c r="B610" s="69" t="n"/>
      <c r="C610" s="13" t="n"/>
      <c r="D610" s="13" t="n"/>
      <c r="E610" s="70" t="n"/>
      <c r="F610" s="70" t="n"/>
      <c r="G610" s="70" t="n"/>
      <c r="H610" s="13" t="n"/>
      <c r="I610" s="13" t="n"/>
      <c r="J610" s="13" t="n"/>
      <c r="K610" s="16">
        <f>IF($A610="","",1)</f>
        <v/>
      </c>
    </row>
    <row r="611">
      <c r="A611" s="13" t="n"/>
      <c r="B611" s="69" t="n"/>
      <c r="C611" s="13" t="n"/>
      <c r="D611" s="13" t="n"/>
      <c r="E611" s="70" t="n"/>
      <c r="F611" s="70" t="n"/>
      <c r="G611" s="70" t="n"/>
      <c r="H611" s="13" t="n"/>
      <c r="I611" s="13" t="n"/>
      <c r="J611" s="13" t="n"/>
      <c r="K611" s="16">
        <f>IF($A611="","",1)</f>
        <v/>
      </c>
    </row>
    <row r="612">
      <c r="A612" s="13" t="n"/>
      <c r="B612" s="69" t="n"/>
      <c r="C612" s="13" t="n"/>
      <c r="D612" s="13" t="n"/>
      <c r="E612" s="70" t="n"/>
      <c r="F612" s="70" t="n"/>
      <c r="G612" s="70" t="n"/>
      <c r="H612" s="13" t="n"/>
      <c r="I612" s="13" t="n"/>
      <c r="J612" s="13" t="n"/>
      <c r="K612" s="16">
        <f>IF($A612="","",1)</f>
        <v/>
      </c>
    </row>
    <row r="613">
      <c r="A613" s="13" t="n"/>
      <c r="B613" s="69" t="n"/>
      <c r="C613" s="13" t="n"/>
      <c r="D613" s="13" t="n"/>
      <c r="E613" s="70" t="n"/>
      <c r="F613" s="70" t="n"/>
      <c r="G613" s="70" t="n"/>
      <c r="H613" s="13" t="n"/>
      <c r="I613" s="13" t="n"/>
      <c r="J613" s="13" t="n"/>
      <c r="K613" s="16">
        <f>IF($A613="","",1)</f>
        <v/>
      </c>
    </row>
    <row r="614">
      <c r="A614" s="13" t="n"/>
      <c r="B614" s="69" t="n"/>
      <c r="C614" s="13" t="n"/>
      <c r="D614" s="13" t="n"/>
      <c r="E614" s="70" t="n"/>
      <c r="F614" s="70" t="n"/>
      <c r="G614" s="70" t="n"/>
      <c r="H614" s="13" t="n"/>
      <c r="I614" s="13" t="n"/>
      <c r="J614" s="13" t="n"/>
      <c r="K614" s="16">
        <f>IF($A614="","",1)</f>
        <v/>
      </c>
    </row>
    <row r="615">
      <c r="A615" s="13" t="n"/>
      <c r="B615" s="69" t="n"/>
      <c r="C615" s="13" t="n"/>
      <c r="D615" s="13" t="n"/>
      <c r="E615" s="70" t="n"/>
      <c r="F615" s="70" t="n"/>
      <c r="G615" s="70" t="n"/>
      <c r="H615" s="13" t="n"/>
      <c r="I615" s="13" t="n"/>
      <c r="J615" s="13" t="n"/>
      <c r="K615" s="16">
        <f>IF($A615="","",1)</f>
        <v/>
      </c>
    </row>
    <row r="616">
      <c r="A616" s="13" t="n"/>
      <c r="B616" s="69" t="n"/>
      <c r="C616" s="13" t="n"/>
      <c r="D616" s="13" t="n"/>
      <c r="E616" s="70" t="n"/>
      <c r="F616" s="70" t="n"/>
      <c r="G616" s="70" t="n"/>
      <c r="H616" s="13" t="n"/>
      <c r="I616" s="13" t="n"/>
      <c r="J616" s="13" t="n"/>
      <c r="K616" s="16">
        <f>IF($A616="","",1)</f>
        <v/>
      </c>
    </row>
    <row r="617">
      <c r="A617" s="13" t="n"/>
      <c r="B617" s="69" t="n"/>
      <c r="C617" s="13" t="n"/>
      <c r="D617" s="13" t="n"/>
      <c r="E617" s="70" t="n"/>
      <c r="F617" s="70" t="n"/>
      <c r="G617" s="70" t="n"/>
      <c r="H617" s="13" t="n"/>
      <c r="I617" s="13" t="n"/>
      <c r="J617" s="13" t="n"/>
      <c r="K617" s="16">
        <f>IF($A617="","",1)</f>
        <v/>
      </c>
    </row>
    <row r="618">
      <c r="A618" s="13" t="n"/>
      <c r="B618" s="69" t="n"/>
      <c r="C618" s="13" t="n"/>
      <c r="D618" s="13" t="n"/>
      <c r="E618" s="70" t="n"/>
      <c r="F618" s="70" t="n"/>
      <c r="G618" s="70" t="n"/>
      <c r="H618" s="13" t="n"/>
      <c r="I618" s="13" t="n"/>
      <c r="J618" s="13" t="n"/>
      <c r="K618" s="16">
        <f>IF($A618="","",1)</f>
        <v/>
      </c>
    </row>
    <row r="619">
      <c r="A619" s="13" t="n"/>
      <c r="B619" s="69" t="n"/>
      <c r="C619" s="13" t="n"/>
      <c r="D619" s="13" t="n"/>
      <c r="E619" s="70" t="n"/>
      <c r="F619" s="70" t="n"/>
      <c r="G619" s="70" t="n"/>
      <c r="H619" s="13" t="n"/>
      <c r="I619" s="13" t="n"/>
      <c r="J619" s="13" t="n"/>
      <c r="K619" s="16">
        <f>IF($A619="","",1)</f>
        <v/>
      </c>
    </row>
    <row r="620">
      <c r="A620" s="13" t="n"/>
      <c r="B620" s="69" t="n"/>
      <c r="C620" s="13" t="n"/>
      <c r="D620" s="13" t="n"/>
      <c r="E620" s="70" t="n"/>
      <c r="F620" s="70" t="n"/>
      <c r="G620" s="70" t="n"/>
      <c r="H620" s="13" t="n"/>
      <c r="I620" s="13" t="n"/>
      <c r="J620" s="13" t="n"/>
      <c r="K620" s="16">
        <f>IF($A620="","",1)</f>
        <v/>
      </c>
    </row>
    <row r="621">
      <c r="A621" s="13" t="n"/>
      <c r="B621" s="69" t="n"/>
      <c r="C621" s="13" t="n"/>
      <c r="D621" s="13" t="n"/>
      <c r="E621" s="70" t="n"/>
      <c r="F621" s="70" t="n"/>
      <c r="G621" s="70" t="n"/>
      <c r="H621" s="13" t="n"/>
      <c r="I621" s="13" t="n"/>
      <c r="J621" s="13" t="n"/>
      <c r="K621" s="16">
        <f>IF($A621="","",1)</f>
        <v/>
      </c>
    </row>
    <row r="622">
      <c r="A622" s="13" t="n"/>
      <c r="B622" s="69" t="n"/>
      <c r="C622" s="13" t="n"/>
      <c r="D622" s="13" t="n"/>
      <c r="E622" s="70" t="n"/>
      <c r="F622" s="70" t="n"/>
      <c r="G622" s="70" t="n"/>
      <c r="H622" s="13" t="n"/>
      <c r="I622" s="13" t="n"/>
      <c r="J622" s="13" t="n"/>
      <c r="K622" s="16">
        <f>IF($A622="","",1)</f>
        <v/>
      </c>
    </row>
    <row r="623">
      <c r="A623" s="13" t="n"/>
      <c r="B623" s="69" t="n"/>
      <c r="C623" s="13" t="n"/>
      <c r="D623" s="13" t="n"/>
      <c r="E623" s="70" t="n"/>
      <c r="F623" s="70" t="n"/>
      <c r="G623" s="70" t="n"/>
      <c r="H623" s="13" t="n"/>
      <c r="I623" s="13" t="n"/>
      <c r="J623" s="13" t="n"/>
      <c r="K623" s="16">
        <f>IF($A623="","",1)</f>
        <v/>
      </c>
    </row>
    <row r="624">
      <c r="A624" s="13" t="n"/>
      <c r="B624" s="69" t="n"/>
      <c r="C624" s="13" t="n"/>
      <c r="D624" s="13" t="n"/>
      <c r="E624" s="70" t="n"/>
      <c r="F624" s="70" t="n"/>
      <c r="G624" s="70" t="n"/>
      <c r="H624" s="13" t="n"/>
      <c r="I624" s="13" t="n"/>
      <c r="J624" s="13" t="n"/>
      <c r="K624" s="16">
        <f>IF($A624="","",1)</f>
        <v/>
      </c>
    </row>
    <row r="625">
      <c r="A625" s="13" t="n"/>
      <c r="B625" s="69" t="n"/>
      <c r="C625" s="13" t="n"/>
      <c r="D625" s="13" t="n"/>
      <c r="E625" s="70" t="n"/>
      <c r="F625" s="70" t="n"/>
      <c r="G625" s="70" t="n"/>
      <c r="H625" s="13" t="n"/>
      <c r="I625" s="13" t="n"/>
      <c r="J625" s="13" t="n"/>
      <c r="K625" s="16">
        <f>IF($A625="","",1)</f>
        <v/>
      </c>
    </row>
    <row r="626">
      <c r="A626" s="13" t="n"/>
      <c r="B626" s="69" t="n"/>
      <c r="C626" s="13" t="n"/>
      <c r="D626" s="13" t="n"/>
      <c r="E626" s="70" t="n"/>
      <c r="F626" s="70" t="n"/>
      <c r="G626" s="70" t="n"/>
      <c r="H626" s="13" t="n"/>
      <c r="I626" s="13" t="n"/>
      <c r="J626" s="13" t="n"/>
      <c r="K626" s="16">
        <f>IF($A626="","",1)</f>
        <v/>
      </c>
    </row>
    <row r="627">
      <c r="A627" s="13" t="n"/>
      <c r="B627" s="69" t="n"/>
      <c r="C627" s="13" t="n"/>
      <c r="D627" s="13" t="n"/>
      <c r="E627" s="70" t="n"/>
      <c r="F627" s="70" t="n"/>
      <c r="G627" s="70" t="n"/>
      <c r="H627" s="13" t="n"/>
      <c r="I627" s="13" t="n"/>
      <c r="J627" s="13" t="n"/>
      <c r="K627" s="16">
        <f>IF($A627="","",1)</f>
        <v/>
      </c>
    </row>
    <row r="628">
      <c r="A628" s="13" t="n"/>
      <c r="B628" s="69" t="n"/>
      <c r="C628" s="13" t="n"/>
      <c r="D628" s="13" t="n"/>
      <c r="E628" s="70" t="n"/>
      <c r="F628" s="70" t="n"/>
      <c r="G628" s="70" t="n"/>
      <c r="H628" s="13" t="n"/>
      <c r="I628" s="13" t="n"/>
      <c r="J628" s="13" t="n"/>
      <c r="K628" s="16">
        <f>IF($A628="","",1)</f>
        <v/>
      </c>
    </row>
    <row r="629">
      <c r="A629" s="13" t="n"/>
      <c r="B629" s="69" t="n"/>
      <c r="C629" s="13" t="n"/>
      <c r="D629" s="13" t="n"/>
      <c r="E629" s="70" t="n"/>
      <c r="F629" s="70" t="n"/>
      <c r="G629" s="70" t="n"/>
      <c r="H629" s="13" t="n"/>
      <c r="I629" s="13" t="n"/>
      <c r="J629" s="13" t="n"/>
      <c r="K629" s="16">
        <f>IF($A629="","",1)</f>
        <v/>
      </c>
    </row>
    <row r="630">
      <c r="A630" s="13" t="n"/>
      <c r="B630" s="69" t="n"/>
      <c r="C630" s="13" t="n"/>
      <c r="D630" s="13" t="n"/>
      <c r="E630" s="70" t="n"/>
      <c r="F630" s="70" t="n"/>
      <c r="G630" s="70" t="n"/>
      <c r="H630" s="13" t="n"/>
      <c r="I630" s="13" t="n"/>
      <c r="J630" s="13" t="n"/>
      <c r="K630" s="16">
        <f>IF($A630="","",1)</f>
        <v/>
      </c>
    </row>
    <row r="631">
      <c r="A631" s="13" t="n"/>
      <c r="B631" s="69" t="n"/>
      <c r="C631" s="13" t="n"/>
      <c r="D631" s="13" t="n"/>
      <c r="E631" s="70" t="n"/>
      <c r="F631" s="70" t="n"/>
      <c r="G631" s="70" t="n"/>
      <c r="H631" s="13" t="n"/>
      <c r="I631" s="13" t="n"/>
      <c r="J631" s="13" t="n"/>
      <c r="K631" s="16">
        <f>IF($A631="","",1)</f>
        <v/>
      </c>
    </row>
    <row r="632">
      <c r="A632" s="13" t="n"/>
      <c r="B632" s="69" t="n"/>
      <c r="C632" s="13" t="n"/>
      <c r="D632" s="13" t="n"/>
      <c r="E632" s="70" t="n"/>
      <c r="F632" s="70" t="n"/>
      <c r="G632" s="70" t="n"/>
      <c r="H632" s="13" t="n"/>
      <c r="I632" s="13" t="n"/>
      <c r="J632" s="13" t="n"/>
      <c r="K632" s="16">
        <f>IF($A632="","",1)</f>
        <v/>
      </c>
    </row>
    <row r="633">
      <c r="A633" s="13" t="n"/>
      <c r="B633" s="69" t="n"/>
      <c r="C633" s="13" t="n"/>
      <c r="D633" s="13" t="n"/>
      <c r="E633" s="70" t="n"/>
      <c r="F633" s="70" t="n"/>
      <c r="G633" s="70" t="n"/>
      <c r="H633" s="13" t="n"/>
      <c r="I633" s="13" t="n"/>
      <c r="J633" s="13" t="n"/>
      <c r="K633" s="16">
        <f>IF($A633="","",1)</f>
        <v/>
      </c>
    </row>
    <row r="634">
      <c r="A634" s="13" t="n"/>
      <c r="B634" s="69" t="n"/>
      <c r="C634" s="13" t="n"/>
      <c r="D634" s="13" t="n"/>
      <c r="E634" s="70" t="n"/>
      <c r="F634" s="70" t="n"/>
      <c r="G634" s="70" t="n"/>
      <c r="H634" s="13" t="n"/>
      <c r="I634" s="13" t="n"/>
      <c r="J634" s="13" t="n"/>
      <c r="K634" s="16">
        <f>IF($A634="","",1)</f>
        <v/>
      </c>
    </row>
    <row r="635">
      <c r="A635" s="13" t="n"/>
      <c r="B635" s="69" t="n"/>
      <c r="C635" s="13" t="n"/>
      <c r="D635" s="13" t="n"/>
      <c r="E635" s="70" t="n"/>
      <c r="F635" s="70" t="n"/>
      <c r="G635" s="70" t="n"/>
      <c r="H635" s="13" t="n"/>
      <c r="I635" s="13" t="n"/>
      <c r="J635" s="13" t="n"/>
      <c r="K635" s="16">
        <f>IF($A635="","",1)</f>
        <v/>
      </c>
    </row>
    <row r="636">
      <c r="A636" s="13" t="n"/>
      <c r="B636" s="69" t="n"/>
      <c r="C636" s="13" t="n"/>
      <c r="D636" s="13" t="n"/>
      <c r="E636" s="70" t="n"/>
      <c r="F636" s="70" t="n"/>
      <c r="G636" s="70" t="n"/>
      <c r="H636" s="13" t="n"/>
      <c r="I636" s="13" t="n"/>
      <c r="J636" s="13" t="n"/>
      <c r="K636" s="16">
        <f>IF($A636="","",1)</f>
        <v/>
      </c>
    </row>
    <row r="637">
      <c r="A637" s="13" t="n"/>
      <c r="B637" s="69" t="n"/>
      <c r="C637" s="13" t="n"/>
      <c r="D637" s="13" t="n"/>
      <c r="E637" s="70" t="n"/>
      <c r="F637" s="70" t="n"/>
      <c r="G637" s="70" t="n"/>
      <c r="H637" s="13" t="n"/>
      <c r="I637" s="13" t="n"/>
      <c r="J637" s="13" t="n"/>
      <c r="K637" s="16">
        <f>IF($A637="","",1)</f>
        <v/>
      </c>
    </row>
    <row r="638">
      <c r="A638" s="13" t="n"/>
      <c r="B638" s="69" t="n"/>
      <c r="C638" s="13" t="n"/>
      <c r="D638" s="13" t="n"/>
      <c r="E638" s="70" t="n"/>
      <c r="F638" s="70" t="n"/>
      <c r="G638" s="70" t="n"/>
      <c r="H638" s="13" t="n"/>
      <c r="I638" s="13" t="n"/>
      <c r="J638" s="13" t="n"/>
      <c r="K638" s="16">
        <f>IF($A638="","",1)</f>
        <v/>
      </c>
    </row>
    <row r="639">
      <c r="A639" s="13" t="n"/>
      <c r="B639" s="69" t="n"/>
      <c r="C639" s="13" t="n"/>
      <c r="D639" s="13" t="n"/>
      <c r="E639" s="70" t="n"/>
      <c r="F639" s="70" t="n"/>
      <c r="G639" s="70" t="n"/>
      <c r="H639" s="13" t="n"/>
      <c r="I639" s="13" t="n"/>
      <c r="J639" s="13" t="n"/>
      <c r="K639" s="16">
        <f>IF($A639="","",1)</f>
        <v/>
      </c>
    </row>
    <row r="640">
      <c r="A640" s="13" t="n"/>
      <c r="B640" s="69" t="n"/>
      <c r="C640" s="13" t="n"/>
      <c r="D640" s="13" t="n"/>
      <c r="E640" s="70" t="n"/>
      <c r="F640" s="70" t="n"/>
      <c r="G640" s="70" t="n"/>
      <c r="H640" s="13" t="n"/>
      <c r="I640" s="13" t="n"/>
      <c r="J640" s="13" t="n"/>
      <c r="K640" s="16">
        <f>IF($A640="","",1)</f>
        <v/>
      </c>
    </row>
    <row r="641">
      <c r="A641" s="13" t="n"/>
      <c r="B641" s="69" t="n"/>
      <c r="C641" s="13" t="n"/>
      <c r="D641" s="13" t="n"/>
      <c r="E641" s="70" t="n"/>
      <c r="F641" s="70" t="n"/>
      <c r="G641" s="70" t="n"/>
      <c r="H641" s="13" t="n"/>
      <c r="I641" s="13" t="n"/>
      <c r="J641" s="13" t="n"/>
      <c r="K641" s="16">
        <f>IF($A641="","",1)</f>
        <v/>
      </c>
    </row>
    <row r="642">
      <c r="A642" s="13" t="n"/>
      <c r="B642" s="69" t="n"/>
      <c r="C642" s="13" t="n"/>
      <c r="D642" s="13" t="n"/>
      <c r="E642" s="70" t="n"/>
      <c r="F642" s="70" t="n"/>
      <c r="G642" s="70" t="n"/>
      <c r="H642" s="13" t="n"/>
      <c r="I642" s="13" t="n"/>
      <c r="J642" s="13" t="n"/>
      <c r="K642" s="16">
        <f>IF($A642="","",1)</f>
        <v/>
      </c>
    </row>
    <row r="643">
      <c r="A643" s="13" t="n"/>
      <c r="B643" s="69" t="n"/>
      <c r="C643" s="13" t="n"/>
      <c r="D643" s="13" t="n"/>
      <c r="E643" s="70" t="n"/>
      <c r="F643" s="70" t="n"/>
      <c r="G643" s="70" t="n"/>
      <c r="H643" s="13" t="n"/>
      <c r="I643" s="13" t="n"/>
      <c r="J643" s="13" t="n"/>
      <c r="K643" s="16">
        <f>IF($A643="","",1)</f>
        <v/>
      </c>
    </row>
    <row r="644">
      <c r="A644" s="13" t="n"/>
      <c r="B644" s="69" t="n"/>
      <c r="C644" s="13" t="n"/>
      <c r="D644" s="13" t="n"/>
      <c r="E644" s="70" t="n"/>
      <c r="F644" s="70" t="n"/>
      <c r="G644" s="70" t="n"/>
      <c r="H644" s="13" t="n"/>
      <c r="I644" s="13" t="n"/>
      <c r="J644" s="13" t="n"/>
      <c r="K644" s="16">
        <f>IF($A644="","",1)</f>
        <v/>
      </c>
    </row>
    <row r="645">
      <c r="A645" s="13" t="n"/>
      <c r="B645" s="69" t="n"/>
      <c r="C645" s="13" t="n"/>
      <c r="D645" s="13" t="n"/>
      <c r="E645" s="70" t="n"/>
      <c r="F645" s="70" t="n"/>
      <c r="G645" s="70" t="n"/>
      <c r="H645" s="13" t="n"/>
      <c r="I645" s="13" t="n"/>
      <c r="J645" s="13" t="n"/>
      <c r="K645" s="16">
        <f>IF($A645="","",1)</f>
        <v/>
      </c>
    </row>
    <row r="646">
      <c r="A646" s="13" t="n"/>
      <c r="B646" s="69" t="n"/>
      <c r="C646" s="13" t="n"/>
      <c r="D646" s="13" t="n"/>
      <c r="E646" s="70" t="n"/>
      <c r="F646" s="70" t="n"/>
      <c r="G646" s="70" t="n"/>
      <c r="H646" s="13" t="n"/>
      <c r="I646" s="13" t="n"/>
      <c r="J646" s="13" t="n"/>
      <c r="K646" s="16">
        <f>IF($A646="","",1)</f>
        <v/>
      </c>
    </row>
    <row r="647">
      <c r="A647" s="13" t="n"/>
      <c r="B647" s="69" t="n"/>
      <c r="C647" s="13" t="n"/>
      <c r="D647" s="13" t="n"/>
      <c r="E647" s="70" t="n"/>
      <c r="F647" s="70" t="n"/>
      <c r="G647" s="70" t="n"/>
      <c r="H647" s="13" t="n"/>
      <c r="I647" s="13" t="n"/>
      <c r="J647" s="13" t="n"/>
      <c r="K647" s="16">
        <f>IF($A647="","",1)</f>
        <v/>
      </c>
    </row>
    <row r="648">
      <c r="A648" s="13" t="n"/>
      <c r="B648" s="69" t="n"/>
      <c r="C648" s="13" t="n"/>
      <c r="D648" s="13" t="n"/>
      <c r="E648" s="70" t="n"/>
      <c r="F648" s="70" t="n"/>
      <c r="G648" s="70" t="n"/>
      <c r="H648" s="13" t="n"/>
      <c r="I648" s="13" t="n"/>
      <c r="J648" s="13" t="n"/>
      <c r="K648" s="16">
        <f>IF($A648="","",1)</f>
        <v/>
      </c>
    </row>
    <row r="649">
      <c r="A649" s="13" t="n"/>
      <c r="B649" s="69" t="n"/>
      <c r="C649" s="13" t="n"/>
      <c r="D649" s="13" t="n"/>
      <c r="E649" s="70" t="n"/>
      <c r="F649" s="70" t="n"/>
      <c r="G649" s="70" t="n"/>
      <c r="H649" s="13" t="n"/>
      <c r="I649" s="13" t="n"/>
      <c r="J649" s="13" t="n"/>
      <c r="K649" s="16">
        <f>IF($A649="","",1)</f>
        <v/>
      </c>
    </row>
    <row r="650">
      <c r="A650" s="13" t="n"/>
      <c r="B650" s="69" t="n"/>
      <c r="C650" s="13" t="n"/>
      <c r="D650" s="13" t="n"/>
      <c r="E650" s="70" t="n"/>
      <c r="F650" s="70" t="n"/>
      <c r="G650" s="70" t="n"/>
      <c r="H650" s="13" t="n"/>
      <c r="I650" s="13" t="n"/>
      <c r="J650" s="13" t="n"/>
      <c r="K650" s="16">
        <f>IF($A650="","",1)</f>
        <v/>
      </c>
    </row>
    <row r="651">
      <c r="A651" s="13" t="n"/>
      <c r="B651" s="69" t="n"/>
      <c r="C651" s="13" t="n"/>
      <c r="D651" s="13" t="n"/>
      <c r="E651" s="70" t="n"/>
      <c r="F651" s="70" t="n"/>
      <c r="G651" s="70" t="n"/>
      <c r="H651" s="13" t="n"/>
      <c r="I651" s="13" t="n"/>
      <c r="J651" s="13" t="n"/>
      <c r="K651" s="16">
        <f>IF($A651="","",1)</f>
        <v/>
      </c>
    </row>
    <row r="652">
      <c r="A652" s="13" t="n"/>
      <c r="B652" s="69" t="n"/>
      <c r="C652" s="13" t="n"/>
      <c r="D652" s="13" t="n"/>
      <c r="E652" s="70" t="n"/>
      <c r="F652" s="70" t="n"/>
      <c r="G652" s="70" t="n"/>
      <c r="H652" s="13" t="n"/>
      <c r="I652" s="13" t="n"/>
      <c r="J652" s="13" t="n"/>
      <c r="K652" s="16">
        <f>IF($A652="","",1)</f>
        <v/>
      </c>
    </row>
    <row r="653">
      <c r="A653" s="13" t="n"/>
      <c r="B653" s="69" t="n"/>
      <c r="C653" s="13" t="n"/>
      <c r="D653" s="13" t="n"/>
      <c r="E653" s="70" t="n"/>
      <c r="F653" s="70" t="n"/>
      <c r="G653" s="70" t="n"/>
      <c r="H653" s="13" t="n"/>
      <c r="I653" s="13" t="n"/>
      <c r="J653" s="13" t="n"/>
      <c r="K653" s="16">
        <f>IF($A653="","",1)</f>
        <v/>
      </c>
    </row>
    <row r="654">
      <c r="A654" s="13" t="n"/>
      <c r="B654" s="69" t="n"/>
      <c r="C654" s="13" t="n"/>
      <c r="D654" s="13" t="n"/>
      <c r="E654" s="70" t="n"/>
      <c r="F654" s="70" t="n"/>
      <c r="G654" s="70" t="n"/>
      <c r="H654" s="13" t="n"/>
      <c r="I654" s="13" t="n"/>
      <c r="J654" s="13" t="n"/>
      <c r="K654" s="16">
        <f>IF($A654="","",1)</f>
        <v/>
      </c>
    </row>
    <row r="655">
      <c r="A655" s="13" t="n"/>
      <c r="B655" s="69" t="n"/>
      <c r="C655" s="13" t="n"/>
      <c r="D655" s="13" t="n"/>
      <c r="E655" s="70" t="n"/>
      <c r="F655" s="70" t="n"/>
      <c r="G655" s="70" t="n"/>
      <c r="H655" s="13" t="n"/>
      <c r="I655" s="13" t="n"/>
      <c r="J655" s="13" t="n"/>
      <c r="K655" s="16">
        <f>IF($A655="","",1)</f>
        <v/>
      </c>
    </row>
    <row r="656">
      <c r="A656" s="13" t="n"/>
      <c r="B656" s="69" t="n"/>
      <c r="C656" s="13" t="n"/>
      <c r="D656" s="13" t="n"/>
      <c r="E656" s="70" t="n"/>
      <c r="F656" s="70" t="n"/>
      <c r="G656" s="70" t="n"/>
      <c r="H656" s="13" t="n"/>
      <c r="I656" s="13" t="n"/>
      <c r="J656" s="13" t="n"/>
      <c r="K656" s="16">
        <f>IF($A656="","",1)</f>
        <v/>
      </c>
    </row>
    <row r="657">
      <c r="A657" s="13" t="n"/>
      <c r="B657" s="69" t="n"/>
      <c r="C657" s="13" t="n"/>
      <c r="D657" s="13" t="n"/>
      <c r="E657" s="70" t="n"/>
      <c r="F657" s="70" t="n"/>
      <c r="G657" s="70" t="n"/>
      <c r="H657" s="13" t="n"/>
      <c r="I657" s="13" t="n"/>
      <c r="J657" s="13" t="n"/>
      <c r="K657" s="16">
        <f>IF($A657="","",1)</f>
        <v/>
      </c>
    </row>
    <row r="658">
      <c r="A658" s="13" t="n"/>
      <c r="B658" s="69" t="n"/>
      <c r="C658" s="13" t="n"/>
      <c r="D658" s="13" t="n"/>
      <c r="E658" s="70" t="n"/>
      <c r="F658" s="70" t="n"/>
      <c r="G658" s="70" t="n"/>
      <c r="H658" s="13" t="n"/>
      <c r="I658" s="13" t="n"/>
      <c r="J658" s="13" t="n"/>
      <c r="K658" s="16">
        <f>IF($A658="","",1)</f>
        <v/>
      </c>
    </row>
    <row r="659">
      <c r="A659" s="13" t="n"/>
      <c r="B659" s="69" t="n"/>
      <c r="C659" s="13" t="n"/>
      <c r="D659" s="13" t="n"/>
      <c r="E659" s="70" t="n"/>
      <c r="F659" s="70" t="n"/>
      <c r="G659" s="70" t="n"/>
      <c r="H659" s="13" t="n"/>
      <c r="I659" s="13" t="n"/>
      <c r="J659" s="13" t="n"/>
      <c r="K659" s="16">
        <f>IF($A659="","",1)</f>
        <v/>
      </c>
    </row>
    <row r="660">
      <c r="A660" s="13" t="n"/>
      <c r="B660" s="69" t="n"/>
      <c r="C660" s="13" t="n"/>
      <c r="D660" s="13" t="n"/>
      <c r="E660" s="70" t="n"/>
      <c r="F660" s="70" t="n"/>
      <c r="G660" s="70" t="n"/>
      <c r="H660" s="13" t="n"/>
      <c r="I660" s="13" t="n"/>
      <c r="J660" s="13" t="n"/>
      <c r="K660" s="16">
        <f>IF($A660="","",1)</f>
        <v/>
      </c>
    </row>
    <row r="661">
      <c r="A661" s="13" t="n"/>
      <c r="B661" s="69" t="n"/>
      <c r="C661" s="13" t="n"/>
      <c r="D661" s="13" t="n"/>
      <c r="E661" s="70" t="n"/>
      <c r="F661" s="70" t="n"/>
      <c r="G661" s="70" t="n"/>
      <c r="H661" s="13" t="n"/>
      <c r="I661" s="13" t="n"/>
      <c r="J661" s="13" t="n"/>
      <c r="K661" s="16">
        <f>IF($A661="","",1)</f>
        <v/>
      </c>
    </row>
    <row r="662">
      <c r="A662" s="13" t="n"/>
      <c r="B662" s="69" t="n"/>
      <c r="C662" s="13" t="n"/>
      <c r="D662" s="13" t="n"/>
      <c r="E662" s="70" t="n"/>
      <c r="F662" s="70" t="n"/>
      <c r="G662" s="70" t="n"/>
      <c r="H662" s="13" t="n"/>
      <c r="I662" s="13" t="n"/>
      <c r="J662" s="13" t="n"/>
      <c r="K662" s="16">
        <f>IF($A662="","",1)</f>
        <v/>
      </c>
    </row>
    <row r="663">
      <c r="A663" s="13" t="n"/>
      <c r="B663" s="69" t="n"/>
      <c r="C663" s="13" t="n"/>
      <c r="D663" s="13" t="n"/>
      <c r="E663" s="70" t="n"/>
      <c r="F663" s="70" t="n"/>
      <c r="G663" s="70" t="n"/>
      <c r="H663" s="13" t="n"/>
      <c r="I663" s="13" t="n"/>
      <c r="J663" s="13" t="n"/>
      <c r="K663" s="16">
        <f>IF($A663="","",1)</f>
        <v/>
      </c>
    </row>
    <row r="664">
      <c r="A664" s="13" t="n"/>
      <c r="B664" s="69" t="n"/>
      <c r="C664" s="13" t="n"/>
      <c r="D664" s="13" t="n"/>
      <c r="E664" s="70" t="n"/>
      <c r="F664" s="70" t="n"/>
      <c r="G664" s="70" t="n"/>
      <c r="H664" s="13" t="n"/>
      <c r="I664" s="13" t="n"/>
      <c r="J664" s="13" t="n"/>
      <c r="K664" s="16">
        <f>IF($A664="","",1)</f>
        <v/>
      </c>
    </row>
    <row r="665">
      <c r="A665" s="13" t="n"/>
      <c r="B665" s="69" t="n"/>
      <c r="C665" s="13" t="n"/>
      <c r="D665" s="13" t="n"/>
      <c r="E665" s="70" t="n"/>
      <c r="F665" s="70" t="n"/>
      <c r="G665" s="70" t="n"/>
      <c r="H665" s="13" t="n"/>
      <c r="I665" s="13" t="n"/>
      <c r="J665" s="13" t="n"/>
      <c r="K665" s="16">
        <f>IF($A665="","",1)</f>
        <v/>
      </c>
    </row>
    <row r="666">
      <c r="A666" s="13" t="n"/>
      <c r="B666" s="69" t="n"/>
      <c r="C666" s="13" t="n"/>
      <c r="D666" s="13" t="n"/>
      <c r="E666" s="70" t="n"/>
      <c r="F666" s="70" t="n"/>
      <c r="G666" s="70" t="n"/>
      <c r="H666" s="13" t="n"/>
      <c r="I666" s="13" t="n"/>
      <c r="J666" s="13" t="n"/>
      <c r="K666" s="16">
        <f>IF($A666="","",1)</f>
        <v/>
      </c>
    </row>
    <row r="667">
      <c r="A667" s="13" t="n"/>
      <c r="B667" s="69" t="n"/>
      <c r="C667" s="13" t="n"/>
      <c r="D667" s="13" t="n"/>
      <c r="E667" s="70" t="n"/>
      <c r="F667" s="70" t="n"/>
      <c r="G667" s="70" t="n"/>
      <c r="H667" s="13" t="n"/>
      <c r="I667" s="13" t="n"/>
      <c r="J667" s="13" t="n"/>
      <c r="K667" s="16">
        <f>IF($A667="","",1)</f>
        <v/>
      </c>
    </row>
    <row r="668">
      <c r="A668" s="13" t="n"/>
      <c r="B668" s="69" t="n"/>
      <c r="C668" s="13" t="n"/>
      <c r="D668" s="13" t="n"/>
      <c r="E668" s="70" t="n"/>
      <c r="F668" s="70" t="n"/>
      <c r="G668" s="70" t="n"/>
      <c r="H668" s="13" t="n"/>
      <c r="I668" s="13" t="n"/>
      <c r="J668" s="13" t="n"/>
      <c r="K668" s="16">
        <f>IF($A668="","",1)</f>
        <v/>
      </c>
    </row>
    <row r="669">
      <c r="A669" s="13" t="n"/>
      <c r="B669" s="69" t="n"/>
      <c r="C669" s="13" t="n"/>
      <c r="D669" s="13" t="n"/>
      <c r="E669" s="70" t="n"/>
      <c r="F669" s="70" t="n"/>
      <c r="G669" s="70" t="n"/>
      <c r="H669" s="13" t="n"/>
      <c r="I669" s="13" t="n"/>
      <c r="J669" s="13" t="n"/>
      <c r="K669" s="16">
        <f>IF($A669="","",1)</f>
        <v/>
      </c>
    </row>
    <row r="670">
      <c r="A670" s="13" t="n"/>
      <c r="B670" s="69" t="n"/>
      <c r="C670" s="13" t="n"/>
      <c r="D670" s="13" t="n"/>
      <c r="E670" s="70" t="n"/>
      <c r="F670" s="70" t="n"/>
      <c r="G670" s="70" t="n"/>
      <c r="H670" s="13" t="n"/>
      <c r="I670" s="13" t="n"/>
      <c r="J670" s="13" t="n"/>
      <c r="K670" s="16">
        <f>IF($A670="","",1)</f>
        <v/>
      </c>
    </row>
    <row r="671">
      <c r="A671" s="13" t="n"/>
      <c r="B671" s="69" t="n"/>
      <c r="C671" s="13" t="n"/>
      <c r="D671" s="13" t="n"/>
      <c r="E671" s="70" t="n"/>
      <c r="F671" s="70" t="n"/>
      <c r="G671" s="70" t="n"/>
      <c r="H671" s="13" t="n"/>
      <c r="I671" s="13" t="n"/>
      <c r="J671" s="13" t="n"/>
      <c r="K671" s="16">
        <f>IF($A671="","",1)</f>
        <v/>
      </c>
    </row>
    <row r="672">
      <c r="A672" s="13" t="n"/>
      <c r="B672" s="69" t="n"/>
      <c r="C672" s="13" t="n"/>
      <c r="D672" s="13" t="n"/>
      <c r="E672" s="70" t="n"/>
      <c r="F672" s="70" t="n"/>
      <c r="G672" s="70" t="n"/>
      <c r="H672" s="13" t="n"/>
      <c r="I672" s="13" t="n"/>
      <c r="J672" s="13" t="n"/>
      <c r="K672" s="16">
        <f>IF($A672="","",1)</f>
        <v/>
      </c>
    </row>
    <row r="673">
      <c r="A673" s="13" t="n"/>
      <c r="B673" s="69" t="n"/>
      <c r="C673" s="13" t="n"/>
      <c r="D673" s="13" t="n"/>
      <c r="E673" s="70" t="n"/>
      <c r="F673" s="70" t="n"/>
      <c r="G673" s="70" t="n"/>
      <c r="H673" s="13" t="n"/>
      <c r="I673" s="13" t="n"/>
      <c r="J673" s="13" t="n"/>
      <c r="K673" s="16">
        <f>IF($A673="","",1)</f>
        <v/>
      </c>
    </row>
    <row r="674">
      <c r="A674" s="13" t="n"/>
      <c r="B674" s="69" t="n"/>
      <c r="C674" s="13" t="n"/>
      <c r="D674" s="13" t="n"/>
      <c r="E674" s="70" t="n"/>
      <c r="F674" s="70" t="n"/>
      <c r="G674" s="70" t="n"/>
      <c r="H674" s="13" t="n"/>
      <c r="I674" s="13" t="n"/>
      <c r="J674" s="13" t="n"/>
      <c r="K674" s="16">
        <f>IF($A674="","",1)</f>
        <v/>
      </c>
    </row>
    <row r="675">
      <c r="A675" s="13" t="n"/>
      <c r="B675" s="69" t="n"/>
      <c r="C675" s="13" t="n"/>
      <c r="D675" s="13" t="n"/>
      <c r="E675" s="70" t="n"/>
      <c r="F675" s="70" t="n"/>
      <c r="G675" s="70" t="n"/>
      <c r="H675" s="13" t="n"/>
      <c r="I675" s="13" t="n"/>
      <c r="J675" s="13" t="n"/>
      <c r="K675" s="16">
        <f>IF($A675="","",1)</f>
        <v/>
      </c>
    </row>
    <row r="676">
      <c r="A676" s="13" t="n"/>
      <c r="B676" s="69" t="n"/>
      <c r="C676" s="13" t="n"/>
      <c r="D676" s="13" t="n"/>
      <c r="E676" s="70" t="n"/>
      <c r="F676" s="70" t="n"/>
      <c r="G676" s="70" t="n"/>
      <c r="H676" s="13" t="n"/>
      <c r="I676" s="13" t="n"/>
      <c r="J676" s="13" t="n"/>
      <c r="K676" s="16">
        <f>IF($A676="","",1)</f>
        <v/>
      </c>
    </row>
    <row r="677">
      <c r="A677" s="13" t="n"/>
      <c r="B677" s="69" t="n"/>
      <c r="C677" s="13" t="n"/>
      <c r="D677" s="13" t="n"/>
      <c r="E677" s="70" t="n"/>
      <c r="F677" s="70" t="n"/>
      <c r="G677" s="70" t="n"/>
      <c r="H677" s="13" t="n"/>
      <c r="I677" s="13" t="n"/>
      <c r="J677" s="13" t="n"/>
      <c r="K677" s="16">
        <f>IF($A677="","",1)</f>
        <v/>
      </c>
    </row>
    <row r="678">
      <c r="A678" s="13" t="n"/>
      <c r="B678" s="69" t="n"/>
      <c r="C678" s="13" t="n"/>
      <c r="D678" s="13" t="n"/>
      <c r="E678" s="70" t="n"/>
      <c r="F678" s="70" t="n"/>
      <c r="G678" s="70" t="n"/>
      <c r="H678" s="13" t="n"/>
      <c r="I678" s="13" t="n"/>
      <c r="J678" s="13" t="n"/>
      <c r="K678" s="16">
        <f>IF($A678="","",1)</f>
        <v/>
      </c>
    </row>
    <row r="679">
      <c r="A679" s="13" t="n"/>
      <c r="B679" s="69" t="n"/>
      <c r="C679" s="13" t="n"/>
      <c r="D679" s="13" t="n"/>
      <c r="E679" s="70" t="n"/>
      <c r="F679" s="70" t="n"/>
      <c r="G679" s="70" t="n"/>
      <c r="H679" s="13" t="n"/>
      <c r="I679" s="13" t="n"/>
      <c r="J679" s="13" t="n"/>
      <c r="K679" s="16">
        <f>IF($A679="","",1)</f>
        <v/>
      </c>
    </row>
    <row r="680">
      <c r="A680" s="13" t="n"/>
      <c r="B680" s="69" t="n"/>
      <c r="C680" s="13" t="n"/>
      <c r="D680" s="13" t="n"/>
      <c r="E680" s="70" t="n"/>
      <c r="F680" s="70" t="n"/>
      <c r="G680" s="70" t="n"/>
      <c r="H680" s="13" t="n"/>
      <c r="I680" s="13" t="n"/>
      <c r="J680" s="13" t="n"/>
      <c r="K680" s="16">
        <f>IF($A680="","",1)</f>
        <v/>
      </c>
    </row>
    <row r="681">
      <c r="A681" s="13" t="n"/>
      <c r="B681" s="69" t="n"/>
      <c r="C681" s="13" t="n"/>
      <c r="D681" s="13" t="n"/>
      <c r="E681" s="70" t="n"/>
      <c r="F681" s="70" t="n"/>
      <c r="G681" s="70" t="n"/>
      <c r="H681" s="13" t="n"/>
      <c r="I681" s="13" t="n"/>
      <c r="J681" s="13" t="n"/>
      <c r="K681" s="16">
        <f>IF($A681="","",1)</f>
        <v/>
      </c>
    </row>
    <row r="682">
      <c r="A682" s="13" t="n"/>
      <c r="B682" s="69" t="n"/>
      <c r="C682" s="13" t="n"/>
      <c r="D682" s="13" t="n"/>
      <c r="E682" s="70" t="n"/>
      <c r="F682" s="70" t="n"/>
      <c r="G682" s="70" t="n"/>
      <c r="H682" s="13" t="n"/>
      <c r="I682" s="13" t="n"/>
      <c r="J682" s="13" t="n"/>
      <c r="K682" s="16">
        <f>IF($A682="","",1)</f>
        <v/>
      </c>
    </row>
    <row r="683">
      <c r="A683" s="13" t="n"/>
      <c r="B683" s="69" t="n"/>
      <c r="C683" s="13" t="n"/>
      <c r="D683" s="13" t="n"/>
      <c r="E683" s="70" t="n"/>
      <c r="F683" s="70" t="n"/>
      <c r="G683" s="70" t="n"/>
      <c r="H683" s="13" t="n"/>
      <c r="I683" s="13" t="n"/>
      <c r="J683" s="13" t="n"/>
      <c r="K683" s="16">
        <f>IF($A683="","",1)</f>
        <v/>
      </c>
    </row>
    <row r="684">
      <c r="A684" s="13" t="n"/>
      <c r="B684" s="69" t="n"/>
      <c r="C684" s="13" t="n"/>
      <c r="D684" s="13" t="n"/>
      <c r="E684" s="70" t="n"/>
      <c r="F684" s="70" t="n"/>
      <c r="G684" s="70" t="n"/>
      <c r="H684" s="13" t="n"/>
      <c r="I684" s="13" t="n"/>
      <c r="J684" s="13" t="n"/>
      <c r="K684" s="16">
        <f>IF($A684="","",1)</f>
        <v/>
      </c>
    </row>
    <row r="685">
      <c r="A685" s="13" t="n"/>
      <c r="B685" s="69" t="n"/>
      <c r="C685" s="13" t="n"/>
      <c r="D685" s="13" t="n"/>
      <c r="E685" s="70" t="n"/>
      <c r="F685" s="70" t="n"/>
      <c r="G685" s="70" t="n"/>
      <c r="H685" s="13" t="n"/>
      <c r="I685" s="13" t="n"/>
      <c r="J685" s="13" t="n"/>
      <c r="K685" s="16">
        <f>IF($A685="","",1)</f>
        <v/>
      </c>
    </row>
    <row r="686">
      <c r="A686" s="13" t="n"/>
      <c r="B686" s="69" t="n"/>
      <c r="C686" s="13" t="n"/>
      <c r="D686" s="13" t="n"/>
      <c r="E686" s="70" t="n"/>
      <c r="F686" s="70" t="n"/>
      <c r="G686" s="70" t="n"/>
      <c r="H686" s="13" t="n"/>
      <c r="I686" s="13" t="n"/>
      <c r="J686" s="13" t="n"/>
      <c r="K686" s="16">
        <f>IF($A686="","",1)</f>
        <v/>
      </c>
    </row>
    <row r="687">
      <c r="A687" s="13" t="n"/>
      <c r="B687" s="69" t="n"/>
      <c r="C687" s="13" t="n"/>
      <c r="D687" s="13" t="n"/>
      <c r="E687" s="70" t="n"/>
      <c r="F687" s="70" t="n"/>
      <c r="G687" s="70" t="n"/>
      <c r="H687" s="13" t="n"/>
      <c r="I687" s="13" t="n"/>
      <c r="J687" s="13" t="n"/>
      <c r="K687" s="16">
        <f>IF($A687="","",1)</f>
        <v/>
      </c>
    </row>
    <row r="688">
      <c r="A688" s="13" t="n"/>
      <c r="B688" s="69" t="n"/>
      <c r="C688" s="13" t="n"/>
      <c r="D688" s="13" t="n"/>
      <c r="E688" s="70" t="n"/>
      <c r="F688" s="70" t="n"/>
      <c r="G688" s="70" t="n"/>
      <c r="H688" s="13" t="n"/>
      <c r="I688" s="13" t="n"/>
      <c r="J688" s="13" t="n"/>
      <c r="K688" s="16">
        <f>IF($A688="","",1)</f>
        <v/>
      </c>
    </row>
    <row r="689">
      <c r="A689" s="13" t="n"/>
      <c r="B689" s="69" t="n"/>
      <c r="C689" s="13" t="n"/>
      <c r="D689" s="13" t="n"/>
      <c r="E689" s="70" t="n"/>
      <c r="F689" s="70" t="n"/>
      <c r="G689" s="70" t="n"/>
      <c r="H689" s="13" t="n"/>
      <c r="I689" s="13" t="n"/>
      <c r="J689" s="13" t="n"/>
      <c r="K689" s="16">
        <f>IF($A689="","",1)</f>
        <v/>
      </c>
    </row>
    <row r="690">
      <c r="A690" s="13" t="n"/>
      <c r="B690" s="69" t="n"/>
      <c r="C690" s="13" t="n"/>
      <c r="D690" s="13" t="n"/>
      <c r="E690" s="70" t="n"/>
      <c r="F690" s="70" t="n"/>
      <c r="G690" s="70" t="n"/>
      <c r="H690" s="13" t="n"/>
      <c r="I690" s="13" t="n"/>
      <c r="J690" s="13" t="n"/>
      <c r="K690" s="16">
        <f>IF($A690="","",1)</f>
        <v/>
      </c>
    </row>
    <row r="691">
      <c r="A691" s="13" t="n"/>
      <c r="B691" s="69" t="n"/>
      <c r="C691" s="13" t="n"/>
      <c r="D691" s="13" t="n"/>
      <c r="E691" s="70" t="n"/>
      <c r="F691" s="70" t="n"/>
      <c r="G691" s="70" t="n"/>
      <c r="H691" s="13" t="n"/>
      <c r="I691" s="13" t="n"/>
      <c r="J691" s="13" t="n"/>
      <c r="K691" s="16">
        <f>IF($A691="","",1)</f>
        <v/>
      </c>
    </row>
    <row r="692">
      <c r="A692" s="13" t="n"/>
      <c r="B692" s="69" t="n"/>
      <c r="C692" s="13" t="n"/>
      <c r="D692" s="13" t="n"/>
      <c r="E692" s="70" t="n"/>
      <c r="F692" s="70" t="n"/>
      <c r="G692" s="70" t="n"/>
      <c r="H692" s="13" t="n"/>
      <c r="I692" s="13" t="n"/>
      <c r="J692" s="13" t="n"/>
      <c r="K692" s="16">
        <f>IF($A692="","",1)</f>
        <v/>
      </c>
    </row>
    <row r="693">
      <c r="A693" s="13" t="n"/>
      <c r="B693" s="69" t="n"/>
      <c r="C693" s="13" t="n"/>
      <c r="D693" s="13" t="n"/>
      <c r="E693" s="70" t="n"/>
      <c r="F693" s="70" t="n"/>
      <c r="G693" s="70" t="n"/>
      <c r="H693" s="13" t="n"/>
      <c r="I693" s="13" t="n"/>
      <c r="J693" s="13" t="n"/>
      <c r="K693" s="16">
        <f>IF($A693="","",1)</f>
        <v/>
      </c>
    </row>
    <row r="694">
      <c r="A694" s="13" t="n"/>
      <c r="B694" s="69" t="n"/>
      <c r="C694" s="13" t="n"/>
      <c r="D694" s="13" t="n"/>
      <c r="E694" s="70" t="n"/>
      <c r="F694" s="70" t="n"/>
      <c r="G694" s="70" t="n"/>
      <c r="H694" s="13" t="n"/>
      <c r="I694" s="13" t="n"/>
      <c r="J694" s="13" t="n"/>
      <c r="K694" s="16">
        <f>IF($A694="","",1)</f>
        <v/>
      </c>
    </row>
    <row r="695">
      <c r="A695" s="13" t="n"/>
      <c r="B695" s="69" t="n"/>
      <c r="C695" s="13" t="n"/>
      <c r="D695" s="13" t="n"/>
      <c r="E695" s="70" t="n"/>
      <c r="F695" s="70" t="n"/>
      <c r="G695" s="70" t="n"/>
      <c r="H695" s="13" t="n"/>
      <c r="I695" s="13" t="n"/>
      <c r="J695" s="13" t="n"/>
      <c r="K695" s="16">
        <f>IF($A695="","",1)</f>
        <v/>
      </c>
    </row>
    <row r="696">
      <c r="A696" s="13" t="n"/>
      <c r="B696" s="69" t="n"/>
      <c r="C696" s="13" t="n"/>
      <c r="D696" s="13" t="n"/>
      <c r="E696" s="70" t="n"/>
      <c r="F696" s="70" t="n"/>
      <c r="G696" s="70" t="n"/>
      <c r="H696" s="13" t="n"/>
      <c r="I696" s="13" t="n"/>
      <c r="J696" s="13" t="n"/>
      <c r="K696" s="16">
        <f>IF($A696="","",1)</f>
        <v/>
      </c>
    </row>
    <row r="697">
      <c r="A697" s="13" t="n"/>
      <c r="B697" s="69" t="n"/>
      <c r="C697" s="13" t="n"/>
      <c r="D697" s="13" t="n"/>
      <c r="E697" s="70" t="n"/>
      <c r="F697" s="70" t="n"/>
      <c r="G697" s="70" t="n"/>
      <c r="H697" s="13" t="n"/>
      <c r="I697" s="13" t="n"/>
      <c r="J697" s="13" t="n"/>
      <c r="K697" s="16">
        <f>IF($A697="","",1)</f>
        <v/>
      </c>
    </row>
    <row r="698">
      <c r="A698" s="13" t="n"/>
      <c r="B698" s="69" t="n"/>
      <c r="C698" s="13" t="n"/>
      <c r="D698" s="13" t="n"/>
      <c r="E698" s="70" t="n"/>
      <c r="F698" s="70" t="n"/>
      <c r="G698" s="70" t="n"/>
      <c r="H698" s="13" t="n"/>
      <c r="I698" s="13" t="n"/>
      <c r="J698" s="13" t="n"/>
      <c r="K698" s="16">
        <f>IF($A698="","",1)</f>
        <v/>
      </c>
    </row>
    <row r="699">
      <c r="A699" s="13" t="n"/>
      <c r="B699" s="69" t="n"/>
      <c r="C699" s="13" t="n"/>
      <c r="D699" s="13" t="n"/>
      <c r="E699" s="70" t="n"/>
      <c r="F699" s="70" t="n"/>
      <c r="G699" s="70" t="n"/>
      <c r="H699" s="13" t="n"/>
      <c r="I699" s="13" t="n"/>
      <c r="J699" s="13" t="n"/>
      <c r="K699" s="16">
        <f>IF($A699="","",1)</f>
        <v/>
      </c>
    </row>
    <row r="700">
      <c r="A700" s="13" t="n"/>
      <c r="B700" s="69" t="n"/>
      <c r="C700" s="13" t="n"/>
      <c r="D700" s="13" t="n"/>
      <c r="E700" s="70" t="n"/>
      <c r="F700" s="70" t="n"/>
      <c r="G700" s="70" t="n"/>
      <c r="H700" s="13" t="n"/>
      <c r="I700" s="13" t="n"/>
      <c r="J700" s="13" t="n"/>
      <c r="K700" s="16">
        <f>IF($A700="","",1)</f>
        <v/>
      </c>
    </row>
    <row r="701">
      <c r="A701" s="13" t="n"/>
      <c r="B701" s="69" t="n"/>
      <c r="C701" s="13" t="n"/>
      <c r="D701" s="13" t="n"/>
      <c r="E701" s="70" t="n"/>
      <c r="F701" s="70" t="n"/>
      <c r="G701" s="70" t="n"/>
      <c r="H701" s="13" t="n"/>
      <c r="I701" s="13" t="n"/>
      <c r="J701" s="13" t="n"/>
      <c r="K701" s="16">
        <f>IF($A701="","",1)</f>
        <v/>
      </c>
    </row>
    <row r="702">
      <c r="A702" s="13" t="n"/>
      <c r="B702" s="69" t="n"/>
      <c r="C702" s="13" t="n"/>
      <c r="D702" s="13" t="n"/>
      <c r="E702" s="70" t="n"/>
      <c r="F702" s="70" t="n"/>
      <c r="G702" s="70" t="n"/>
      <c r="H702" s="13" t="n"/>
      <c r="I702" s="13" t="n"/>
      <c r="J702" s="13" t="n"/>
      <c r="K702" s="16">
        <f>IF($A702="","",1)</f>
        <v/>
      </c>
    </row>
    <row r="703">
      <c r="A703" s="13" t="n"/>
      <c r="B703" s="69" t="n"/>
      <c r="C703" s="13" t="n"/>
      <c r="D703" s="13" t="n"/>
      <c r="E703" s="70" t="n"/>
      <c r="F703" s="70" t="n"/>
      <c r="G703" s="70" t="n"/>
      <c r="H703" s="13" t="n"/>
      <c r="I703" s="13" t="n"/>
      <c r="J703" s="13" t="n"/>
      <c r="K703" s="16">
        <f>IF($A703="","",1)</f>
        <v/>
      </c>
    </row>
    <row r="704">
      <c r="A704" s="13" t="n"/>
      <c r="B704" s="69" t="n"/>
      <c r="C704" s="13" t="n"/>
      <c r="D704" s="13" t="n"/>
      <c r="E704" s="70" t="n"/>
      <c r="F704" s="70" t="n"/>
      <c r="G704" s="70" t="n"/>
      <c r="H704" s="13" t="n"/>
      <c r="I704" s="13" t="n"/>
      <c r="J704" s="13" t="n"/>
      <c r="K704" s="16">
        <f>IF($A704="","",1)</f>
        <v/>
      </c>
    </row>
    <row r="705">
      <c r="A705" s="13" t="n"/>
      <c r="B705" s="69" t="n"/>
      <c r="C705" s="13" t="n"/>
      <c r="D705" s="13" t="n"/>
      <c r="E705" s="70" t="n"/>
      <c r="F705" s="70" t="n"/>
      <c r="G705" s="70" t="n"/>
      <c r="H705" s="13" t="n"/>
      <c r="I705" s="13" t="n"/>
      <c r="J705" s="13" t="n"/>
      <c r="K705" s="16">
        <f>IF($A705="","",1)</f>
        <v/>
      </c>
    </row>
    <row r="706">
      <c r="A706" s="13" t="n"/>
      <c r="B706" s="69" t="n"/>
      <c r="C706" s="13" t="n"/>
      <c r="D706" s="13" t="n"/>
      <c r="E706" s="70" t="n"/>
      <c r="F706" s="70" t="n"/>
      <c r="G706" s="70" t="n"/>
      <c r="H706" s="13" t="n"/>
      <c r="I706" s="13" t="n"/>
      <c r="J706" s="13" t="n"/>
      <c r="K706" s="16">
        <f>IF($A706="","",1)</f>
        <v/>
      </c>
    </row>
    <row r="707">
      <c r="A707" s="13" t="n"/>
      <c r="B707" s="69" t="n"/>
      <c r="C707" s="13" t="n"/>
      <c r="D707" s="13" t="n"/>
      <c r="E707" s="70" t="n"/>
      <c r="F707" s="70" t="n"/>
      <c r="G707" s="70" t="n"/>
      <c r="H707" s="13" t="n"/>
      <c r="I707" s="13" t="n"/>
      <c r="J707" s="13" t="n"/>
      <c r="K707" s="16">
        <f>IF($A707="","",1)</f>
        <v/>
      </c>
    </row>
    <row r="708">
      <c r="A708" s="13" t="n"/>
      <c r="B708" s="69" t="n"/>
      <c r="C708" s="13" t="n"/>
      <c r="D708" s="13" t="n"/>
      <c r="E708" s="70" t="n"/>
      <c r="F708" s="70" t="n"/>
      <c r="G708" s="70" t="n"/>
      <c r="H708" s="13" t="n"/>
      <c r="I708" s="13" t="n"/>
      <c r="J708" s="13" t="n"/>
      <c r="K708" s="16">
        <f>IF($A708="","",1)</f>
        <v/>
      </c>
    </row>
    <row r="709">
      <c r="A709" s="13" t="n"/>
      <c r="B709" s="69" t="n"/>
      <c r="C709" s="13" t="n"/>
      <c r="D709" s="13" t="n"/>
      <c r="E709" s="70" t="n"/>
      <c r="F709" s="70" t="n"/>
      <c r="G709" s="70" t="n"/>
      <c r="H709" s="13" t="n"/>
      <c r="I709" s="13" t="n"/>
      <c r="J709" s="13" t="n"/>
      <c r="K709" s="16">
        <f>IF($A709="","",1)</f>
        <v/>
      </c>
    </row>
    <row r="710">
      <c r="A710" s="13" t="n"/>
      <c r="B710" s="69" t="n"/>
      <c r="C710" s="13" t="n"/>
      <c r="D710" s="13" t="n"/>
      <c r="E710" s="70" t="n"/>
      <c r="F710" s="70" t="n"/>
      <c r="G710" s="70" t="n"/>
      <c r="H710" s="13" t="n"/>
      <c r="I710" s="13" t="n"/>
      <c r="J710" s="13" t="n"/>
      <c r="K710" s="16">
        <f>IF($A710="","",1)</f>
        <v/>
      </c>
    </row>
    <row r="711">
      <c r="A711" s="13" t="n"/>
      <c r="B711" s="69" t="n"/>
      <c r="C711" s="13" t="n"/>
      <c r="D711" s="13" t="n"/>
      <c r="E711" s="70" t="n"/>
      <c r="F711" s="70" t="n"/>
      <c r="G711" s="70" t="n"/>
      <c r="H711" s="13" t="n"/>
      <c r="I711" s="13" t="n"/>
      <c r="J711" s="13" t="n"/>
      <c r="K711" s="16">
        <f>IF($A711="","",1)</f>
        <v/>
      </c>
    </row>
    <row r="712">
      <c r="A712" s="13" t="n"/>
      <c r="B712" s="69" t="n"/>
      <c r="C712" s="13" t="n"/>
      <c r="D712" s="13" t="n"/>
      <c r="E712" s="70" t="n"/>
      <c r="F712" s="70" t="n"/>
      <c r="G712" s="70" t="n"/>
      <c r="H712" s="13" t="n"/>
      <c r="I712" s="13" t="n"/>
      <c r="J712" s="13" t="n"/>
      <c r="K712" s="16">
        <f>IF($A712="","",1)</f>
        <v/>
      </c>
    </row>
    <row r="713">
      <c r="A713" s="13" t="n"/>
      <c r="B713" s="69" t="n"/>
      <c r="C713" s="13" t="n"/>
      <c r="D713" s="13" t="n"/>
      <c r="E713" s="70" t="n"/>
      <c r="F713" s="70" t="n"/>
      <c r="G713" s="70" t="n"/>
      <c r="H713" s="13" t="n"/>
      <c r="I713" s="13" t="n"/>
      <c r="J713" s="13" t="n"/>
      <c r="K713" s="16">
        <f>IF($A713="","",1)</f>
        <v/>
      </c>
    </row>
    <row r="714">
      <c r="A714" s="13" t="n"/>
      <c r="B714" s="69" t="n"/>
      <c r="C714" s="13" t="n"/>
      <c r="D714" s="13" t="n"/>
      <c r="E714" s="70" t="n"/>
      <c r="F714" s="70" t="n"/>
      <c r="G714" s="70" t="n"/>
      <c r="H714" s="13" t="n"/>
      <c r="I714" s="13" t="n"/>
      <c r="J714" s="13" t="n"/>
      <c r="K714" s="16">
        <f>IF($A714="","",1)</f>
        <v/>
      </c>
    </row>
    <row r="715">
      <c r="A715" s="13" t="n"/>
      <c r="B715" s="69" t="n"/>
      <c r="C715" s="13" t="n"/>
      <c r="D715" s="13" t="n"/>
      <c r="E715" s="70" t="n"/>
      <c r="F715" s="70" t="n"/>
      <c r="G715" s="70" t="n"/>
      <c r="H715" s="13" t="n"/>
      <c r="I715" s="13" t="n"/>
      <c r="J715" s="13" t="n"/>
      <c r="K715" s="16">
        <f>IF($A715="","",1)</f>
        <v/>
      </c>
    </row>
    <row r="716">
      <c r="A716" s="13" t="n"/>
      <c r="B716" s="69" t="n"/>
      <c r="C716" s="13" t="n"/>
      <c r="D716" s="13" t="n"/>
      <c r="E716" s="70" t="n"/>
      <c r="F716" s="70" t="n"/>
      <c r="G716" s="70" t="n"/>
      <c r="H716" s="13" t="n"/>
      <c r="I716" s="13" t="n"/>
      <c r="J716" s="13" t="n"/>
      <c r="K716" s="16">
        <f>IF($A716="","",1)</f>
        <v/>
      </c>
    </row>
    <row r="717">
      <c r="A717" s="13" t="n"/>
      <c r="B717" s="69" t="n"/>
      <c r="C717" s="13" t="n"/>
      <c r="D717" s="13" t="n"/>
      <c r="E717" s="70" t="n"/>
      <c r="F717" s="70" t="n"/>
      <c r="G717" s="70" t="n"/>
      <c r="H717" s="13" t="n"/>
      <c r="I717" s="13" t="n"/>
      <c r="J717" s="13" t="n"/>
      <c r="K717" s="16">
        <f>IF($A717="","",1)</f>
        <v/>
      </c>
    </row>
    <row r="718">
      <c r="A718" s="13" t="n"/>
      <c r="B718" s="69" t="n"/>
      <c r="C718" s="13" t="n"/>
      <c r="D718" s="13" t="n"/>
      <c r="E718" s="70" t="n"/>
      <c r="F718" s="70" t="n"/>
      <c r="G718" s="70" t="n"/>
      <c r="H718" s="13" t="n"/>
      <c r="I718" s="13" t="n"/>
      <c r="J718" s="13" t="n"/>
      <c r="K718" s="16">
        <f>IF($A718="","",1)</f>
        <v/>
      </c>
    </row>
    <row r="719">
      <c r="A719" s="13" t="n"/>
      <c r="B719" s="69" t="n"/>
      <c r="C719" s="13" t="n"/>
      <c r="D719" s="13" t="n"/>
      <c r="E719" s="70" t="n"/>
      <c r="F719" s="70" t="n"/>
      <c r="G719" s="70" t="n"/>
      <c r="H719" s="13" t="n"/>
      <c r="I719" s="13" t="n"/>
      <c r="J719" s="13" t="n"/>
      <c r="K719" s="16">
        <f>IF($A719="","",1)</f>
        <v/>
      </c>
    </row>
    <row r="720">
      <c r="A720" s="13" t="n"/>
      <c r="B720" s="69" t="n"/>
      <c r="C720" s="13" t="n"/>
      <c r="D720" s="13" t="n"/>
      <c r="E720" s="70" t="n"/>
      <c r="F720" s="70" t="n"/>
      <c r="G720" s="70" t="n"/>
      <c r="H720" s="13" t="n"/>
      <c r="I720" s="13" t="n"/>
      <c r="J720" s="13" t="n"/>
      <c r="K720" s="16">
        <f>IF($A720="","",1)</f>
        <v/>
      </c>
    </row>
    <row r="721">
      <c r="A721" s="13" t="n"/>
      <c r="B721" s="69" t="n"/>
      <c r="C721" s="13" t="n"/>
      <c r="D721" s="13" t="n"/>
      <c r="E721" s="70" t="n"/>
      <c r="F721" s="70" t="n"/>
      <c r="G721" s="70" t="n"/>
      <c r="H721" s="13" t="n"/>
      <c r="I721" s="13" t="n"/>
      <c r="J721" s="13" t="n"/>
      <c r="K721" s="16">
        <f>IF($A721="","",1)</f>
        <v/>
      </c>
    </row>
    <row r="722">
      <c r="A722" s="13" t="n"/>
      <c r="B722" s="69" t="n"/>
      <c r="C722" s="13" t="n"/>
      <c r="D722" s="13" t="n"/>
      <c r="E722" s="70" t="n"/>
      <c r="F722" s="70" t="n"/>
      <c r="G722" s="70" t="n"/>
      <c r="H722" s="13" t="n"/>
      <c r="I722" s="13" t="n"/>
      <c r="J722" s="13" t="n"/>
      <c r="K722" s="16">
        <f>IF($A722="","",1)</f>
        <v/>
      </c>
    </row>
    <row r="723">
      <c r="A723" s="13" t="n"/>
      <c r="B723" s="69" t="n"/>
      <c r="C723" s="13" t="n"/>
      <c r="D723" s="13" t="n"/>
      <c r="E723" s="70" t="n"/>
      <c r="F723" s="70" t="n"/>
      <c r="G723" s="70" t="n"/>
      <c r="H723" s="13" t="n"/>
      <c r="I723" s="13" t="n"/>
      <c r="J723" s="13" t="n"/>
      <c r="K723" s="16">
        <f>IF($A723="","",1)</f>
        <v/>
      </c>
    </row>
    <row r="724">
      <c r="A724" s="13" t="n"/>
      <c r="B724" s="69" t="n"/>
      <c r="C724" s="13" t="n"/>
      <c r="D724" s="13" t="n"/>
      <c r="E724" s="70" t="n"/>
      <c r="F724" s="70" t="n"/>
      <c r="G724" s="70" t="n"/>
      <c r="H724" s="13" t="n"/>
      <c r="I724" s="13" t="n"/>
      <c r="J724" s="13" t="n"/>
      <c r="K724" s="16">
        <f>IF($A724="","",1)</f>
        <v/>
      </c>
    </row>
    <row r="725">
      <c r="A725" s="13" t="n"/>
      <c r="B725" s="69" t="n"/>
      <c r="C725" s="13" t="n"/>
      <c r="D725" s="13" t="n"/>
      <c r="E725" s="70" t="n"/>
      <c r="F725" s="70" t="n"/>
      <c r="G725" s="70" t="n"/>
      <c r="H725" s="13" t="n"/>
      <c r="I725" s="13" t="n"/>
      <c r="J725" s="13" t="n"/>
      <c r="K725" s="16">
        <f>IF($A725="","",1)</f>
        <v/>
      </c>
    </row>
    <row r="726">
      <c r="A726" s="13" t="n"/>
      <c r="B726" s="69" t="n"/>
      <c r="C726" s="13" t="n"/>
      <c r="D726" s="13" t="n"/>
      <c r="E726" s="70" t="n"/>
      <c r="F726" s="70" t="n"/>
      <c r="G726" s="70" t="n"/>
      <c r="H726" s="13" t="n"/>
      <c r="I726" s="13" t="n"/>
      <c r="J726" s="13" t="n"/>
      <c r="K726" s="16">
        <f>IF($A726="","",1)</f>
        <v/>
      </c>
    </row>
    <row r="727">
      <c r="A727" s="13" t="n"/>
      <c r="B727" s="69" t="n"/>
      <c r="C727" s="13" t="n"/>
      <c r="D727" s="13" t="n"/>
      <c r="E727" s="70" t="n"/>
      <c r="F727" s="70" t="n"/>
      <c r="G727" s="70" t="n"/>
      <c r="H727" s="13" t="n"/>
      <c r="I727" s="13" t="n"/>
      <c r="J727" s="13" t="n"/>
      <c r="K727" s="16">
        <f>IF($A727="","",1)</f>
        <v/>
      </c>
    </row>
    <row r="728">
      <c r="A728" s="13" t="n"/>
      <c r="B728" s="69" t="n"/>
      <c r="C728" s="13" t="n"/>
      <c r="D728" s="13" t="n"/>
      <c r="E728" s="70" t="n"/>
      <c r="F728" s="70" t="n"/>
      <c r="G728" s="70" t="n"/>
      <c r="H728" s="13" t="n"/>
      <c r="I728" s="13" t="n"/>
      <c r="J728" s="13" t="n"/>
      <c r="K728" s="16">
        <f>IF($A728="","",1)</f>
        <v/>
      </c>
    </row>
    <row r="729">
      <c r="A729" s="13" t="n"/>
      <c r="B729" s="69" t="n"/>
      <c r="C729" s="13" t="n"/>
      <c r="D729" s="13" t="n"/>
      <c r="E729" s="70" t="n"/>
      <c r="F729" s="70" t="n"/>
      <c r="G729" s="70" t="n"/>
      <c r="H729" s="13" t="n"/>
      <c r="I729" s="13" t="n"/>
      <c r="J729" s="13" t="n"/>
      <c r="K729" s="16">
        <f>IF($A729="","",1)</f>
        <v/>
      </c>
    </row>
    <row r="730">
      <c r="A730" s="13" t="n"/>
      <c r="B730" s="69" t="n"/>
      <c r="C730" s="13" t="n"/>
      <c r="D730" s="13" t="n"/>
      <c r="E730" s="70" t="n"/>
      <c r="F730" s="70" t="n"/>
      <c r="G730" s="70" t="n"/>
      <c r="H730" s="13" t="n"/>
      <c r="I730" s="13" t="n"/>
      <c r="J730" s="13" t="n"/>
      <c r="K730" s="16">
        <f>IF($A730="","",1)</f>
        <v/>
      </c>
    </row>
    <row r="731">
      <c r="A731" s="13" t="n"/>
      <c r="B731" s="69" t="n"/>
      <c r="C731" s="13" t="n"/>
      <c r="D731" s="13" t="n"/>
      <c r="E731" s="70" t="n"/>
      <c r="F731" s="70" t="n"/>
      <c r="G731" s="70" t="n"/>
      <c r="H731" s="13" t="n"/>
      <c r="I731" s="13" t="n"/>
      <c r="J731" s="13" t="n"/>
      <c r="K731" s="16">
        <f>IF($A731="","",1)</f>
        <v/>
      </c>
    </row>
    <row r="732">
      <c r="A732" s="13" t="n"/>
      <c r="B732" s="69" t="n"/>
      <c r="C732" s="13" t="n"/>
      <c r="D732" s="13" t="n"/>
      <c r="E732" s="70" t="n"/>
      <c r="F732" s="70" t="n"/>
      <c r="G732" s="70" t="n"/>
      <c r="H732" s="13" t="n"/>
      <c r="I732" s="13" t="n"/>
      <c r="J732" s="13" t="n"/>
      <c r="K732" s="16">
        <f>IF($A732="","",1)</f>
        <v/>
      </c>
    </row>
    <row r="733">
      <c r="A733" s="13" t="n"/>
      <c r="B733" s="69" t="n"/>
      <c r="C733" s="13" t="n"/>
      <c r="D733" s="13" t="n"/>
      <c r="E733" s="70" t="n"/>
      <c r="F733" s="70" t="n"/>
      <c r="G733" s="70" t="n"/>
      <c r="H733" s="13" t="n"/>
      <c r="I733" s="13" t="n"/>
      <c r="J733" s="13" t="n"/>
      <c r="K733" s="16">
        <f>IF($A733="","",1)</f>
        <v/>
      </c>
    </row>
    <row r="734">
      <c r="A734" s="13" t="n"/>
      <c r="B734" s="69" t="n"/>
      <c r="C734" s="13" t="n"/>
      <c r="D734" s="13" t="n"/>
      <c r="E734" s="70" t="n"/>
      <c r="F734" s="70" t="n"/>
      <c r="G734" s="70" t="n"/>
      <c r="H734" s="13" t="n"/>
      <c r="I734" s="13" t="n"/>
      <c r="J734" s="13" t="n"/>
      <c r="K734" s="16">
        <f>IF($A734="","",1)</f>
        <v/>
      </c>
    </row>
    <row r="735">
      <c r="A735" s="13" t="n"/>
      <c r="B735" s="69" t="n"/>
      <c r="C735" s="13" t="n"/>
      <c r="D735" s="13" t="n"/>
      <c r="E735" s="70" t="n"/>
      <c r="F735" s="70" t="n"/>
      <c r="G735" s="70" t="n"/>
      <c r="H735" s="13" t="n"/>
      <c r="I735" s="13" t="n"/>
      <c r="J735" s="13" t="n"/>
      <c r="K735" s="16">
        <f>IF($A735="","",1)</f>
        <v/>
      </c>
    </row>
    <row r="736">
      <c r="A736" s="13" t="n"/>
      <c r="B736" s="69" t="n"/>
      <c r="C736" s="13" t="n"/>
      <c r="D736" s="13" t="n"/>
      <c r="E736" s="70" t="n"/>
      <c r="F736" s="70" t="n"/>
      <c r="G736" s="70" t="n"/>
      <c r="H736" s="13" t="n"/>
      <c r="I736" s="13" t="n"/>
      <c r="J736" s="13" t="n"/>
      <c r="K736" s="16">
        <f>IF($A736="","",1)</f>
        <v/>
      </c>
    </row>
    <row r="737">
      <c r="A737" s="13" t="n"/>
      <c r="B737" s="69" t="n"/>
      <c r="C737" s="13" t="n"/>
      <c r="D737" s="13" t="n"/>
      <c r="E737" s="70" t="n"/>
      <c r="F737" s="70" t="n"/>
      <c r="G737" s="70" t="n"/>
      <c r="H737" s="13" t="n"/>
      <c r="I737" s="13" t="n"/>
      <c r="J737" s="13" t="n"/>
      <c r="K737" s="16">
        <f>IF($A737="","",1)</f>
        <v/>
      </c>
    </row>
    <row r="738">
      <c r="A738" s="13" t="n"/>
      <c r="B738" s="69" t="n"/>
      <c r="C738" s="13" t="n"/>
      <c r="D738" s="13" t="n"/>
      <c r="E738" s="70" t="n"/>
      <c r="F738" s="70" t="n"/>
      <c r="G738" s="70" t="n"/>
      <c r="H738" s="13" t="n"/>
      <c r="I738" s="13" t="n"/>
      <c r="J738" s="13" t="n"/>
      <c r="K738" s="16">
        <f>IF($A738="","",1)</f>
        <v/>
      </c>
    </row>
    <row r="739">
      <c r="A739" s="13" t="n"/>
      <c r="B739" s="69" t="n"/>
      <c r="C739" s="13" t="n"/>
      <c r="D739" s="13" t="n"/>
      <c r="E739" s="70" t="n"/>
      <c r="F739" s="70" t="n"/>
      <c r="G739" s="70" t="n"/>
      <c r="H739" s="13" t="n"/>
      <c r="I739" s="13" t="n"/>
      <c r="J739" s="13" t="n"/>
      <c r="K739" s="16">
        <f>IF($A739="","",1)</f>
        <v/>
      </c>
    </row>
    <row r="740">
      <c r="A740" s="13" t="n"/>
      <c r="B740" s="69" t="n"/>
      <c r="C740" s="13" t="n"/>
      <c r="D740" s="13" t="n"/>
      <c r="E740" s="70" t="n"/>
      <c r="F740" s="70" t="n"/>
      <c r="G740" s="70" t="n"/>
      <c r="H740" s="13" t="n"/>
      <c r="I740" s="13" t="n"/>
      <c r="J740" s="13" t="n"/>
      <c r="K740" s="16">
        <f>IF($A740="","",1)</f>
        <v/>
      </c>
    </row>
    <row r="741">
      <c r="A741" s="13" t="n"/>
      <c r="B741" s="69" t="n"/>
      <c r="C741" s="13" t="n"/>
      <c r="D741" s="13" t="n"/>
      <c r="E741" s="70" t="n"/>
      <c r="F741" s="70" t="n"/>
      <c r="G741" s="70" t="n"/>
      <c r="H741" s="13" t="n"/>
      <c r="I741" s="13" t="n"/>
      <c r="J741" s="13" t="n"/>
      <c r="K741" s="16">
        <f>IF($A741="","",1)</f>
        <v/>
      </c>
    </row>
    <row r="742">
      <c r="A742" s="13" t="n"/>
      <c r="B742" s="69" t="n"/>
      <c r="C742" s="13" t="n"/>
      <c r="D742" s="13" t="n"/>
      <c r="E742" s="70" t="n"/>
      <c r="F742" s="70" t="n"/>
      <c r="G742" s="70" t="n"/>
      <c r="H742" s="13" t="n"/>
      <c r="I742" s="13" t="n"/>
      <c r="J742" s="13" t="n"/>
      <c r="K742" s="16">
        <f>IF($A742="","",1)</f>
        <v/>
      </c>
    </row>
    <row r="743">
      <c r="A743" s="13" t="n"/>
      <c r="B743" s="69" t="n"/>
      <c r="C743" s="13" t="n"/>
      <c r="D743" s="13" t="n"/>
      <c r="E743" s="70" t="n"/>
      <c r="F743" s="70" t="n"/>
      <c r="G743" s="70" t="n"/>
      <c r="H743" s="13" t="n"/>
      <c r="I743" s="13" t="n"/>
      <c r="J743" s="13" t="n"/>
      <c r="K743" s="16">
        <f>IF($A743="","",1)</f>
        <v/>
      </c>
    </row>
    <row r="744">
      <c r="A744" s="13" t="n"/>
      <c r="B744" s="69" t="n"/>
      <c r="C744" s="13" t="n"/>
      <c r="D744" s="13" t="n"/>
      <c r="E744" s="70" t="n"/>
      <c r="F744" s="70" t="n"/>
      <c r="G744" s="70" t="n"/>
      <c r="H744" s="13" t="n"/>
      <c r="I744" s="13" t="n"/>
      <c r="J744" s="13" t="n"/>
      <c r="K744" s="16">
        <f>IF($A744="","",1)</f>
        <v/>
      </c>
    </row>
    <row r="745">
      <c r="A745" s="13" t="n"/>
      <c r="B745" s="69" t="n"/>
      <c r="C745" s="13" t="n"/>
      <c r="D745" s="13" t="n"/>
      <c r="E745" s="70" t="n"/>
      <c r="F745" s="70" t="n"/>
      <c r="G745" s="70" t="n"/>
      <c r="H745" s="13" t="n"/>
      <c r="I745" s="13" t="n"/>
      <c r="J745" s="13" t="n"/>
      <c r="K745" s="16">
        <f>IF($A745="","",1)</f>
        <v/>
      </c>
    </row>
    <row r="746">
      <c r="A746" s="13" t="n"/>
      <c r="B746" s="69" t="n"/>
      <c r="C746" s="13" t="n"/>
      <c r="D746" s="13" t="n"/>
      <c r="E746" s="70" t="n"/>
      <c r="F746" s="70" t="n"/>
      <c r="G746" s="70" t="n"/>
      <c r="H746" s="13" t="n"/>
      <c r="I746" s="13" t="n"/>
      <c r="J746" s="13" t="n"/>
      <c r="K746" s="16">
        <f>IF($A746="","",1)</f>
        <v/>
      </c>
    </row>
    <row r="747">
      <c r="A747" s="13" t="n"/>
      <c r="B747" s="69" t="n"/>
      <c r="C747" s="13" t="n"/>
      <c r="D747" s="13" t="n"/>
      <c r="E747" s="70" t="n"/>
      <c r="F747" s="70" t="n"/>
      <c r="G747" s="70" t="n"/>
      <c r="H747" s="13" t="n"/>
      <c r="I747" s="13" t="n"/>
      <c r="J747" s="13" t="n"/>
      <c r="K747" s="16">
        <f>IF($A747="","",1)</f>
        <v/>
      </c>
    </row>
    <row r="748">
      <c r="A748" s="13" t="n"/>
      <c r="B748" s="69" t="n"/>
      <c r="C748" s="13" t="n"/>
      <c r="D748" s="13" t="n"/>
      <c r="E748" s="70" t="n"/>
      <c r="F748" s="70" t="n"/>
      <c r="G748" s="70" t="n"/>
      <c r="H748" s="13" t="n"/>
      <c r="I748" s="13" t="n"/>
      <c r="J748" s="13" t="n"/>
      <c r="K748" s="16">
        <f>IF($A748="","",1)</f>
        <v/>
      </c>
    </row>
    <row r="749">
      <c r="A749" s="13" t="n"/>
      <c r="B749" s="69" t="n"/>
      <c r="C749" s="13" t="n"/>
      <c r="D749" s="13" t="n"/>
      <c r="E749" s="70" t="n"/>
      <c r="F749" s="70" t="n"/>
      <c r="G749" s="70" t="n"/>
      <c r="H749" s="13" t="n"/>
      <c r="I749" s="13" t="n"/>
      <c r="J749" s="13" t="n"/>
      <c r="K749" s="16">
        <f>IF($A749="","",1)</f>
        <v/>
      </c>
    </row>
    <row r="750">
      <c r="A750" s="13" t="n"/>
      <c r="B750" s="69" t="n"/>
      <c r="C750" s="13" t="n"/>
      <c r="D750" s="13" t="n"/>
      <c r="E750" s="70" t="n"/>
      <c r="F750" s="70" t="n"/>
      <c r="G750" s="70" t="n"/>
      <c r="H750" s="13" t="n"/>
      <c r="I750" s="13" t="n"/>
      <c r="J750" s="13" t="n"/>
      <c r="K750" s="16">
        <f>IF($A750="","",1)</f>
        <v/>
      </c>
    </row>
    <row r="751">
      <c r="A751" s="13" t="n"/>
      <c r="B751" s="69" t="n"/>
      <c r="C751" s="13" t="n"/>
      <c r="D751" s="13" t="n"/>
      <c r="E751" s="70" t="n"/>
      <c r="F751" s="70" t="n"/>
      <c r="G751" s="70" t="n"/>
      <c r="H751" s="13" t="n"/>
      <c r="I751" s="13" t="n"/>
      <c r="J751" s="13" t="n"/>
      <c r="K751" s="16">
        <f>IF($A751="","",1)</f>
        <v/>
      </c>
    </row>
    <row r="752">
      <c r="A752" s="13" t="n"/>
      <c r="B752" s="69" t="n"/>
      <c r="C752" s="13" t="n"/>
      <c r="D752" s="13" t="n"/>
      <c r="E752" s="70" t="n"/>
      <c r="F752" s="70" t="n"/>
      <c r="G752" s="70" t="n"/>
      <c r="H752" s="13" t="n"/>
      <c r="I752" s="13" t="n"/>
      <c r="J752" s="13" t="n"/>
      <c r="K752" s="16">
        <f>IF($A752="","",1)</f>
        <v/>
      </c>
    </row>
    <row r="753">
      <c r="A753" s="13" t="n"/>
      <c r="B753" s="69" t="n"/>
      <c r="C753" s="13" t="n"/>
      <c r="D753" s="13" t="n"/>
      <c r="E753" s="70" t="n"/>
      <c r="F753" s="70" t="n"/>
      <c r="G753" s="70" t="n"/>
      <c r="H753" s="13" t="n"/>
      <c r="I753" s="13" t="n"/>
      <c r="J753" s="13" t="n"/>
      <c r="K753" s="16">
        <f>IF($A753="","",1)</f>
        <v/>
      </c>
    </row>
    <row r="754">
      <c r="A754" s="13" t="n"/>
      <c r="B754" s="69" t="n"/>
      <c r="C754" s="13" t="n"/>
      <c r="D754" s="13" t="n"/>
      <c r="E754" s="70" t="n"/>
      <c r="F754" s="70" t="n"/>
      <c r="G754" s="70" t="n"/>
      <c r="H754" s="13" t="n"/>
      <c r="I754" s="13" t="n"/>
      <c r="J754" s="13" t="n"/>
      <c r="K754" s="16">
        <f>IF($A754="","",1)</f>
        <v/>
      </c>
    </row>
    <row r="755">
      <c r="A755" s="13" t="n"/>
      <c r="B755" s="69" t="n"/>
      <c r="C755" s="13" t="n"/>
      <c r="D755" s="13" t="n"/>
      <c r="E755" s="70" t="n"/>
      <c r="F755" s="70" t="n"/>
      <c r="G755" s="70" t="n"/>
      <c r="H755" s="13" t="n"/>
      <c r="I755" s="13" t="n"/>
      <c r="J755" s="13" t="n"/>
      <c r="K755" s="16">
        <f>IF($A755="","",1)</f>
        <v/>
      </c>
    </row>
    <row r="756">
      <c r="A756" s="13" t="n"/>
      <c r="B756" s="69" t="n"/>
      <c r="C756" s="13" t="n"/>
      <c r="D756" s="13" t="n"/>
      <c r="E756" s="70" t="n"/>
      <c r="F756" s="70" t="n"/>
      <c r="G756" s="70" t="n"/>
      <c r="H756" s="13" t="n"/>
      <c r="I756" s="13" t="n"/>
      <c r="J756" s="13" t="n"/>
      <c r="K756" s="16">
        <f>IF($A756="","",1)</f>
        <v/>
      </c>
    </row>
    <row r="757">
      <c r="A757" s="13" t="n"/>
      <c r="B757" s="69" t="n"/>
      <c r="C757" s="13" t="n"/>
      <c r="D757" s="13" t="n"/>
      <c r="E757" s="70" t="n"/>
      <c r="F757" s="70" t="n"/>
      <c r="G757" s="70" t="n"/>
      <c r="H757" s="13" t="n"/>
      <c r="I757" s="13" t="n"/>
      <c r="J757" s="13" t="n"/>
      <c r="K757" s="16">
        <f>IF($A757="","",1)</f>
        <v/>
      </c>
    </row>
    <row r="758">
      <c r="A758" s="13" t="n"/>
      <c r="B758" s="69" t="n"/>
      <c r="C758" s="13" t="n"/>
      <c r="D758" s="13" t="n"/>
      <c r="E758" s="70" t="n"/>
      <c r="F758" s="70" t="n"/>
      <c r="G758" s="70" t="n"/>
      <c r="H758" s="13" t="n"/>
      <c r="I758" s="13" t="n"/>
      <c r="J758" s="13" t="n"/>
      <c r="K758" s="16">
        <f>IF($A758="","",1)</f>
        <v/>
      </c>
    </row>
    <row r="759">
      <c r="A759" s="13" t="n"/>
      <c r="B759" s="69" t="n"/>
      <c r="C759" s="13" t="n"/>
      <c r="D759" s="13" t="n"/>
      <c r="E759" s="70" t="n"/>
      <c r="F759" s="70" t="n"/>
      <c r="G759" s="70" t="n"/>
      <c r="H759" s="13" t="n"/>
      <c r="I759" s="13" t="n"/>
      <c r="J759" s="13" t="n"/>
      <c r="K759" s="16">
        <f>IF($A759="","",1)</f>
        <v/>
      </c>
    </row>
    <row r="760">
      <c r="A760" s="13" t="n"/>
      <c r="B760" s="69" t="n"/>
      <c r="C760" s="13" t="n"/>
      <c r="D760" s="13" t="n"/>
      <c r="E760" s="70" t="n"/>
      <c r="F760" s="70" t="n"/>
      <c r="G760" s="70" t="n"/>
      <c r="H760" s="13" t="n"/>
      <c r="I760" s="13" t="n"/>
      <c r="J760" s="13" t="n"/>
      <c r="K760" s="16">
        <f>IF($A760="","",1)</f>
        <v/>
      </c>
    </row>
    <row r="761">
      <c r="A761" s="13" t="n"/>
      <c r="B761" s="69" t="n"/>
      <c r="C761" s="13" t="n"/>
      <c r="D761" s="13" t="n"/>
      <c r="E761" s="70" t="n"/>
      <c r="F761" s="70" t="n"/>
      <c r="G761" s="70" t="n"/>
      <c r="H761" s="13" t="n"/>
      <c r="I761" s="13" t="n"/>
      <c r="J761" s="13" t="n"/>
      <c r="K761" s="16">
        <f>IF($A761="","",1)</f>
        <v/>
      </c>
    </row>
    <row r="762">
      <c r="A762" s="13" t="n"/>
      <c r="B762" s="69" t="n"/>
      <c r="C762" s="13" t="n"/>
      <c r="D762" s="13" t="n"/>
      <c r="E762" s="70" t="n"/>
      <c r="F762" s="70" t="n"/>
      <c r="G762" s="70" t="n"/>
      <c r="H762" s="13" t="n"/>
      <c r="I762" s="13" t="n"/>
      <c r="J762" s="13" t="n"/>
      <c r="K762" s="16">
        <f>IF($A762="","",1)</f>
        <v/>
      </c>
    </row>
    <row r="763">
      <c r="A763" s="13" t="n"/>
      <c r="B763" s="69" t="n"/>
      <c r="C763" s="13" t="n"/>
      <c r="D763" s="13" t="n"/>
      <c r="E763" s="70" t="n"/>
      <c r="F763" s="70" t="n"/>
      <c r="G763" s="70" t="n"/>
      <c r="H763" s="13" t="n"/>
      <c r="I763" s="13" t="n"/>
      <c r="J763" s="13" t="n"/>
      <c r="K763" s="16">
        <f>IF($A763="","",1)</f>
        <v/>
      </c>
    </row>
    <row r="764">
      <c r="A764" s="13" t="n"/>
      <c r="B764" s="69" t="n"/>
      <c r="C764" s="13" t="n"/>
      <c r="D764" s="13" t="n"/>
      <c r="E764" s="70" t="n"/>
      <c r="F764" s="70" t="n"/>
      <c r="G764" s="70" t="n"/>
      <c r="H764" s="13" t="n"/>
      <c r="I764" s="13" t="n"/>
      <c r="J764" s="13" t="n"/>
      <c r="K764" s="16">
        <f>IF($A764="","",1)</f>
        <v/>
      </c>
    </row>
    <row r="765">
      <c r="A765" s="13" t="n"/>
      <c r="B765" s="69" t="n"/>
      <c r="C765" s="13" t="n"/>
      <c r="D765" s="13" t="n"/>
      <c r="E765" s="70" t="n"/>
      <c r="F765" s="70" t="n"/>
      <c r="G765" s="70" t="n"/>
      <c r="H765" s="13" t="n"/>
      <c r="I765" s="13" t="n"/>
      <c r="J765" s="13" t="n"/>
      <c r="K765" s="16">
        <f>IF($A765="","",1)</f>
        <v/>
      </c>
    </row>
    <row r="766">
      <c r="A766" s="13" t="n"/>
      <c r="B766" s="69" t="n"/>
      <c r="C766" s="13" t="n"/>
      <c r="D766" s="13" t="n"/>
      <c r="E766" s="70" t="n"/>
      <c r="F766" s="70" t="n"/>
      <c r="G766" s="70" t="n"/>
      <c r="H766" s="13" t="n"/>
      <c r="I766" s="13" t="n"/>
      <c r="J766" s="13" t="n"/>
      <c r="K766" s="16">
        <f>IF($A766="","",1)</f>
        <v/>
      </c>
    </row>
    <row r="767">
      <c r="A767" s="13" t="n"/>
      <c r="B767" s="69" t="n"/>
      <c r="C767" s="13" t="n"/>
      <c r="D767" s="13" t="n"/>
      <c r="E767" s="70" t="n"/>
      <c r="F767" s="70" t="n"/>
      <c r="G767" s="70" t="n"/>
      <c r="H767" s="13" t="n"/>
      <c r="I767" s="13" t="n"/>
      <c r="J767" s="13" t="n"/>
      <c r="K767" s="16">
        <f>IF($A767="","",1)</f>
        <v/>
      </c>
    </row>
    <row r="768">
      <c r="A768" s="13" t="n"/>
      <c r="B768" s="69" t="n"/>
      <c r="C768" s="13" t="n"/>
      <c r="D768" s="13" t="n"/>
      <c r="E768" s="70" t="n"/>
      <c r="F768" s="70" t="n"/>
      <c r="G768" s="70" t="n"/>
      <c r="H768" s="13" t="n"/>
      <c r="I768" s="13" t="n"/>
      <c r="J768" s="13" t="n"/>
      <c r="K768" s="16">
        <f>IF($A768="","",1)</f>
        <v/>
      </c>
    </row>
    <row r="769">
      <c r="A769" s="13" t="n"/>
      <c r="B769" s="69" t="n"/>
      <c r="C769" s="13" t="n"/>
      <c r="D769" s="13" t="n"/>
      <c r="E769" s="70" t="n"/>
      <c r="F769" s="70" t="n"/>
      <c r="G769" s="70" t="n"/>
      <c r="H769" s="13" t="n"/>
      <c r="I769" s="13" t="n"/>
      <c r="J769" s="13" t="n"/>
      <c r="K769" s="16">
        <f>IF($A769="","",1)</f>
        <v/>
      </c>
    </row>
    <row r="770">
      <c r="A770" s="13" t="n"/>
      <c r="B770" s="69" t="n"/>
      <c r="C770" s="13" t="n"/>
      <c r="D770" s="13" t="n"/>
      <c r="E770" s="70" t="n"/>
      <c r="F770" s="70" t="n"/>
      <c r="G770" s="70" t="n"/>
      <c r="H770" s="13" t="n"/>
      <c r="I770" s="13" t="n"/>
      <c r="J770" s="13" t="n"/>
      <c r="K770" s="16">
        <f>IF($A770="","",1)</f>
        <v/>
      </c>
    </row>
    <row r="771">
      <c r="A771" s="13" t="n"/>
      <c r="B771" s="69" t="n"/>
      <c r="C771" s="13" t="n"/>
      <c r="D771" s="13" t="n"/>
      <c r="E771" s="70" t="n"/>
      <c r="F771" s="70" t="n"/>
      <c r="G771" s="70" t="n"/>
      <c r="H771" s="13" t="n"/>
      <c r="I771" s="13" t="n"/>
      <c r="J771" s="13" t="n"/>
      <c r="K771" s="16">
        <f>IF($A771="","",1)</f>
        <v/>
      </c>
    </row>
    <row r="772">
      <c r="A772" s="13" t="n"/>
      <c r="B772" s="69" t="n"/>
      <c r="C772" s="13" t="n"/>
      <c r="D772" s="13" t="n"/>
      <c r="E772" s="70" t="n"/>
      <c r="F772" s="70" t="n"/>
      <c r="G772" s="70" t="n"/>
      <c r="H772" s="13" t="n"/>
      <c r="I772" s="13" t="n"/>
      <c r="J772" s="13" t="n"/>
      <c r="K772" s="16">
        <f>IF($A772="","",1)</f>
        <v/>
      </c>
    </row>
    <row r="773">
      <c r="A773" s="13" t="n"/>
      <c r="B773" s="69" t="n"/>
      <c r="C773" s="13" t="n"/>
      <c r="D773" s="13" t="n"/>
      <c r="E773" s="70" t="n"/>
      <c r="F773" s="70" t="n"/>
      <c r="G773" s="70" t="n"/>
      <c r="H773" s="13" t="n"/>
      <c r="I773" s="13" t="n"/>
      <c r="J773" s="13" t="n"/>
      <c r="K773" s="16">
        <f>IF($A773="","",1)</f>
        <v/>
      </c>
    </row>
    <row r="774">
      <c r="A774" s="13" t="n"/>
      <c r="B774" s="69" t="n"/>
      <c r="C774" s="13" t="n"/>
      <c r="D774" s="13" t="n"/>
      <c r="E774" s="70" t="n"/>
      <c r="F774" s="70" t="n"/>
      <c r="G774" s="70" t="n"/>
      <c r="H774" s="13" t="n"/>
      <c r="I774" s="13" t="n"/>
      <c r="J774" s="13" t="n"/>
      <c r="K774" s="16">
        <f>IF($A774="","",1)</f>
        <v/>
      </c>
    </row>
    <row r="775">
      <c r="A775" s="13" t="n"/>
      <c r="B775" s="69" t="n"/>
      <c r="C775" s="13" t="n"/>
      <c r="D775" s="13" t="n"/>
      <c r="E775" s="70" t="n"/>
      <c r="F775" s="70" t="n"/>
      <c r="G775" s="70" t="n"/>
      <c r="H775" s="13" t="n"/>
      <c r="I775" s="13" t="n"/>
      <c r="J775" s="13" t="n"/>
      <c r="K775" s="16">
        <f>IF($A775="","",1)</f>
        <v/>
      </c>
    </row>
    <row r="776">
      <c r="A776" s="13" t="n"/>
      <c r="B776" s="69" t="n"/>
      <c r="C776" s="13" t="n"/>
      <c r="D776" s="13" t="n"/>
      <c r="E776" s="70" t="n"/>
      <c r="F776" s="70" t="n"/>
      <c r="G776" s="70" t="n"/>
      <c r="H776" s="13" t="n"/>
      <c r="I776" s="13" t="n"/>
      <c r="J776" s="13" t="n"/>
      <c r="K776" s="16">
        <f>IF($A776="","",1)</f>
        <v/>
      </c>
    </row>
    <row r="777">
      <c r="A777" s="13" t="n"/>
      <c r="B777" s="69" t="n"/>
      <c r="C777" s="13" t="n"/>
      <c r="D777" s="13" t="n"/>
      <c r="E777" s="70" t="n"/>
      <c r="F777" s="70" t="n"/>
      <c r="G777" s="70" t="n"/>
      <c r="H777" s="13" t="n"/>
      <c r="I777" s="13" t="n"/>
      <c r="J777" s="13" t="n"/>
      <c r="K777" s="16">
        <f>IF($A777="","",1)</f>
        <v/>
      </c>
    </row>
    <row r="778">
      <c r="A778" s="13" t="n"/>
      <c r="B778" s="69" t="n"/>
      <c r="C778" s="13" t="n"/>
      <c r="D778" s="13" t="n"/>
      <c r="E778" s="70" t="n"/>
      <c r="F778" s="70" t="n"/>
      <c r="G778" s="70" t="n"/>
      <c r="H778" s="13" t="n"/>
      <c r="I778" s="13" t="n"/>
      <c r="J778" s="13" t="n"/>
      <c r="K778" s="16">
        <f>IF($A778="","",1)</f>
        <v/>
      </c>
    </row>
    <row r="779">
      <c r="A779" s="13" t="n"/>
      <c r="B779" s="69" t="n"/>
      <c r="C779" s="13" t="n"/>
      <c r="D779" s="13" t="n"/>
      <c r="E779" s="70" t="n"/>
      <c r="F779" s="70" t="n"/>
      <c r="G779" s="70" t="n"/>
      <c r="H779" s="13" t="n"/>
      <c r="I779" s="13" t="n"/>
      <c r="J779" s="13" t="n"/>
      <c r="K779" s="16">
        <f>IF($A779="","",1)</f>
        <v/>
      </c>
    </row>
    <row r="780">
      <c r="A780" s="13" t="n"/>
      <c r="B780" s="69" t="n"/>
      <c r="C780" s="13" t="n"/>
      <c r="D780" s="13" t="n"/>
      <c r="E780" s="70" t="n"/>
      <c r="F780" s="70" t="n"/>
      <c r="G780" s="70" t="n"/>
      <c r="H780" s="13" t="n"/>
      <c r="I780" s="13" t="n"/>
      <c r="J780" s="13" t="n"/>
      <c r="K780" s="16">
        <f>IF($A780="","",1)</f>
        <v/>
      </c>
    </row>
    <row r="781">
      <c r="A781" s="13" t="n"/>
      <c r="B781" s="69" t="n"/>
      <c r="C781" s="13" t="n"/>
      <c r="D781" s="13" t="n"/>
      <c r="E781" s="70" t="n"/>
      <c r="F781" s="70" t="n"/>
      <c r="G781" s="70" t="n"/>
      <c r="H781" s="13" t="n"/>
      <c r="I781" s="13" t="n"/>
      <c r="J781" s="13" t="n"/>
      <c r="K781" s="16">
        <f>IF($A781="","",1)</f>
        <v/>
      </c>
    </row>
    <row r="782">
      <c r="A782" s="13" t="n"/>
      <c r="B782" s="69" t="n"/>
      <c r="C782" s="13" t="n"/>
      <c r="D782" s="13" t="n"/>
      <c r="E782" s="70" t="n"/>
      <c r="F782" s="70" t="n"/>
      <c r="G782" s="70" t="n"/>
      <c r="H782" s="13" t="n"/>
      <c r="I782" s="13" t="n"/>
      <c r="J782" s="13" t="n"/>
      <c r="K782" s="16">
        <f>IF($A782="","",1)</f>
        <v/>
      </c>
    </row>
    <row r="783">
      <c r="A783" s="13" t="n"/>
      <c r="B783" s="69" t="n"/>
      <c r="C783" s="13" t="n"/>
      <c r="D783" s="13" t="n"/>
      <c r="E783" s="70" t="n"/>
      <c r="F783" s="70" t="n"/>
      <c r="G783" s="70" t="n"/>
      <c r="H783" s="13" t="n"/>
      <c r="I783" s="13" t="n"/>
      <c r="J783" s="13" t="n"/>
      <c r="K783" s="16">
        <f>IF($A783="","",1)</f>
        <v/>
      </c>
    </row>
    <row r="784">
      <c r="A784" s="13" t="n"/>
      <c r="B784" s="69" t="n"/>
      <c r="C784" s="13" t="n"/>
      <c r="D784" s="13" t="n"/>
      <c r="E784" s="70" t="n"/>
      <c r="F784" s="70" t="n"/>
      <c r="G784" s="70" t="n"/>
      <c r="H784" s="13" t="n"/>
      <c r="I784" s="13" t="n"/>
      <c r="J784" s="13" t="n"/>
      <c r="K784" s="16">
        <f>IF($A784="","",1)</f>
        <v/>
      </c>
    </row>
    <row r="785">
      <c r="A785" s="13" t="n"/>
      <c r="B785" s="69" t="n"/>
      <c r="C785" s="13" t="n"/>
      <c r="D785" s="13" t="n"/>
      <c r="E785" s="70" t="n"/>
      <c r="F785" s="70" t="n"/>
      <c r="G785" s="70" t="n"/>
      <c r="H785" s="13" t="n"/>
      <c r="I785" s="13" t="n"/>
      <c r="J785" s="13" t="n"/>
      <c r="K785" s="16">
        <f>IF($A785="","",1)</f>
        <v/>
      </c>
    </row>
    <row r="786">
      <c r="A786" s="13" t="n"/>
      <c r="B786" s="69" t="n"/>
      <c r="C786" s="13" t="n"/>
      <c r="D786" s="13" t="n"/>
      <c r="E786" s="70" t="n"/>
      <c r="F786" s="70" t="n"/>
      <c r="G786" s="70" t="n"/>
      <c r="H786" s="13" t="n"/>
      <c r="I786" s="13" t="n"/>
      <c r="J786" s="13" t="n"/>
      <c r="K786" s="16">
        <f>IF($A786="","",1)</f>
        <v/>
      </c>
    </row>
    <row r="787">
      <c r="A787" s="13" t="n"/>
      <c r="B787" s="69" t="n"/>
      <c r="C787" s="13" t="n"/>
      <c r="D787" s="13" t="n"/>
      <c r="E787" s="70" t="n"/>
      <c r="F787" s="70" t="n"/>
      <c r="G787" s="70" t="n"/>
      <c r="H787" s="13" t="n"/>
      <c r="I787" s="13" t="n"/>
      <c r="J787" s="13" t="n"/>
      <c r="K787" s="16">
        <f>IF($A787="","",1)</f>
        <v/>
      </c>
    </row>
    <row r="788">
      <c r="A788" s="13" t="n"/>
      <c r="B788" s="69" t="n"/>
      <c r="C788" s="13" t="n"/>
      <c r="D788" s="13" t="n"/>
      <c r="E788" s="70" t="n"/>
      <c r="F788" s="70" t="n"/>
      <c r="G788" s="70" t="n"/>
      <c r="H788" s="13" t="n"/>
      <c r="I788" s="13" t="n"/>
      <c r="J788" s="13" t="n"/>
      <c r="K788" s="16">
        <f>IF($A788="","",1)</f>
        <v/>
      </c>
    </row>
    <row r="789">
      <c r="A789" s="13" t="n"/>
      <c r="B789" s="69" t="n"/>
      <c r="C789" s="13" t="n"/>
      <c r="D789" s="13" t="n"/>
      <c r="E789" s="70" t="n"/>
      <c r="F789" s="70" t="n"/>
      <c r="G789" s="70" t="n"/>
      <c r="H789" s="13" t="n"/>
      <c r="I789" s="13" t="n"/>
      <c r="J789" s="13" t="n"/>
      <c r="K789" s="16">
        <f>IF($A789="","",1)</f>
        <v/>
      </c>
    </row>
    <row r="790">
      <c r="A790" s="13" t="n"/>
      <c r="B790" s="69" t="n"/>
      <c r="C790" s="13" t="n"/>
      <c r="D790" s="13" t="n"/>
      <c r="E790" s="70" t="n"/>
      <c r="F790" s="70" t="n"/>
      <c r="G790" s="70" t="n"/>
      <c r="H790" s="13" t="n"/>
      <c r="I790" s="13" t="n"/>
      <c r="J790" s="13" t="n"/>
      <c r="K790" s="16">
        <f>IF($A790="","",1)</f>
        <v/>
      </c>
    </row>
    <row r="791">
      <c r="A791" s="13" t="n"/>
      <c r="B791" s="69" t="n"/>
      <c r="C791" s="13" t="n"/>
      <c r="D791" s="13" t="n"/>
      <c r="E791" s="70" t="n"/>
      <c r="F791" s="70" t="n"/>
      <c r="G791" s="70" t="n"/>
      <c r="H791" s="13" t="n"/>
      <c r="I791" s="13" t="n"/>
      <c r="J791" s="13" t="n"/>
      <c r="K791" s="16">
        <f>IF($A791="","",1)</f>
        <v/>
      </c>
    </row>
    <row r="792">
      <c r="A792" s="13" t="n"/>
      <c r="B792" s="69" t="n"/>
      <c r="C792" s="13" t="n"/>
      <c r="D792" s="13" t="n"/>
      <c r="E792" s="70" t="n"/>
      <c r="F792" s="70" t="n"/>
      <c r="G792" s="70" t="n"/>
      <c r="H792" s="13" t="n"/>
      <c r="I792" s="13" t="n"/>
      <c r="J792" s="13" t="n"/>
      <c r="K792" s="16">
        <f>IF($A792="","",1)</f>
        <v/>
      </c>
    </row>
    <row r="793">
      <c r="A793" s="13" t="n"/>
      <c r="B793" s="69" t="n"/>
      <c r="C793" s="13" t="n"/>
      <c r="D793" s="13" t="n"/>
      <c r="E793" s="70" t="n"/>
      <c r="F793" s="70" t="n"/>
      <c r="G793" s="70" t="n"/>
      <c r="H793" s="13" t="n"/>
      <c r="I793" s="13" t="n"/>
      <c r="J793" s="13" t="n"/>
      <c r="K793" s="16">
        <f>IF($A793="","",1)</f>
        <v/>
      </c>
    </row>
    <row r="794">
      <c r="A794" s="13" t="n"/>
      <c r="B794" s="69" t="n"/>
      <c r="C794" s="13" t="n"/>
      <c r="D794" s="13" t="n"/>
      <c r="E794" s="70" t="n"/>
      <c r="F794" s="70" t="n"/>
      <c r="G794" s="70" t="n"/>
      <c r="H794" s="13" t="n"/>
      <c r="I794" s="13" t="n"/>
      <c r="J794" s="13" t="n"/>
      <c r="K794" s="16">
        <f>IF($A794="","",1)</f>
        <v/>
      </c>
    </row>
    <row r="795">
      <c r="A795" s="13" t="n"/>
      <c r="B795" s="69" t="n"/>
      <c r="C795" s="13" t="n"/>
      <c r="D795" s="13" t="n"/>
      <c r="E795" s="70" t="n"/>
      <c r="F795" s="70" t="n"/>
      <c r="G795" s="70" t="n"/>
      <c r="H795" s="13" t="n"/>
      <c r="I795" s="13" t="n"/>
      <c r="J795" s="13" t="n"/>
      <c r="K795" s="16">
        <f>IF($A795="","",1)</f>
        <v/>
      </c>
    </row>
    <row r="796">
      <c r="A796" s="13" t="n"/>
      <c r="B796" s="69" t="n"/>
      <c r="C796" s="13" t="n"/>
      <c r="D796" s="13" t="n"/>
      <c r="E796" s="70" t="n"/>
      <c r="F796" s="70" t="n"/>
      <c r="G796" s="70" t="n"/>
      <c r="H796" s="13" t="n"/>
      <c r="I796" s="13" t="n"/>
      <c r="J796" s="13" t="n"/>
      <c r="K796" s="16">
        <f>IF($A796="","",1)</f>
        <v/>
      </c>
    </row>
    <row r="797">
      <c r="A797" s="13" t="n"/>
      <c r="B797" s="69" t="n"/>
      <c r="C797" s="13" t="n"/>
      <c r="D797" s="13" t="n"/>
      <c r="E797" s="70" t="n"/>
      <c r="F797" s="70" t="n"/>
      <c r="G797" s="70" t="n"/>
      <c r="H797" s="13" t="n"/>
      <c r="I797" s="13" t="n"/>
      <c r="J797" s="13" t="n"/>
      <c r="K797" s="16">
        <f>IF($A797="","",1)</f>
        <v/>
      </c>
    </row>
    <row r="798">
      <c r="A798" s="13" t="n"/>
      <c r="B798" s="69" t="n"/>
      <c r="C798" s="13" t="n"/>
      <c r="D798" s="13" t="n"/>
      <c r="E798" s="70" t="n"/>
      <c r="F798" s="70" t="n"/>
      <c r="G798" s="70" t="n"/>
      <c r="H798" s="13" t="n"/>
      <c r="I798" s="13" t="n"/>
      <c r="J798" s="13" t="n"/>
      <c r="K798" s="16">
        <f>IF($A798="","",1)</f>
        <v/>
      </c>
    </row>
    <row r="799">
      <c r="A799" s="13" t="n"/>
      <c r="B799" s="69" t="n"/>
      <c r="C799" s="13" t="n"/>
      <c r="D799" s="13" t="n"/>
      <c r="E799" s="70" t="n"/>
      <c r="F799" s="70" t="n"/>
      <c r="G799" s="70" t="n"/>
      <c r="H799" s="13" t="n"/>
      <c r="I799" s="13" t="n"/>
      <c r="J799" s="13" t="n"/>
      <c r="K799" s="16">
        <f>IF($A799="","",1)</f>
        <v/>
      </c>
    </row>
    <row r="800">
      <c r="A800" s="13" t="n"/>
      <c r="B800" s="69" t="n"/>
      <c r="C800" s="13" t="n"/>
      <c r="D800" s="13" t="n"/>
      <c r="E800" s="70" t="n"/>
      <c r="F800" s="70" t="n"/>
      <c r="G800" s="70" t="n"/>
      <c r="H800" s="13" t="n"/>
      <c r="I800" s="13" t="n"/>
      <c r="J800" s="13" t="n"/>
      <c r="K800" s="16">
        <f>IF($A800="","",1)</f>
        <v/>
      </c>
    </row>
    <row r="801">
      <c r="A801" s="13" t="n"/>
      <c r="B801" s="69" t="n"/>
      <c r="C801" s="13" t="n"/>
      <c r="D801" s="13" t="n"/>
      <c r="E801" s="70" t="n"/>
      <c r="F801" s="70" t="n"/>
      <c r="G801" s="70" t="n"/>
      <c r="H801" s="13" t="n"/>
      <c r="I801" s="13" t="n"/>
      <c r="J801" s="13" t="n"/>
      <c r="K801" s="16">
        <f>IF($A801="","",1)</f>
        <v/>
      </c>
    </row>
    <row r="802">
      <c r="A802" s="13" t="n"/>
      <c r="B802" s="69" t="n"/>
      <c r="C802" s="13" t="n"/>
      <c r="D802" s="13" t="n"/>
      <c r="E802" s="70" t="n"/>
      <c r="F802" s="70" t="n"/>
      <c r="G802" s="70" t="n"/>
      <c r="H802" s="13" t="n"/>
      <c r="I802" s="13" t="n"/>
      <c r="J802" s="13" t="n"/>
      <c r="K802" s="16">
        <f>IF($A802="","",1)</f>
        <v/>
      </c>
    </row>
    <row r="803">
      <c r="A803" s="13" t="n"/>
      <c r="B803" s="69" t="n"/>
      <c r="C803" s="13" t="n"/>
      <c r="D803" s="13" t="n"/>
      <c r="E803" s="70" t="n"/>
      <c r="F803" s="70" t="n"/>
      <c r="G803" s="70" t="n"/>
      <c r="H803" s="13" t="n"/>
      <c r="I803" s="13" t="n"/>
      <c r="J803" s="13" t="n"/>
      <c r="K803" s="16">
        <f>IF($A803="","",1)</f>
        <v/>
      </c>
    </row>
    <row r="804">
      <c r="A804" s="13" t="n"/>
      <c r="B804" s="69" t="n"/>
      <c r="C804" s="13" t="n"/>
      <c r="D804" s="13" t="n"/>
      <c r="E804" s="70" t="n"/>
      <c r="F804" s="70" t="n"/>
      <c r="G804" s="70" t="n"/>
      <c r="H804" s="13" t="n"/>
      <c r="I804" s="13" t="n"/>
      <c r="J804" s="13" t="n"/>
      <c r="K804" s="16">
        <f>IF($A804="","",1)</f>
        <v/>
      </c>
    </row>
    <row r="805">
      <c r="A805" s="13" t="n"/>
      <c r="B805" s="69" t="n"/>
      <c r="C805" s="13" t="n"/>
      <c r="D805" s="13" t="n"/>
      <c r="E805" s="70" t="n"/>
      <c r="F805" s="70" t="n"/>
      <c r="G805" s="70" t="n"/>
      <c r="H805" s="13" t="n"/>
      <c r="I805" s="13" t="n"/>
      <c r="J805" s="13" t="n"/>
      <c r="K805" s="16">
        <f>IF($A805="","",1)</f>
        <v/>
      </c>
    </row>
    <row r="806">
      <c r="A806" s="13" t="n"/>
      <c r="B806" s="69" t="n"/>
      <c r="C806" s="13" t="n"/>
      <c r="D806" s="13" t="n"/>
      <c r="E806" s="70" t="n"/>
      <c r="F806" s="70" t="n"/>
      <c r="G806" s="70" t="n"/>
      <c r="H806" s="13" t="n"/>
      <c r="I806" s="13" t="n"/>
      <c r="J806" s="13" t="n"/>
      <c r="K806" s="16">
        <f>IF($A806="","",1)</f>
        <v/>
      </c>
    </row>
    <row r="807">
      <c r="A807" s="13" t="n"/>
      <c r="B807" s="69" t="n"/>
      <c r="C807" s="13" t="n"/>
      <c r="D807" s="13" t="n"/>
      <c r="E807" s="70" t="n"/>
      <c r="F807" s="70" t="n"/>
      <c r="G807" s="70" t="n"/>
      <c r="H807" s="13" t="n"/>
      <c r="I807" s="13" t="n"/>
      <c r="J807" s="13" t="n"/>
      <c r="K807" s="16">
        <f>IF($A807="","",1)</f>
        <v/>
      </c>
    </row>
    <row r="808">
      <c r="A808" s="13" t="n"/>
      <c r="B808" s="69" t="n"/>
      <c r="C808" s="13" t="n"/>
      <c r="D808" s="13" t="n"/>
      <c r="E808" s="70" t="n"/>
      <c r="F808" s="70" t="n"/>
      <c r="G808" s="70" t="n"/>
      <c r="H808" s="13" t="n"/>
      <c r="I808" s="13" t="n"/>
      <c r="J808" s="13" t="n"/>
      <c r="K808" s="16">
        <f>IF($A808="","",1)</f>
        <v/>
      </c>
    </row>
    <row r="809">
      <c r="A809" s="13" t="n"/>
      <c r="B809" s="69" t="n"/>
      <c r="C809" s="13" t="n"/>
      <c r="D809" s="13" t="n"/>
      <c r="E809" s="70" t="n"/>
      <c r="F809" s="70" t="n"/>
      <c r="G809" s="70" t="n"/>
      <c r="H809" s="13" t="n"/>
      <c r="I809" s="13" t="n"/>
      <c r="J809" s="13" t="n"/>
      <c r="K809" s="16">
        <f>IF($A809="","",1)</f>
        <v/>
      </c>
    </row>
    <row r="810">
      <c r="A810" s="13" t="n"/>
      <c r="B810" s="69" t="n"/>
      <c r="C810" s="13" t="n"/>
      <c r="D810" s="13" t="n"/>
      <c r="E810" s="70" t="n"/>
      <c r="F810" s="70" t="n"/>
      <c r="G810" s="70" t="n"/>
      <c r="H810" s="13" t="n"/>
      <c r="I810" s="13" t="n"/>
      <c r="J810" s="13" t="n"/>
      <c r="K810" s="16">
        <f>IF($A810="","",1)</f>
        <v/>
      </c>
    </row>
    <row r="811">
      <c r="A811" s="13" t="n"/>
      <c r="B811" s="69" t="n"/>
      <c r="C811" s="13" t="n"/>
      <c r="D811" s="13" t="n"/>
      <c r="E811" s="70" t="n"/>
      <c r="F811" s="70" t="n"/>
      <c r="G811" s="70" t="n"/>
      <c r="H811" s="13" t="n"/>
      <c r="I811" s="13" t="n"/>
      <c r="J811" s="13" t="n"/>
      <c r="K811" s="16">
        <f>IF($A811="","",1)</f>
        <v/>
      </c>
    </row>
    <row r="812">
      <c r="A812" s="13" t="n"/>
      <c r="B812" s="69" t="n"/>
      <c r="C812" s="13" t="n"/>
      <c r="D812" s="13" t="n"/>
      <c r="E812" s="70" t="n"/>
      <c r="F812" s="70" t="n"/>
      <c r="G812" s="70" t="n"/>
      <c r="H812" s="13" t="n"/>
      <c r="I812" s="13" t="n"/>
      <c r="J812" s="13" t="n"/>
      <c r="K812" s="16">
        <f>IF($A812="","",1)</f>
        <v/>
      </c>
    </row>
    <row r="813">
      <c r="A813" s="13" t="n"/>
      <c r="B813" s="69" t="n"/>
      <c r="C813" s="13" t="n"/>
      <c r="D813" s="13" t="n"/>
      <c r="E813" s="70" t="n"/>
      <c r="F813" s="70" t="n"/>
      <c r="G813" s="70" t="n"/>
      <c r="H813" s="13" t="n"/>
      <c r="I813" s="13" t="n"/>
      <c r="J813" s="13" t="n"/>
      <c r="K813" s="16">
        <f>IF($A813="","",1)</f>
        <v/>
      </c>
    </row>
    <row r="814">
      <c r="A814" s="13" t="n"/>
      <c r="B814" s="69" t="n"/>
      <c r="C814" s="13" t="n"/>
      <c r="D814" s="13" t="n"/>
      <c r="E814" s="70" t="n"/>
      <c r="F814" s="70" t="n"/>
      <c r="G814" s="70" t="n"/>
      <c r="H814" s="13" t="n"/>
      <c r="I814" s="13" t="n"/>
      <c r="J814" s="13" t="n"/>
      <c r="K814" s="16">
        <f>IF($A814="","",1)</f>
        <v/>
      </c>
    </row>
    <row r="815">
      <c r="A815" s="13" t="n"/>
      <c r="B815" s="69" t="n"/>
      <c r="C815" s="13" t="n"/>
      <c r="D815" s="13" t="n"/>
      <c r="E815" s="70" t="n"/>
      <c r="F815" s="70" t="n"/>
      <c r="G815" s="70" t="n"/>
      <c r="H815" s="13" t="n"/>
      <c r="I815" s="13" t="n"/>
      <c r="J815" s="13" t="n"/>
      <c r="K815" s="16">
        <f>IF($A815="","",1)</f>
        <v/>
      </c>
    </row>
    <row r="816">
      <c r="A816" s="13" t="n"/>
      <c r="B816" s="69" t="n"/>
      <c r="C816" s="13" t="n"/>
      <c r="D816" s="13" t="n"/>
      <c r="E816" s="70" t="n"/>
      <c r="F816" s="70" t="n"/>
      <c r="G816" s="70" t="n"/>
      <c r="H816" s="13" t="n"/>
      <c r="I816" s="13" t="n"/>
      <c r="J816" s="13" t="n"/>
      <c r="K816" s="16">
        <f>IF($A816="","",1)</f>
        <v/>
      </c>
    </row>
    <row r="817">
      <c r="A817" s="13" t="n"/>
      <c r="B817" s="69" t="n"/>
      <c r="C817" s="13" t="n"/>
      <c r="D817" s="13" t="n"/>
      <c r="E817" s="70" t="n"/>
      <c r="F817" s="70" t="n"/>
      <c r="G817" s="70" t="n"/>
      <c r="H817" s="13" t="n"/>
      <c r="I817" s="13" t="n"/>
      <c r="J817" s="13" t="n"/>
      <c r="K817" s="16">
        <f>IF($A817="","",1)</f>
        <v/>
      </c>
    </row>
    <row r="818">
      <c r="A818" s="13" t="n"/>
      <c r="B818" s="69" t="n"/>
      <c r="C818" s="13" t="n"/>
      <c r="D818" s="13" t="n"/>
      <c r="E818" s="70" t="n"/>
      <c r="F818" s="70" t="n"/>
      <c r="G818" s="70" t="n"/>
      <c r="H818" s="13" t="n"/>
      <c r="I818" s="13" t="n"/>
      <c r="J818" s="13" t="n"/>
      <c r="K818" s="16">
        <f>IF($A818="","",1)</f>
        <v/>
      </c>
    </row>
    <row r="819">
      <c r="A819" s="13" t="n"/>
      <c r="B819" s="69" t="n"/>
      <c r="C819" s="13" t="n"/>
      <c r="D819" s="13" t="n"/>
      <c r="E819" s="70" t="n"/>
      <c r="F819" s="70" t="n"/>
      <c r="G819" s="70" t="n"/>
      <c r="H819" s="13" t="n"/>
      <c r="I819" s="13" t="n"/>
      <c r="J819" s="13" t="n"/>
      <c r="K819" s="16">
        <f>IF($A819="","",1)</f>
        <v/>
      </c>
    </row>
    <row r="820">
      <c r="A820" s="13" t="n"/>
      <c r="B820" s="69" t="n"/>
      <c r="C820" s="13" t="n"/>
      <c r="D820" s="13" t="n"/>
      <c r="E820" s="70" t="n"/>
      <c r="F820" s="70" t="n"/>
      <c r="G820" s="70" t="n"/>
      <c r="H820" s="13" t="n"/>
      <c r="I820" s="13" t="n"/>
      <c r="J820" s="13" t="n"/>
      <c r="K820" s="16">
        <f>IF($A820="","",1)</f>
        <v/>
      </c>
    </row>
    <row r="821">
      <c r="A821" s="13" t="n"/>
      <c r="B821" s="69" t="n"/>
      <c r="C821" s="13" t="n"/>
      <c r="D821" s="13" t="n"/>
      <c r="E821" s="70" t="n"/>
      <c r="F821" s="70" t="n"/>
      <c r="G821" s="70" t="n"/>
      <c r="H821" s="13" t="n"/>
      <c r="I821" s="13" t="n"/>
      <c r="J821" s="13" t="n"/>
      <c r="K821" s="16">
        <f>IF($A821="","",1)</f>
        <v/>
      </c>
    </row>
    <row r="822">
      <c r="A822" s="13" t="n"/>
      <c r="B822" s="69" t="n"/>
      <c r="C822" s="13" t="n"/>
      <c r="D822" s="13" t="n"/>
      <c r="E822" s="70" t="n"/>
      <c r="F822" s="70" t="n"/>
      <c r="G822" s="70" t="n"/>
      <c r="H822" s="13" t="n"/>
      <c r="I822" s="13" t="n"/>
      <c r="J822" s="13" t="n"/>
      <c r="K822" s="16">
        <f>IF($A822="","",1)</f>
        <v/>
      </c>
    </row>
    <row r="823">
      <c r="A823" s="13" t="n"/>
      <c r="B823" s="69" t="n"/>
      <c r="C823" s="13" t="n"/>
      <c r="D823" s="13" t="n"/>
      <c r="E823" s="70" t="n"/>
      <c r="F823" s="70" t="n"/>
      <c r="G823" s="70" t="n"/>
      <c r="H823" s="13" t="n"/>
      <c r="I823" s="13" t="n"/>
      <c r="J823" s="13" t="n"/>
      <c r="K823" s="16">
        <f>IF($A823="","",1)</f>
        <v/>
      </c>
    </row>
    <row r="824">
      <c r="A824" s="13" t="n"/>
      <c r="B824" s="69" t="n"/>
      <c r="C824" s="13" t="n"/>
      <c r="D824" s="13" t="n"/>
      <c r="E824" s="70" t="n"/>
      <c r="F824" s="70" t="n"/>
      <c r="G824" s="70" t="n"/>
      <c r="H824" s="13" t="n"/>
      <c r="I824" s="13" t="n"/>
      <c r="J824" s="13" t="n"/>
      <c r="K824" s="16">
        <f>IF($A824="","",1)</f>
        <v/>
      </c>
    </row>
    <row r="825">
      <c r="A825" s="13" t="n"/>
      <c r="B825" s="69" t="n"/>
      <c r="C825" s="13" t="n"/>
      <c r="D825" s="13" t="n"/>
      <c r="E825" s="70" t="n"/>
      <c r="F825" s="70" t="n"/>
      <c r="G825" s="70" t="n"/>
      <c r="H825" s="13" t="n"/>
      <c r="I825" s="13" t="n"/>
      <c r="J825" s="13" t="n"/>
      <c r="K825" s="16">
        <f>IF($A825="","",1)</f>
        <v/>
      </c>
    </row>
    <row r="826">
      <c r="A826" s="13" t="n"/>
      <c r="B826" s="69" t="n"/>
      <c r="C826" s="13" t="n"/>
      <c r="D826" s="13" t="n"/>
      <c r="E826" s="70" t="n"/>
      <c r="F826" s="70" t="n"/>
      <c r="G826" s="70" t="n"/>
      <c r="H826" s="13" t="n"/>
      <c r="I826" s="13" t="n"/>
      <c r="J826" s="13" t="n"/>
      <c r="K826" s="16">
        <f>IF($A826="","",1)</f>
        <v/>
      </c>
    </row>
    <row r="827">
      <c r="A827" s="13" t="n"/>
      <c r="B827" s="69" t="n"/>
      <c r="C827" s="13" t="n"/>
      <c r="D827" s="13" t="n"/>
      <c r="E827" s="70" t="n"/>
      <c r="F827" s="70" t="n"/>
      <c r="G827" s="70" t="n"/>
      <c r="H827" s="13" t="n"/>
      <c r="I827" s="13" t="n"/>
      <c r="J827" s="13" t="n"/>
      <c r="K827" s="16">
        <f>IF($A827="","",1)</f>
        <v/>
      </c>
    </row>
    <row r="828">
      <c r="A828" s="13" t="n"/>
      <c r="B828" s="69" t="n"/>
      <c r="C828" s="13" t="n"/>
      <c r="D828" s="13" t="n"/>
      <c r="E828" s="70" t="n"/>
      <c r="F828" s="70" t="n"/>
      <c r="G828" s="70" t="n"/>
      <c r="H828" s="13" t="n"/>
      <c r="I828" s="13" t="n"/>
      <c r="J828" s="13" t="n"/>
      <c r="K828" s="16">
        <f>IF($A828="","",1)</f>
        <v/>
      </c>
    </row>
    <row r="829">
      <c r="A829" s="13" t="n"/>
      <c r="B829" s="69" t="n"/>
      <c r="C829" s="13" t="n"/>
      <c r="D829" s="13" t="n"/>
      <c r="E829" s="70" t="n"/>
      <c r="F829" s="70" t="n"/>
      <c r="G829" s="70" t="n"/>
      <c r="H829" s="13" t="n"/>
      <c r="I829" s="13" t="n"/>
      <c r="J829" s="13" t="n"/>
      <c r="K829" s="16">
        <f>IF($A829="","",1)</f>
        <v/>
      </c>
    </row>
    <row r="830">
      <c r="A830" s="13" t="n"/>
      <c r="B830" s="69" t="n"/>
      <c r="C830" s="13" t="n"/>
      <c r="D830" s="13" t="n"/>
      <c r="E830" s="70" t="n"/>
      <c r="F830" s="70" t="n"/>
      <c r="G830" s="70" t="n"/>
      <c r="H830" s="13" t="n"/>
      <c r="I830" s="13" t="n"/>
      <c r="J830" s="13" t="n"/>
      <c r="K830" s="16">
        <f>IF($A830="","",1)</f>
        <v/>
      </c>
    </row>
    <row r="831">
      <c r="A831" s="13" t="n"/>
      <c r="B831" s="69" t="n"/>
      <c r="C831" s="13" t="n"/>
      <c r="D831" s="13" t="n"/>
      <c r="E831" s="70" t="n"/>
      <c r="F831" s="70" t="n"/>
      <c r="G831" s="70" t="n"/>
      <c r="H831" s="13" t="n"/>
      <c r="I831" s="13" t="n"/>
      <c r="J831" s="13" t="n"/>
      <c r="K831" s="16">
        <f>IF($A831="","",1)</f>
        <v/>
      </c>
    </row>
    <row r="832">
      <c r="A832" s="13" t="n"/>
      <c r="B832" s="69" t="n"/>
      <c r="C832" s="13" t="n"/>
      <c r="D832" s="13" t="n"/>
      <c r="E832" s="70" t="n"/>
      <c r="F832" s="70" t="n"/>
      <c r="G832" s="70" t="n"/>
      <c r="H832" s="13" t="n"/>
      <c r="I832" s="13" t="n"/>
      <c r="J832" s="13" t="n"/>
      <c r="K832" s="16">
        <f>IF($A832="","",1)</f>
        <v/>
      </c>
    </row>
    <row r="833">
      <c r="A833" s="13" t="n"/>
      <c r="B833" s="69" t="n"/>
      <c r="C833" s="13" t="n"/>
      <c r="D833" s="13" t="n"/>
      <c r="E833" s="70" t="n"/>
      <c r="F833" s="70" t="n"/>
      <c r="G833" s="70" t="n"/>
      <c r="H833" s="13" t="n"/>
      <c r="I833" s="13" t="n"/>
      <c r="J833" s="13" t="n"/>
      <c r="K833" s="16">
        <f>IF($A833="","",1)</f>
        <v/>
      </c>
    </row>
    <row r="834">
      <c r="A834" s="13" t="n"/>
      <c r="B834" s="69" t="n"/>
      <c r="C834" s="13" t="n"/>
      <c r="D834" s="13" t="n"/>
      <c r="E834" s="70" t="n"/>
      <c r="F834" s="70" t="n"/>
      <c r="G834" s="70" t="n"/>
      <c r="H834" s="13" t="n"/>
      <c r="I834" s="13" t="n"/>
      <c r="J834" s="13" t="n"/>
      <c r="K834" s="16">
        <f>IF($A834="","",1)</f>
        <v/>
      </c>
    </row>
    <row r="835">
      <c r="A835" s="13" t="n"/>
      <c r="B835" s="69" t="n"/>
      <c r="C835" s="13" t="n"/>
      <c r="D835" s="13" t="n"/>
      <c r="E835" s="70" t="n"/>
      <c r="F835" s="70" t="n"/>
      <c r="G835" s="70" t="n"/>
      <c r="H835" s="13" t="n"/>
      <c r="I835" s="13" t="n"/>
      <c r="J835" s="13" t="n"/>
      <c r="K835" s="16">
        <f>IF($A835="","",1)</f>
        <v/>
      </c>
    </row>
    <row r="836">
      <c r="A836" s="13" t="n"/>
      <c r="B836" s="69" t="n"/>
      <c r="C836" s="13" t="n"/>
      <c r="D836" s="13" t="n"/>
      <c r="E836" s="70" t="n"/>
      <c r="F836" s="70" t="n"/>
      <c r="G836" s="70" t="n"/>
      <c r="H836" s="13" t="n"/>
      <c r="I836" s="13" t="n"/>
      <c r="J836" s="13" t="n"/>
      <c r="K836" s="16">
        <f>IF($A836="","",1)</f>
        <v/>
      </c>
    </row>
    <row r="837">
      <c r="A837" s="13" t="n"/>
      <c r="B837" s="69" t="n"/>
      <c r="C837" s="13" t="n"/>
      <c r="D837" s="13" t="n"/>
      <c r="E837" s="70" t="n"/>
      <c r="F837" s="70" t="n"/>
      <c r="G837" s="70" t="n"/>
      <c r="H837" s="13" t="n"/>
      <c r="I837" s="13" t="n"/>
      <c r="J837" s="13" t="n"/>
      <c r="K837" s="16">
        <f>IF($A837="","",1)</f>
        <v/>
      </c>
    </row>
    <row r="838">
      <c r="A838" s="13" t="n"/>
      <c r="B838" s="69" t="n"/>
      <c r="C838" s="13" t="n"/>
      <c r="D838" s="13" t="n"/>
      <c r="E838" s="70" t="n"/>
      <c r="F838" s="70" t="n"/>
      <c r="G838" s="70" t="n"/>
      <c r="H838" s="13" t="n"/>
      <c r="I838" s="13" t="n"/>
      <c r="J838" s="13" t="n"/>
      <c r="K838" s="16">
        <f>IF($A838="","",1)</f>
        <v/>
      </c>
    </row>
    <row r="839">
      <c r="A839" s="13" t="n"/>
      <c r="B839" s="69" t="n"/>
      <c r="C839" s="13" t="n"/>
      <c r="D839" s="13" t="n"/>
      <c r="E839" s="70" t="n"/>
      <c r="F839" s="70" t="n"/>
      <c r="G839" s="70" t="n"/>
      <c r="H839" s="13" t="n"/>
      <c r="I839" s="13" t="n"/>
      <c r="J839" s="13" t="n"/>
      <c r="K839" s="16">
        <f>IF($A839="","",1)</f>
        <v/>
      </c>
    </row>
    <row r="840">
      <c r="A840" s="13" t="n"/>
      <c r="B840" s="69" t="n"/>
      <c r="C840" s="13" t="n"/>
      <c r="D840" s="13" t="n"/>
      <c r="E840" s="70" t="n"/>
      <c r="F840" s="70" t="n"/>
      <c r="G840" s="70" t="n"/>
      <c r="H840" s="13" t="n"/>
      <c r="I840" s="13" t="n"/>
      <c r="J840" s="13" t="n"/>
      <c r="K840" s="16">
        <f>IF($A840="","",1)</f>
        <v/>
      </c>
    </row>
    <row r="841">
      <c r="A841" s="13" t="n"/>
      <c r="B841" s="69" t="n"/>
      <c r="C841" s="13" t="n"/>
      <c r="D841" s="13" t="n"/>
      <c r="E841" s="70" t="n"/>
      <c r="F841" s="70" t="n"/>
      <c r="G841" s="70" t="n"/>
      <c r="H841" s="13" t="n"/>
      <c r="I841" s="13" t="n"/>
      <c r="J841" s="13" t="n"/>
      <c r="K841" s="16">
        <f>IF($A841="","",1)</f>
        <v/>
      </c>
    </row>
    <row r="842">
      <c r="A842" s="13" t="n"/>
      <c r="B842" s="69" t="n"/>
      <c r="C842" s="13" t="n"/>
      <c r="D842" s="13" t="n"/>
      <c r="E842" s="70" t="n"/>
      <c r="F842" s="70" t="n"/>
      <c r="G842" s="70" t="n"/>
      <c r="H842" s="13" t="n"/>
      <c r="I842" s="13" t="n"/>
      <c r="J842" s="13" t="n"/>
      <c r="K842" s="16">
        <f>IF($A842="","",1)</f>
        <v/>
      </c>
    </row>
    <row r="843">
      <c r="A843" s="13" t="n"/>
      <c r="B843" s="69" t="n"/>
      <c r="C843" s="13" t="n"/>
      <c r="D843" s="13" t="n"/>
      <c r="E843" s="70" t="n"/>
      <c r="F843" s="70" t="n"/>
      <c r="G843" s="70" t="n"/>
      <c r="H843" s="13" t="n"/>
      <c r="I843" s="13" t="n"/>
      <c r="J843" s="13" t="n"/>
      <c r="K843" s="16">
        <f>IF($A843="","",1)</f>
        <v/>
      </c>
    </row>
    <row r="844">
      <c r="A844" s="13" t="n"/>
      <c r="B844" s="69" t="n"/>
      <c r="C844" s="13" t="n"/>
      <c r="D844" s="13" t="n"/>
      <c r="E844" s="70" t="n"/>
      <c r="F844" s="70" t="n"/>
      <c r="G844" s="70" t="n"/>
      <c r="H844" s="13" t="n"/>
      <c r="I844" s="13" t="n"/>
      <c r="J844" s="13" t="n"/>
      <c r="K844" s="16">
        <f>IF($A844="","",1)</f>
        <v/>
      </c>
    </row>
    <row r="845">
      <c r="A845" s="13" t="n"/>
      <c r="B845" s="69" t="n"/>
      <c r="C845" s="13" t="n"/>
      <c r="D845" s="13" t="n"/>
      <c r="E845" s="70" t="n"/>
      <c r="F845" s="70" t="n"/>
      <c r="G845" s="70" t="n"/>
      <c r="H845" s="13" t="n"/>
      <c r="I845" s="13" t="n"/>
      <c r="J845" s="13" t="n"/>
      <c r="K845" s="16">
        <f>IF($A845="","",1)</f>
        <v/>
      </c>
    </row>
    <row r="846">
      <c r="A846" s="13" t="n"/>
      <c r="B846" s="69" t="n"/>
      <c r="C846" s="13" t="n"/>
      <c r="D846" s="13" t="n"/>
      <c r="E846" s="70" t="n"/>
      <c r="F846" s="70" t="n"/>
      <c r="G846" s="70" t="n"/>
      <c r="H846" s="13" t="n"/>
      <c r="I846" s="13" t="n"/>
      <c r="J846" s="13" t="n"/>
      <c r="K846" s="16">
        <f>IF($A846="","",1)</f>
        <v/>
      </c>
    </row>
    <row r="847">
      <c r="A847" s="13" t="n"/>
      <c r="B847" s="69" t="n"/>
      <c r="C847" s="13" t="n"/>
      <c r="D847" s="13" t="n"/>
      <c r="E847" s="70" t="n"/>
      <c r="F847" s="70" t="n"/>
      <c r="G847" s="70" t="n"/>
      <c r="H847" s="13" t="n"/>
      <c r="I847" s="13" t="n"/>
      <c r="J847" s="13" t="n"/>
      <c r="K847" s="16">
        <f>IF($A847="","",1)</f>
        <v/>
      </c>
    </row>
    <row r="848">
      <c r="A848" s="13" t="n"/>
      <c r="B848" s="69" t="n"/>
      <c r="C848" s="13" t="n"/>
      <c r="D848" s="13" t="n"/>
      <c r="E848" s="70" t="n"/>
      <c r="F848" s="70" t="n"/>
      <c r="G848" s="70" t="n"/>
      <c r="H848" s="13" t="n"/>
      <c r="I848" s="13" t="n"/>
      <c r="J848" s="13" t="n"/>
      <c r="K848" s="16">
        <f>IF($A848="","",1)</f>
        <v/>
      </c>
    </row>
    <row r="849">
      <c r="A849" s="13" t="n"/>
      <c r="B849" s="69" t="n"/>
      <c r="C849" s="13" t="n"/>
      <c r="D849" s="13" t="n"/>
      <c r="E849" s="70" t="n"/>
      <c r="F849" s="70" t="n"/>
      <c r="G849" s="70" t="n"/>
      <c r="H849" s="13" t="n"/>
      <c r="I849" s="13" t="n"/>
      <c r="J849" s="13" t="n"/>
      <c r="K849" s="16">
        <f>IF($A849="","",1)</f>
        <v/>
      </c>
    </row>
    <row r="850">
      <c r="A850" s="13" t="n"/>
      <c r="B850" s="69" t="n"/>
      <c r="C850" s="13" t="n"/>
      <c r="D850" s="13" t="n"/>
      <c r="E850" s="70" t="n"/>
      <c r="F850" s="70" t="n"/>
      <c r="G850" s="70" t="n"/>
      <c r="H850" s="13" t="n"/>
      <c r="I850" s="13" t="n"/>
      <c r="J850" s="13" t="n"/>
      <c r="K850" s="16">
        <f>IF($A850="","",1)</f>
        <v/>
      </c>
    </row>
    <row r="851">
      <c r="A851" s="13" t="n"/>
      <c r="B851" s="69" t="n"/>
      <c r="C851" s="13" t="n"/>
      <c r="D851" s="13" t="n"/>
      <c r="E851" s="70" t="n"/>
      <c r="F851" s="70" t="n"/>
      <c r="G851" s="70" t="n"/>
      <c r="H851" s="13" t="n"/>
      <c r="I851" s="13" t="n"/>
      <c r="J851" s="13" t="n"/>
      <c r="K851" s="16">
        <f>IF($A851="","",1)</f>
        <v/>
      </c>
    </row>
    <row r="852">
      <c r="A852" s="13" t="n"/>
      <c r="B852" s="69" t="n"/>
      <c r="C852" s="13" t="n"/>
      <c r="D852" s="13" t="n"/>
      <c r="E852" s="70" t="n"/>
      <c r="F852" s="70" t="n"/>
      <c r="G852" s="70" t="n"/>
      <c r="H852" s="13" t="n"/>
      <c r="I852" s="13" t="n"/>
      <c r="J852" s="13" t="n"/>
      <c r="K852" s="16">
        <f>IF($A852="","",1)</f>
        <v/>
      </c>
    </row>
    <row r="853">
      <c r="A853" s="13" t="n"/>
      <c r="B853" s="69" t="n"/>
      <c r="C853" s="13" t="n"/>
      <c r="D853" s="13" t="n"/>
      <c r="E853" s="70" t="n"/>
      <c r="F853" s="70" t="n"/>
      <c r="G853" s="70" t="n"/>
      <c r="H853" s="13" t="n"/>
      <c r="I853" s="13" t="n"/>
      <c r="J853" s="13" t="n"/>
      <c r="K853" s="16">
        <f>IF($A853="","",1)</f>
        <v/>
      </c>
    </row>
    <row r="854">
      <c r="A854" s="13" t="n"/>
      <c r="B854" s="69" t="n"/>
      <c r="C854" s="13" t="n"/>
      <c r="D854" s="13" t="n"/>
      <c r="E854" s="70" t="n"/>
      <c r="F854" s="70" t="n"/>
      <c r="G854" s="70" t="n"/>
      <c r="H854" s="13" t="n"/>
      <c r="I854" s="13" t="n"/>
      <c r="J854" s="13" t="n"/>
      <c r="K854" s="16">
        <f>IF($A854="","",1)</f>
        <v/>
      </c>
    </row>
    <row r="855">
      <c r="A855" s="13" t="n"/>
      <c r="B855" s="69" t="n"/>
      <c r="C855" s="13" t="n"/>
      <c r="D855" s="13" t="n"/>
      <c r="E855" s="70" t="n"/>
      <c r="F855" s="70" t="n"/>
      <c r="G855" s="70" t="n"/>
      <c r="H855" s="13" t="n"/>
      <c r="I855" s="13" t="n"/>
      <c r="J855" s="13" t="n"/>
      <c r="K855" s="16">
        <f>IF($A855="","",1)</f>
        <v/>
      </c>
    </row>
    <row r="856">
      <c r="A856" s="13" t="n"/>
      <c r="B856" s="69" t="n"/>
      <c r="C856" s="13" t="n"/>
      <c r="D856" s="13" t="n"/>
      <c r="E856" s="70" t="n"/>
      <c r="F856" s="70" t="n"/>
      <c r="G856" s="70" t="n"/>
      <c r="H856" s="13" t="n"/>
      <c r="I856" s="13" t="n"/>
      <c r="J856" s="13" t="n"/>
      <c r="K856" s="16">
        <f>IF($A856="","",1)</f>
        <v/>
      </c>
    </row>
    <row r="857">
      <c r="A857" s="13" t="n"/>
      <c r="B857" s="69" t="n"/>
      <c r="C857" s="13" t="n"/>
      <c r="D857" s="13" t="n"/>
      <c r="E857" s="70" t="n"/>
      <c r="F857" s="70" t="n"/>
      <c r="G857" s="70" t="n"/>
      <c r="H857" s="13" t="n"/>
      <c r="I857" s="13" t="n"/>
      <c r="J857" s="13" t="n"/>
      <c r="K857" s="16">
        <f>IF($A857="","",1)</f>
        <v/>
      </c>
    </row>
    <row r="858">
      <c r="A858" s="13" t="n"/>
      <c r="B858" s="69" t="n"/>
      <c r="C858" s="13" t="n"/>
      <c r="D858" s="13" t="n"/>
      <c r="E858" s="70" t="n"/>
      <c r="F858" s="70" t="n"/>
      <c r="G858" s="70" t="n"/>
      <c r="H858" s="13" t="n"/>
      <c r="I858" s="13" t="n"/>
      <c r="J858" s="13" t="n"/>
      <c r="K858" s="16">
        <f>IF($A858="","",1)</f>
        <v/>
      </c>
    </row>
    <row r="859">
      <c r="A859" s="13" t="n"/>
      <c r="B859" s="69" t="n"/>
      <c r="C859" s="13" t="n"/>
      <c r="D859" s="13" t="n"/>
      <c r="E859" s="70" t="n"/>
      <c r="F859" s="70" t="n"/>
      <c r="G859" s="70" t="n"/>
      <c r="H859" s="13" t="n"/>
      <c r="I859" s="13" t="n"/>
      <c r="J859" s="13" t="n"/>
      <c r="K859" s="16">
        <f>IF($A859="","",1)</f>
        <v/>
      </c>
    </row>
    <row r="860">
      <c r="A860" s="13" t="n"/>
      <c r="B860" s="69" t="n"/>
      <c r="C860" s="13" t="n"/>
      <c r="D860" s="13" t="n"/>
      <c r="E860" s="70" t="n"/>
      <c r="F860" s="70" t="n"/>
      <c r="G860" s="70" t="n"/>
      <c r="H860" s="13" t="n"/>
      <c r="I860" s="13" t="n"/>
      <c r="J860" s="13" t="n"/>
      <c r="K860" s="16">
        <f>IF($A860="","",1)</f>
        <v/>
      </c>
    </row>
    <row r="861">
      <c r="A861" s="13" t="n"/>
      <c r="B861" s="69" t="n"/>
      <c r="C861" s="13" t="n"/>
      <c r="D861" s="13" t="n"/>
      <c r="E861" s="70" t="n"/>
      <c r="F861" s="70" t="n"/>
      <c r="G861" s="70" t="n"/>
      <c r="H861" s="13" t="n"/>
      <c r="I861" s="13" t="n"/>
      <c r="J861" s="13" t="n"/>
      <c r="K861" s="16">
        <f>IF($A861="","",1)</f>
        <v/>
      </c>
    </row>
    <row r="862">
      <c r="A862" s="13" t="n"/>
      <c r="B862" s="69" t="n"/>
      <c r="C862" s="13" t="n"/>
      <c r="D862" s="13" t="n"/>
      <c r="E862" s="70" t="n"/>
      <c r="F862" s="70" t="n"/>
      <c r="G862" s="70" t="n"/>
      <c r="H862" s="13" t="n"/>
      <c r="I862" s="13" t="n"/>
      <c r="J862" s="13" t="n"/>
      <c r="K862" s="16">
        <f>IF($A862="","",1)</f>
        <v/>
      </c>
    </row>
    <row r="863">
      <c r="A863" s="13" t="n"/>
      <c r="B863" s="69" t="n"/>
      <c r="C863" s="13" t="n"/>
      <c r="D863" s="13" t="n"/>
      <c r="E863" s="70" t="n"/>
      <c r="F863" s="70" t="n"/>
      <c r="G863" s="70" t="n"/>
      <c r="H863" s="13" t="n"/>
      <c r="I863" s="13" t="n"/>
      <c r="J863" s="13" t="n"/>
      <c r="K863" s="16">
        <f>IF($A863="","",1)</f>
        <v/>
      </c>
    </row>
    <row r="864">
      <c r="A864" s="13" t="n"/>
      <c r="B864" s="69" t="n"/>
      <c r="C864" s="13" t="n"/>
      <c r="D864" s="13" t="n"/>
      <c r="E864" s="70" t="n"/>
      <c r="F864" s="70" t="n"/>
      <c r="G864" s="70" t="n"/>
      <c r="H864" s="13" t="n"/>
      <c r="I864" s="13" t="n"/>
      <c r="J864" s="13" t="n"/>
      <c r="K864" s="16">
        <f>IF($A864="","",1)</f>
        <v/>
      </c>
    </row>
    <row r="865">
      <c r="A865" s="13" t="n"/>
      <c r="B865" s="69" t="n"/>
      <c r="C865" s="13" t="n"/>
      <c r="D865" s="13" t="n"/>
      <c r="E865" s="70" t="n"/>
      <c r="F865" s="70" t="n"/>
      <c r="G865" s="70" t="n"/>
      <c r="H865" s="13" t="n"/>
      <c r="I865" s="13" t="n"/>
      <c r="J865" s="13" t="n"/>
      <c r="K865" s="16">
        <f>IF($A865="","",1)</f>
        <v/>
      </c>
    </row>
    <row r="866">
      <c r="A866" s="13" t="n"/>
      <c r="B866" s="69" t="n"/>
      <c r="C866" s="13" t="n"/>
      <c r="D866" s="13" t="n"/>
      <c r="E866" s="70" t="n"/>
      <c r="F866" s="70" t="n"/>
      <c r="G866" s="70" t="n"/>
      <c r="H866" s="13" t="n"/>
      <c r="I866" s="13" t="n"/>
      <c r="J866" s="13" t="n"/>
      <c r="K866" s="16">
        <f>IF($A866="","",1)</f>
        <v/>
      </c>
    </row>
    <row r="867">
      <c r="A867" s="13" t="n"/>
      <c r="B867" s="69" t="n"/>
      <c r="C867" s="13" t="n"/>
      <c r="D867" s="13" t="n"/>
      <c r="E867" s="70" t="n"/>
      <c r="F867" s="70" t="n"/>
      <c r="G867" s="70" t="n"/>
      <c r="H867" s="13" t="n"/>
      <c r="I867" s="13" t="n"/>
      <c r="J867" s="13" t="n"/>
      <c r="K867" s="16">
        <f>IF($A867="","",1)</f>
        <v/>
      </c>
    </row>
    <row r="868">
      <c r="A868" s="13" t="n"/>
      <c r="B868" s="69" t="n"/>
      <c r="C868" s="13" t="n"/>
      <c r="D868" s="13" t="n"/>
      <c r="E868" s="70" t="n"/>
      <c r="F868" s="70" t="n"/>
      <c r="G868" s="70" t="n"/>
      <c r="H868" s="13" t="n"/>
      <c r="I868" s="13" t="n"/>
      <c r="J868" s="13" t="n"/>
      <c r="K868" s="16">
        <f>IF($A868="","",1)</f>
        <v/>
      </c>
    </row>
    <row r="869">
      <c r="A869" s="13" t="n"/>
      <c r="B869" s="69" t="n"/>
      <c r="C869" s="13" t="n"/>
      <c r="D869" s="13" t="n"/>
      <c r="E869" s="70" t="n"/>
      <c r="F869" s="70" t="n"/>
      <c r="G869" s="70" t="n"/>
      <c r="H869" s="13" t="n"/>
      <c r="I869" s="13" t="n"/>
      <c r="J869" s="13" t="n"/>
      <c r="K869" s="16">
        <f>IF($A869="","",1)</f>
        <v/>
      </c>
    </row>
    <row r="870">
      <c r="A870" s="13" t="n"/>
      <c r="B870" s="69" t="n"/>
      <c r="C870" s="13" t="n"/>
      <c r="D870" s="13" t="n"/>
      <c r="E870" s="70" t="n"/>
      <c r="F870" s="70" t="n"/>
      <c r="G870" s="70" t="n"/>
      <c r="H870" s="13" t="n"/>
      <c r="I870" s="13" t="n"/>
      <c r="J870" s="13" t="n"/>
      <c r="K870" s="16">
        <f>IF($A870="","",1)</f>
        <v/>
      </c>
    </row>
    <row r="871">
      <c r="A871" s="13" t="n"/>
      <c r="B871" s="69" t="n"/>
      <c r="C871" s="13" t="n"/>
      <c r="D871" s="13" t="n"/>
      <c r="E871" s="70" t="n"/>
      <c r="F871" s="70" t="n"/>
      <c r="G871" s="70" t="n"/>
      <c r="H871" s="13" t="n"/>
      <c r="I871" s="13" t="n"/>
      <c r="J871" s="13" t="n"/>
      <c r="K871" s="16">
        <f>IF($A871="","",1)</f>
        <v/>
      </c>
    </row>
    <row r="872">
      <c r="A872" s="13" t="n"/>
      <c r="B872" s="69" t="n"/>
      <c r="C872" s="13" t="n"/>
      <c r="D872" s="13" t="n"/>
      <c r="E872" s="70" t="n"/>
      <c r="F872" s="70" t="n"/>
      <c r="G872" s="70" t="n"/>
      <c r="H872" s="13" t="n"/>
      <c r="I872" s="13" t="n"/>
      <c r="J872" s="13" t="n"/>
      <c r="K872" s="16">
        <f>IF($A872="","",1)</f>
        <v/>
      </c>
    </row>
    <row r="873">
      <c r="A873" s="13" t="n"/>
      <c r="B873" s="69" t="n"/>
      <c r="C873" s="13" t="n"/>
      <c r="D873" s="13" t="n"/>
      <c r="E873" s="70" t="n"/>
      <c r="F873" s="70" t="n"/>
      <c r="G873" s="70" t="n"/>
      <c r="H873" s="13" t="n"/>
      <c r="I873" s="13" t="n"/>
      <c r="J873" s="13" t="n"/>
      <c r="K873" s="16">
        <f>IF($A873="","",1)</f>
        <v/>
      </c>
    </row>
    <row r="874">
      <c r="A874" s="13" t="n"/>
      <c r="B874" s="69" t="n"/>
      <c r="C874" s="13" t="n"/>
      <c r="D874" s="13" t="n"/>
      <c r="E874" s="70" t="n"/>
      <c r="F874" s="70" t="n"/>
      <c r="G874" s="70" t="n"/>
      <c r="H874" s="13" t="n"/>
      <c r="I874" s="13" t="n"/>
      <c r="J874" s="13" t="n"/>
      <c r="K874" s="16">
        <f>IF($A874="","",1)</f>
        <v/>
      </c>
    </row>
    <row r="875">
      <c r="A875" s="13" t="n"/>
      <c r="B875" s="69" t="n"/>
      <c r="C875" s="13" t="n"/>
      <c r="D875" s="13" t="n"/>
      <c r="E875" s="70" t="n"/>
      <c r="F875" s="70" t="n"/>
      <c r="G875" s="70" t="n"/>
      <c r="H875" s="13" t="n"/>
      <c r="I875" s="13" t="n"/>
      <c r="J875" s="13" t="n"/>
      <c r="K875" s="16">
        <f>IF($A875="","",1)</f>
        <v/>
      </c>
    </row>
    <row r="876">
      <c r="A876" s="13" t="n"/>
      <c r="B876" s="69" t="n"/>
      <c r="C876" s="13" t="n"/>
      <c r="D876" s="13" t="n"/>
      <c r="E876" s="70" t="n"/>
      <c r="F876" s="70" t="n"/>
      <c r="G876" s="70" t="n"/>
      <c r="H876" s="13" t="n"/>
      <c r="I876" s="13" t="n"/>
      <c r="J876" s="13" t="n"/>
      <c r="K876" s="16">
        <f>IF($A876="","",1)</f>
        <v/>
      </c>
    </row>
    <row r="877">
      <c r="A877" s="13" t="n"/>
      <c r="B877" s="69" t="n"/>
      <c r="C877" s="13" t="n"/>
      <c r="D877" s="13" t="n"/>
      <c r="E877" s="70" t="n"/>
      <c r="F877" s="70" t="n"/>
      <c r="G877" s="70" t="n"/>
      <c r="H877" s="13" t="n"/>
      <c r="I877" s="13" t="n"/>
      <c r="J877" s="13" t="n"/>
      <c r="K877" s="16">
        <f>IF($A877="","",1)</f>
        <v/>
      </c>
    </row>
    <row r="878">
      <c r="A878" s="13" t="n"/>
      <c r="B878" s="69" t="n"/>
      <c r="C878" s="13" t="n"/>
      <c r="D878" s="13" t="n"/>
      <c r="E878" s="70" t="n"/>
      <c r="F878" s="70" t="n"/>
      <c r="G878" s="70" t="n"/>
      <c r="H878" s="13" t="n"/>
      <c r="I878" s="13" t="n"/>
      <c r="J878" s="13" t="n"/>
      <c r="K878" s="16">
        <f>IF($A878="","",1)</f>
        <v/>
      </c>
    </row>
    <row r="879">
      <c r="A879" s="13" t="n"/>
      <c r="B879" s="69" t="n"/>
      <c r="C879" s="13" t="n"/>
      <c r="D879" s="13" t="n"/>
      <c r="E879" s="70" t="n"/>
      <c r="F879" s="70" t="n"/>
      <c r="G879" s="70" t="n"/>
      <c r="H879" s="13" t="n"/>
      <c r="I879" s="13" t="n"/>
      <c r="J879" s="13" t="n"/>
      <c r="K879" s="16">
        <f>IF($A879="","",1)</f>
        <v/>
      </c>
    </row>
    <row r="880">
      <c r="A880" s="13" t="n"/>
      <c r="B880" s="69" t="n"/>
      <c r="C880" s="13" t="n"/>
      <c r="D880" s="13" t="n"/>
      <c r="E880" s="70" t="n"/>
      <c r="F880" s="70" t="n"/>
      <c r="G880" s="70" t="n"/>
      <c r="H880" s="13" t="n"/>
      <c r="I880" s="13" t="n"/>
      <c r="J880" s="13" t="n"/>
      <c r="K880" s="16">
        <f>IF($A880="","",1)</f>
        <v/>
      </c>
    </row>
    <row r="881">
      <c r="A881" s="13" t="n"/>
      <c r="B881" s="69" t="n"/>
      <c r="C881" s="13" t="n"/>
      <c r="D881" s="13" t="n"/>
      <c r="E881" s="70" t="n"/>
      <c r="F881" s="70" t="n"/>
      <c r="G881" s="70" t="n"/>
      <c r="H881" s="13" t="n"/>
      <c r="I881" s="13" t="n"/>
      <c r="J881" s="13" t="n"/>
      <c r="K881" s="16">
        <f>IF($A881="","",1)</f>
        <v/>
      </c>
    </row>
    <row r="882">
      <c r="A882" s="13" t="n"/>
      <c r="B882" s="69" t="n"/>
      <c r="C882" s="13" t="n"/>
      <c r="D882" s="13" t="n"/>
      <c r="E882" s="70" t="n"/>
      <c r="F882" s="70" t="n"/>
      <c r="G882" s="70" t="n"/>
      <c r="H882" s="13" t="n"/>
      <c r="I882" s="13" t="n"/>
      <c r="J882" s="13" t="n"/>
      <c r="K882" s="16">
        <f>IF($A882="","",1)</f>
        <v/>
      </c>
    </row>
    <row r="883">
      <c r="A883" s="13" t="n"/>
      <c r="B883" s="69" t="n"/>
      <c r="C883" s="13" t="n"/>
      <c r="D883" s="13" t="n"/>
      <c r="E883" s="70" t="n"/>
      <c r="F883" s="70" t="n"/>
      <c r="G883" s="70" t="n"/>
      <c r="H883" s="13" t="n"/>
      <c r="I883" s="13" t="n"/>
      <c r="J883" s="13" t="n"/>
      <c r="K883" s="16">
        <f>IF($A883="","",1)</f>
        <v/>
      </c>
    </row>
    <row r="884">
      <c r="A884" s="13" t="n"/>
      <c r="B884" s="69" t="n"/>
      <c r="C884" s="13" t="n"/>
      <c r="D884" s="13" t="n"/>
      <c r="E884" s="70" t="n"/>
      <c r="F884" s="70" t="n"/>
      <c r="G884" s="70" t="n"/>
      <c r="H884" s="13" t="n"/>
      <c r="I884" s="13" t="n"/>
      <c r="J884" s="13" t="n"/>
      <c r="K884" s="16">
        <f>IF($A884="","",1)</f>
        <v/>
      </c>
    </row>
    <row r="885">
      <c r="A885" s="13" t="n"/>
      <c r="B885" s="69" t="n"/>
      <c r="C885" s="13" t="n"/>
      <c r="D885" s="13" t="n"/>
      <c r="E885" s="70" t="n"/>
      <c r="F885" s="70" t="n"/>
      <c r="G885" s="70" t="n"/>
      <c r="H885" s="13" t="n"/>
      <c r="I885" s="13" t="n"/>
      <c r="J885" s="13" t="n"/>
      <c r="K885" s="16">
        <f>IF($A885="","",1)</f>
        <v/>
      </c>
    </row>
    <row r="886">
      <c r="A886" s="13" t="n"/>
      <c r="B886" s="69" t="n"/>
      <c r="C886" s="13" t="n"/>
      <c r="D886" s="13" t="n"/>
      <c r="E886" s="70" t="n"/>
      <c r="F886" s="70" t="n"/>
      <c r="G886" s="70" t="n"/>
      <c r="H886" s="13" t="n"/>
      <c r="I886" s="13" t="n"/>
      <c r="J886" s="13" t="n"/>
      <c r="K886" s="16">
        <f>IF($A886="","",1)</f>
        <v/>
      </c>
    </row>
    <row r="887">
      <c r="A887" s="13" t="n"/>
      <c r="B887" s="69" t="n"/>
      <c r="C887" s="13" t="n"/>
      <c r="D887" s="13" t="n"/>
      <c r="E887" s="70" t="n"/>
      <c r="F887" s="70" t="n"/>
      <c r="G887" s="70" t="n"/>
      <c r="H887" s="13" t="n"/>
      <c r="I887" s="13" t="n"/>
      <c r="J887" s="13" t="n"/>
      <c r="K887" s="16">
        <f>IF($A887="","",1)</f>
        <v/>
      </c>
    </row>
    <row r="888">
      <c r="A888" s="13" t="n"/>
      <c r="B888" s="69" t="n"/>
      <c r="C888" s="13" t="n"/>
      <c r="D888" s="13" t="n"/>
      <c r="E888" s="70" t="n"/>
      <c r="F888" s="70" t="n"/>
      <c r="G888" s="70" t="n"/>
      <c r="H888" s="13" t="n"/>
      <c r="I888" s="13" t="n"/>
      <c r="J888" s="13" t="n"/>
      <c r="K888" s="16">
        <f>IF($A888="","",1)</f>
        <v/>
      </c>
    </row>
    <row r="889">
      <c r="A889" s="13" t="n"/>
      <c r="B889" s="69" t="n"/>
      <c r="C889" s="13" t="n"/>
      <c r="D889" s="13" t="n"/>
      <c r="E889" s="70" t="n"/>
      <c r="F889" s="70" t="n"/>
      <c r="G889" s="70" t="n"/>
      <c r="H889" s="13" t="n"/>
      <c r="I889" s="13" t="n"/>
      <c r="J889" s="13" t="n"/>
      <c r="K889" s="16">
        <f>IF($A889="","",1)</f>
        <v/>
      </c>
    </row>
    <row r="890">
      <c r="A890" s="13" t="n"/>
      <c r="B890" s="69" t="n"/>
      <c r="C890" s="13" t="n"/>
      <c r="D890" s="13" t="n"/>
      <c r="E890" s="70" t="n"/>
      <c r="F890" s="70" t="n"/>
      <c r="G890" s="70" t="n"/>
      <c r="H890" s="13" t="n"/>
      <c r="I890" s="13" t="n"/>
      <c r="J890" s="13" t="n"/>
      <c r="K890" s="16">
        <f>IF($A890="","",1)</f>
        <v/>
      </c>
    </row>
    <row r="891">
      <c r="A891" s="13" t="n"/>
      <c r="B891" s="69" t="n"/>
      <c r="C891" s="13" t="n"/>
      <c r="D891" s="13" t="n"/>
      <c r="E891" s="70" t="n"/>
      <c r="F891" s="70" t="n"/>
      <c r="G891" s="70" t="n"/>
      <c r="H891" s="13" t="n"/>
      <c r="I891" s="13" t="n"/>
      <c r="J891" s="13" t="n"/>
      <c r="K891" s="16">
        <f>IF($A891="","",1)</f>
        <v/>
      </c>
    </row>
    <row r="892">
      <c r="A892" s="13" t="n"/>
      <c r="B892" s="69" t="n"/>
      <c r="C892" s="13" t="n"/>
      <c r="D892" s="13" t="n"/>
      <c r="E892" s="70" t="n"/>
      <c r="F892" s="70" t="n"/>
      <c r="G892" s="70" t="n"/>
      <c r="H892" s="13" t="n"/>
      <c r="I892" s="13" t="n"/>
      <c r="J892" s="13" t="n"/>
      <c r="K892" s="16">
        <f>IF($A892="","",1)</f>
        <v/>
      </c>
    </row>
    <row r="893">
      <c r="A893" s="13" t="n"/>
      <c r="B893" s="69" t="n"/>
      <c r="C893" s="13" t="n"/>
      <c r="D893" s="13" t="n"/>
      <c r="E893" s="70" t="n"/>
      <c r="F893" s="70" t="n"/>
      <c r="G893" s="70" t="n"/>
      <c r="H893" s="13" t="n"/>
      <c r="I893" s="13" t="n"/>
      <c r="J893" s="13" t="n"/>
      <c r="K893" s="16">
        <f>IF($A893="","",1)</f>
        <v/>
      </c>
    </row>
    <row r="894">
      <c r="A894" s="13" t="n"/>
      <c r="B894" s="69" t="n"/>
      <c r="C894" s="13" t="n"/>
      <c r="D894" s="13" t="n"/>
      <c r="E894" s="70" t="n"/>
      <c r="F894" s="70" t="n"/>
      <c r="G894" s="70" t="n"/>
      <c r="H894" s="13" t="n"/>
      <c r="I894" s="13" t="n"/>
      <c r="J894" s="13" t="n"/>
      <c r="K894" s="16">
        <f>IF($A894="","",1)</f>
        <v/>
      </c>
    </row>
    <row r="895">
      <c r="A895" s="13" t="n"/>
      <c r="B895" s="69" t="n"/>
      <c r="C895" s="13" t="n"/>
      <c r="D895" s="13" t="n"/>
      <c r="E895" s="70" t="n"/>
      <c r="F895" s="70" t="n"/>
      <c r="G895" s="70" t="n"/>
      <c r="H895" s="13" t="n"/>
      <c r="I895" s="13" t="n"/>
      <c r="J895" s="13" t="n"/>
      <c r="K895" s="16">
        <f>IF($A895="","",1)</f>
        <v/>
      </c>
    </row>
    <row r="896">
      <c r="A896" s="13" t="n"/>
      <c r="B896" s="69" t="n"/>
      <c r="C896" s="13" t="n"/>
      <c r="D896" s="13" t="n"/>
      <c r="E896" s="70" t="n"/>
      <c r="F896" s="70" t="n"/>
      <c r="G896" s="70" t="n"/>
      <c r="H896" s="13" t="n"/>
      <c r="I896" s="13" t="n"/>
      <c r="J896" s="13" t="n"/>
      <c r="K896" s="16">
        <f>IF($A896="","",1)</f>
        <v/>
      </c>
    </row>
    <row r="897">
      <c r="A897" s="13" t="n"/>
      <c r="B897" s="69" t="n"/>
      <c r="C897" s="13" t="n"/>
      <c r="D897" s="13" t="n"/>
      <c r="E897" s="70" t="n"/>
      <c r="F897" s="70" t="n"/>
      <c r="G897" s="70" t="n"/>
      <c r="H897" s="13" t="n"/>
      <c r="I897" s="13" t="n"/>
      <c r="J897" s="13" t="n"/>
      <c r="K897" s="16">
        <f>IF($A897="","",1)</f>
        <v/>
      </c>
    </row>
    <row r="898">
      <c r="A898" s="13" t="n"/>
      <c r="B898" s="69" t="n"/>
      <c r="C898" s="13" t="n"/>
      <c r="D898" s="13" t="n"/>
      <c r="E898" s="70" t="n"/>
      <c r="F898" s="70" t="n"/>
      <c r="G898" s="70" t="n"/>
      <c r="H898" s="13" t="n"/>
      <c r="I898" s="13" t="n"/>
      <c r="J898" s="13" t="n"/>
      <c r="K898" s="16">
        <f>IF($A898="","",1)</f>
        <v/>
      </c>
    </row>
    <row r="899">
      <c r="A899" s="13" t="n"/>
      <c r="B899" s="69" t="n"/>
      <c r="C899" s="13" t="n"/>
      <c r="D899" s="13" t="n"/>
      <c r="E899" s="70" t="n"/>
      <c r="F899" s="70" t="n"/>
      <c r="G899" s="70" t="n"/>
      <c r="H899" s="13" t="n"/>
      <c r="I899" s="13" t="n"/>
      <c r="J899" s="13" t="n"/>
      <c r="K899" s="16">
        <f>IF($A899="","",1)</f>
        <v/>
      </c>
    </row>
    <row r="900">
      <c r="A900" s="13" t="n"/>
      <c r="B900" s="69" t="n"/>
      <c r="C900" s="13" t="n"/>
      <c r="D900" s="13" t="n"/>
      <c r="E900" s="70" t="n"/>
      <c r="F900" s="70" t="n"/>
      <c r="G900" s="70" t="n"/>
      <c r="H900" s="13" t="n"/>
      <c r="I900" s="13" t="n"/>
      <c r="J900" s="13" t="n"/>
      <c r="K900" s="16">
        <f>IF($A900="","",1)</f>
        <v/>
      </c>
    </row>
    <row r="901">
      <c r="A901" s="13" t="n"/>
      <c r="B901" s="69" t="n"/>
      <c r="C901" s="13" t="n"/>
      <c r="D901" s="13" t="n"/>
      <c r="E901" s="70" t="n"/>
      <c r="F901" s="70" t="n"/>
      <c r="G901" s="70" t="n"/>
      <c r="H901" s="13" t="n"/>
      <c r="I901" s="13" t="n"/>
      <c r="J901" s="13" t="n"/>
      <c r="K901" s="16">
        <f>IF($A901="","",1)</f>
        <v/>
      </c>
    </row>
    <row r="902">
      <c r="A902" s="13" t="n"/>
      <c r="B902" s="69" t="n"/>
      <c r="C902" s="13" t="n"/>
      <c r="D902" s="13" t="n"/>
      <c r="E902" s="70" t="n"/>
      <c r="F902" s="70" t="n"/>
      <c r="G902" s="70" t="n"/>
      <c r="H902" s="13" t="n"/>
      <c r="I902" s="13" t="n"/>
      <c r="J902" s="13" t="n"/>
      <c r="K902" s="16">
        <f>IF($A902="","",1)</f>
        <v/>
      </c>
    </row>
    <row r="903">
      <c r="A903" s="13" t="n"/>
      <c r="B903" s="69" t="n"/>
      <c r="C903" s="13" t="n"/>
      <c r="D903" s="13" t="n"/>
      <c r="E903" s="70" t="n"/>
      <c r="F903" s="70" t="n"/>
      <c r="G903" s="70" t="n"/>
      <c r="H903" s="13" t="n"/>
      <c r="I903" s="13" t="n"/>
      <c r="J903" s="13" t="n"/>
      <c r="K903" s="16">
        <f>IF($A903="","",1)</f>
        <v/>
      </c>
    </row>
    <row r="904">
      <c r="A904" s="13" t="n"/>
      <c r="B904" s="69" t="n"/>
      <c r="C904" s="13" t="n"/>
      <c r="D904" s="13" t="n"/>
      <c r="E904" s="70" t="n"/>
      <c r="F904" s="70" t="n"/>
      <c r="G904" s="70" t="n"/>
      <c r="H904" s="13" t="n"/>
      <c r="I904" s="13" t="n"/>
      <c r="J904" s="13" t="n"/>
      <c r="K904" s="16">
        <f>IF($A904="","",1)</f>
        <v/>
      </c>
    </row>
    <row r="905">
      <c r="A905" s="13" t="n"/>
      <c r="B905" s="69" t="n"/>
      <c r="C905" s="13" t="n"/>
      <c r="D905" s="13" t="n"/>
      <c r="E905" s="70" t="n"/>
      <c r="F905" s="70" t="n"/>
      <c r="G905" s="70" t="n"/>
      <c r="H905" s="13" t="n"/>
      <c r="I905" s="13" t="n"/>
      <c r="J905" s="13" t="n"/>
      <c r="K905" s="16">
        <f>IF($A905="","",1)</f>
        <v/>
      </c>
    </row>
    <row r="906">
      <c r="A906" s="13" t="n"/>
      <c r="B906" s="69" t="n"/>
      <c r="C906" s="13" t="n"/>
      <c r="D906" s="13" t="n"/>
      <c r="E906" s="70" t="n"/>
      <c r="F906" s="70" t="n"/>
      <c r="G906" s="70" t="n"/>
      <c r="H906" s="13" t="n"/>
      <c r="I906" s="13" t="n"/>
      <c r="J906" s="13" t="n"/>
      <c r="K906" s="16">
        <f>IF($A906="","",1)</f>
        <v/>
      </c>
    </row>
    <row r="907">
      <c r="A907" s="13" t="n"/>
      <c r="B907" s="69" t="n"/>
      <c r="C907" s="13" t="n"/>
      <c r="D907" s="13" t="n"/>
      <c r="E907" s="70" t="n"/>
      <c r="F907" s="70" t="n"/>
      <c r="G907" s="70" t="n"/>
      <c r="H907" s="13" t="n"/>
      <c r="I907" s="13" t="n"/>
      <c r="J907" s="13" t="n"/>
      <c r="K907" s="16">
        <f>IF($A907="","",1)</f>
        <v/>
      </c>
    </row>
    <row r="908">
      <c r="A908" s="13" t="n"/>
      <c r="B908" s="69" t="n"/>
      <c r="C908" s="13" t="n"/>
      <c r="D908" s="13" t="n"/>
      <c r="E908" s="70" t="n"/>
      <c r="F908" s="70" t="n"/>
      <c r="G908" s="70" t="n"/>
      <c r="H908" s="13" t="n"/>
      <c r="I908" s="13" t="n"/>
      <c r="J908" s="13" t="n"/>
      <c r="K908" s="16">
        <f>IF($A908="","",1)</f>
        <v/>
      </c>
    </row>
    <row r="909">
      <c r="A909" s="13" t="n"/>
      <c r="B909" s="69" t="n"/>
      <c r="C909" s="13" t="n"/>
      <c r="D909" s="13" t="n"/>
      <c r="E909" s="70" t="n"/>
      <c r="F909" s="70" t="n"/>
      <c r="G909" s="70" t="n"/>
      <c r="H909" s="13" t="n"/>
      <c r="I909" s="13" t="n"/>
      <c r="J909" s="13" t="n"/>
      <c r="K909" s="16">
        <f>IF($A909="","",1)</f>
        <v/>
      </c>
    </row>
    <row r="910">
      <c r="A910" s="13" t="n"/>
      <c r="B910" s="69" t="n"/>
      <c r="C910" s="13" t="n"/>
      <c r="D910" s="13" t="n"/>
      <c r="E910" s="70" t="n"/>
      <c r="F910" s="70" t="n"/>
      <c r="G910" s="70" t="n"/>
      <c r="H910" s="13" t="n"/>
      <c r="I910" s="13" t="n"/>
      <c r="J910" s="13" t="n"/>
      <c r="K910" s="16">
        <f>IF($A910="","",1)</f>
        <v/>
      </c>
    </row>
    <row r="911">
      <c r="A911" s="13" t="n"/>
      <c r="B911" s="69" t="n"/>
      <c r="C911" s="13" t="n"/>
      <c r="D911" s="13" t="n"/>
      <c r="E911" s="70" t="n"/>
      <c r="F911" s="70" t="n"/>
      <c r="G911" s="70" t="n"/>
      <c r="H911" s="13" t="n"/>
      <c r="I911" s="13" t="n"/>
      <c r="J911" s="13" t="n"/>
      <c r="K911" s="16">
        <f>IF($A911="","",1)</f>
        <v/>
      </c>
    </row>
    <row r="912">
      <c r="A912" s="13" t="n"/>
      <c r="B912" s="69" t="n"/>
      <c r="C912" s="13" t="n"/>
      <c r="D912" s="13" t="n"/>
      <c r="E912" s="70" t="n"/>
      <c r="F912" s="70" t="n"/>
      <c r="G912" s="70" t="n"/>
      <c r="H912" s="13" t="n"/>
      <c r="I912" s="13" t="n"/>
      <c r="J912" s="13" t="n"/>
      <c r="K912" s="16">
        <f>IF($A912="","",1)</f>
        <v/>
      </c>
    </row>
    <row r="913">
      <c r="A913" s="13" t="n"/>
      <c r="B913" s="69" t="n"/>
      <c r="C913" s="13" t="n"/>
      <c r="D913" s="13" t="n"/>
      <c r="E913" s="70" t="n"/>
      <c r="F913" s="70" t="n"/>
      <c r="G913" s="70" t="n"/>
      <c r="H913" s="13" t="n"/>
      <c r="I913" s="13" t="n"/>
      <c r="J913" s="13" t="n"/>
      <c r="K913" s="16">
        <f>IF($A913="","",1)</f>
        <v/>
      </c>
    </row>
    <row r="914">
      <c r="A914" s="13" t="n"/>
      <c r="B914" s="69" t="n"/>
      <c r="C914" s="13" t="n"/>
      <c r="D914" s="13" t="n"/>
      <c r="E914" s="70" t="n"/>
      <c r="F914" s="70" t="n"/>
      <c r="G914" s="70" t="n"/>
      <c r="H914" s="13" t="n"/>
      <c r="I914" s="13" t="n"/>
      <c r="J914" s="13" t="n"/>
      <c r="K914" s="16">
        <f>IF($A914="","",1)</f>
        <v/>
      </c>
    </row>
    <row r="915">
      <c r="A915" s="13" t="n"/>
      <c r="B915" s="69" t="n"/>
      <c r="C915" s="13" t="n"/>
      <c r="D915" s="13" t="n"/>
      <c r="E915" s="70" t="n"/>
      <c r="F915" s="70" t="n"/>
      <c r="G915" s="70" t="n"/>
      <c r="H915" s="13" t="n"/>
      <c r="I915" s="13" t="n"/>
      <c r="J915" s="13" t="n"/>
      <c r="K915" s="16">
        <f>IF($A915="","",1)</f>
        <v/>
      </c>
    </row>
    <row r="916">
      <c r="A916" s="13" t="n"/>
      <c r="B916" s="69" t="n"/>
      <c r="C916" s="13" t="n"/>
      <c r="D916" s="13" t="n"/>
      <c r="E916" s="70" t="n"/>
      <c r="F916" s="70" t="n"/>
      <c r="G916" s="70" t="n"/>
      <c r="H916" s="13" t="n"/>
      <c r="I916" s="13" t="n"/>
      <c r="J916" s="13" t="n"/>
      <c r="K916" s="16">
        <f>IF($A916="","",1)</f>
        <v/>
      </c>
    </row>
    <row r="917">
      <c r="A917" s="13" t="n"/>
      <c r="B917" s="69" t="n"/>
      <c r="C917" s="13" t="n"/>
      <c r="D917" s="13" t="n"/>
      <c r="E917" s="70" t="n"/>
      <c r="F917" s="70" t="n"/>
      <c r="G917" s="70" t="n"/>
      <c r="H917" s="13" t="n"/>
      <c r="I917" s="13" t="n"/>
      <c r="J917" s="13" t="n"/>
      <c r="K917" s="16">
        <f>IF($A917="","",1)</f>
        <v/>
      </c>
    </row>
    <row r="918">
      <c r="A918" s="13" t="n"/>
      <c r="B918" s="69" t="n"/>
      <c r="C918" s="13" t="n"/>
      <c r="D918" s="13" t="n"/>
      <c r="E918" s="70" t="n"/>
      <c r="F918" s="70" t="n"/>
      <c r="G918" s="70" t="n"/>
      <c r="H918" s="13" t="n"/>
      <c r="I918" s="13" t="n"/>
      <c r="J918" s="13" t="n"/>
      <c r="K918" s="16">
        <f>IF($A918="","",1)</f>
        <v/>
      </c>
    </row>
    <row r="919">
      <c r="A919" s="13" t="n"/>
      <c r="B919" s="69" t="n"/>
      <c r="C919" s="13" t="n"/>
      <c r="D919" s="13" t="n"/>
      <c r="E919" s="70" t="n"/>
      <c r="F919" s="70" t="n"/>
      <c r="G919" s="70" t="n"/>
      <c r="H919" s="13" t="n"/>
      <c r="I919" s="13" t="n"/>
      <c r="J919" s="13" t="n"/>
      <c r="K919" s="16">
        <f>IF($A919="","",1)</f>
        <v/>
      </c>
    </row>
    <row r="920">
      <c r="A920" s="13" t="n"/>
      <c r="B920" s="69" t="n"/>
      <c r="C920" s="13" t="n"/>
      <c r="D920" s="13" t="n"/>
      <c r="E920" s="70" t="n"/>
      <c r="F920" s="70" t="n"/>
      <c r="G920" s="70" t="n"/>
      <c r="H920" s="13" t="n"/>
      <c r="I920" s="13" t="n"/>
      <c r="J920" s="13" t="n"/>
      <c r="K920" s="16">
        <f>IF($A920="","",1)</f>
        <v/>
      </c>
    </row>
    <row r="921">
      <c r="A921" s="13" t="n"/>
      <c r="B921" s="69" t="n"/>
      <c r="C921" s="13" t="n"/>
      <c r="D921" s="13" t="n"/>
      <c r="E921" s="70" t="n"/>
      <c r="F921" s="70" t="n"/>
      <c r="G921" s="70" t="n"/>
      <c r="H921" s="13" t="n"/>
      <c r="I921" s="13" t="n"/>
      <c r="J921" s="13" t="n"/>
      <c r="K921" s="16">
        <f>IF($A921="","",1)</f>
        <v/>
      </c>
    </row>
    <row r="922">
      <c r="A922" s="13" t="n"/>
      <c r="B922" s="69" t="n"/>
      <c r="C922" s="13" t="n"/>
      <c r="D922" s="13" t="n"/>
      <c r="E922" s="70" t="n"/>
      <c r="F922" s="70" t="n"/>
      <c r="G922" s="70" t="n"/>
      <c r="H922" s="13" t="n"/>
      <c r="I922" s="13" t="n"/>
      <c r="J922" s="13" t="n"/>
      <c r="K922" s="16">
        <f>IF($A922="","",1)</f>
        <v/>
      </c>
    </row>
    <row r="923">
      <c r="A923" s="13" t="n"/>
      <c r="B923" s="69" t="n"/>
      <c r="C923" s="13" t="n"/>
      <c r="D923" s="13" t="n"/>
      <c r="E923" s="70" t="n"/>
      <c r="F923" s="70" t="n"/>
      <c r="G923" s="70" t="n"/>
      <c r="H923" s="13" t="n"/>
      <c r="I923" s="13" t="n"/>
      <c r="J923" s="13" t="n"/>
      <c r="K923" s="16">
        <f>IF($A923="","",1)</f>
        <v/>
      </c>
    </row>
    <row r="924">
      <c r="A924" s="13" t="n"/>
      <c r="B924" s="69" t="n"/>
      <c r="C924" s="13" t="n"/>
      <c r="D924" s="13" t="n"/>
      <c r="E924" s="70" t="n"/>
      <c r="F924" s="70" t="n"/>
      <c r="G924" s="70" t="n"/>
      <c r="H924" s="13" t="n"/>
      <c r="I924" s="13" t="n"/>
      <c r="J924" s="13" t="n"/>
      <c r="K924" s="16">
        <f>IF($A924="","",1)</f>
        <v/>
      </c>
    </row>
    <row r="925">
      <c r="A925" s="13" t="n"/>
      <c r="B925" s="69" t="n"/>
      <c r="C925" s="13" t="n"/>
      <c r="D925" s="13" t="n"/>
      <c r="E925" s="70" t="n"/>
      <c r="F925" s="70" t="n"/>
      <c r="G925" s="70" t="n"/>
      <c r="H925" s="13" t="n"/>
      <c r="I925" s="13" t="n"/>
      <c r="J925" s="13" t="n"/>
      <c r="K925" s="16">
        <f>IF($A925="","",1)</f>
        <v/>
      </c>
    </row>
    <row r="926">
      <c r="A926" s="13" t="n"/>
      <c r="B926" s="69" t="n"/>
      <c r="C926" s="13" t="n"/>
      <c r="D926" s="13" t="n"/>
      <c r="E926" s="70" t="n"/>
      <c r="F926" s="70" t="n"/>
      <c r="G926" s="70" t="n"/>
      <c r="H926" s="13" t="n"/>
      <c r="I926" s="13" t="n"/>
      <c r="J926" s="13" t="n"/>
      <c r="K926" s="16">
        <f>IF($A926="","",1)</f>
        <v/>
      </c>
    </row>
    <row r="927">
      <c r="A927" s="13" t="n"/>
      <c r="B927" s="69" t="n"/>
      <c r="C927" s="13" t="n"/>
      <c r="D927" s="13" t="n"/>
      <c r="E927" s="70" t="n"/>
      <c r="F927" s="70" t="n"/>
      <c r="G927" s="70" t="n"/>
      <c r="H927" s="13" t="n"/>
      <c r="I927" s="13" t="n"/>
      <c r="J927" s="13" t="n"/>
      <c r="K927" s="16">
        <f>IF($A927="","",1)</f>
        <v/>
      </c>
    </row>
    <row r="928">
      <c r="A928" s="13" t="n"/>
      <c r="B928" s="69" t="n"/>
      <c r="C928" s="13" t="n"/>
      <c r="D928" s="13" t="n"/>
      <c r="E928" s="70" t="n"/>
      <c r="F928" s="70" t="n"/>
      <c r="G928" s="70" t="n"/>
      <c r="H928" s="13" t="n"/>
      <c r="I928" s="13" t="n"/>
      <c r="J928" s="13" t="n"/>
      <c r="K928" s="16">
        <f>IF($A928="","",1)</f>
        <v/>
      </c>
    </row>
    <row r="929">
      <c r="A929" s="13" t="n"/>
      <c r="B929" s="69" t="n"/>
      <c r="C929" s="13" t="n"/>
      <c r="D929" s="13" t="n"/>
      <c r="E929" s="70" t="n"/>
      <c r="F929" s="70" t="n"/>
      <c r="G929" s="70" t="n"/>
      <c r="H929" s="13" t="n"/>
      <c r="I929" s="13" t="n"/>
      <c r="J929" s="13" t="n"/>
      <c r="K929" s="16">
        <f>IF($A929="","",1)</f>
        <v/>
      </c>
    </row>
    <row r="930">
      <c r="A930" s="13" t="n"/>
      <c r="B930" s="69" t="n"/>
      <c r="C930" s="13" t="n"/>
      <c r="D930" s="13" t="n"/>
      <c r="E930" s="70" t="n"/>
      <c r="F930" s="70" t="n"/>
      <c r="G930" s="70" t="n"/>
      <c r="H930" s="13" t="n"/>
      <c r="I930" s="13" t="n"/>
      <c r="J930" s="13" t="n"/>
      <c r="K930" s="16">
        <f>IF($A930="","",1)</f>
        <v/>
      </c>
    </row>
    <row r="931">
      <c r="A931" s="13" t="n"/>
      <c r="B931" s="69" t="n"/>
      <c r="C931" s="13" t="n"/>
      <c r="D931" s="13" t="n"/>
      <c r="E931" s="70" t="n"/>
      <c r="F931" s="70" t="n"/>
      <c r="G931" s="70" t="n"/>
      <c r="H931" s="13" t="n"/>
      <c r="I931" s="13" t="n"/>
      <c r="J931" s="13" t="n"/>
      <c r="K931" s="16">
        <f>IF($A931="","",1)</f>
        <v/>
      </c>
    </row>
    <row r="932">
      <c r="A932" s="13" t="n"/>
      <c r="B932" s="69" t="n"/>
      <c r="C932" s="13" t="n"/>
      <c r="D932" s="13" t="n"/>
      <c r="E932" s="70" t="n"/>
      <c r="F932" s="70" t="n"/>
      <c r="G932" s="70" t="n"/>
      <c r="H932" s="13" t="n"/>
      <c r="I932" s="13" t="n"/>
      <c r="J932" s="13" t="n"/>
      <c r="K932" s="16">
        <f>IF($A932="","",1)</f>
        <v/>
      </c>
    </row>
    <row r="933">
      <c r="A933" s="13" t="n"/>
      <c r="B933" s="69" t="n"/>
      <c r="C933" s="13" t="n"/>
      <c r="D933" s="13" t="n"/>
      <c r="E933" s="70" t="n"/>
      <c r="F933" s="70" t="n"/>
      <c r="G933" s="70" t="n"/>
      <c r="H933" s="13" t="n"/>
      <c r="I933" s="13" t="n"/>
      <c r="J933" s="13" t="n"/>
      <c r="K933" s="16">
        <f>IF($A933="","",1)</f>
        <v/>
      </c>
    </row>
    <row r="934">
      <c r="A934" s="13" t="n"/>
      <c r="B934" s="69" t="n"/>
      <c r="C934" s="13" t="n"/>
      <c r="D934" s="13" t="n"/>
      <c r="E934" s="70" t="n"/>
      <c r="F934" s="70" t="n"/>
      <c r="G934" s="70" t="n"/>
      <c r="H934" s="13" t="n"/>
      <c r="I934" s="13" t="n"/>
      <c r="J934" s="13" t="n"/>
      <c r="K934" s="16">
        <f>IF($A934="","",1)</f>
        <v/>
      </c>
    </row>
    <row r="935">
      <c r="A935" s="13" t="n"/>
      <c r="B935" s="69" t="n"/>
      <c r="C935" s="13" t="n"/>
      <c r="D935" s="13" t="n"/>
      <c r="E935" s="70" t="n"/>
      <c r="F935" s="70" t="n"/>
      <c r="G935" s="70" t="n"/>
      <c r="H935" s="13" t="n"/>
      <c r="I935" s="13" t="n"/>
      <c r="J935" s="13" t="n"/>
      <c r="K935" s="16">
        <f>IF($A935="","",1)</f>
        <v/>
      </c>
    </row>
    <row r="936">
      <c r="A936" s="13" t="n"/>
      <c r="B936" s="69" t="n"/>
      <c r="C936" s="13" t="n"/>
      <c r="D936" s="13" t="n"/>
      <c r="E936" s="70" t="n"/>
      <c r="F936" s="70" t="n"/>
      <c r="G936" s="70" t="n"/>
      <c r="H936" s="13" t="n"/>
      <c r="I936" s="13" t="n"/>
      <c r="J936" s="13" t="n"/>
      <c r="K936" s="16">
        <f>IF($A936="","",1)</f>
        <v/>
      </c>
    </row>
    <row r="937">
      <c r="A937" s="13" t="n"/>
      <c r="B937" s="69" t="n"/>
      <c r="C937" s="13" t="n"/>
      <c r="D937" s="13" t="n"/>
      <c r="E937" s="70" t="n"/>
      <c r="F937" s="70" t="n"/>
      <c r="G937" s="70" t="n"/>
      <c r="H937" s="13" t="n"/>
      <c r="I937" s="13" t="n"/>
      <c r="J937" s="13" t="n"/>
      <c r="K937" s="16">
        <f>IF($A937="","",1)</f>
        <v/>
      </c>
    </row>
    <row r="938">
      <c r="A938" s="13" t="n"/>
      <c r="B938" s="69" t="n"/>
      <c r="C938" s="13" t="n"/>
      <c r="D938" s="13" t="n"/>
      <c r="E938" s="70" t="n"/>
      <c r="F938" s="70" t="n"/>
      <c r="G938" s="70" t="n"/>
      <c r="H938" s="13" t="n"/>
      <c r="I938" s="13" t="n"/>
      <c r="J938" s="13" t="n"/>
      <c r="K938" s="16">
        <f>IF($A938="","",1)</f>
        <v/>
      </c>
    </row>
    <row r="939">
      <c r="A939" s="13" t="n"/>
      <c r="B939" s="69" t="n"/>
      <c r="C939" s="13" t="n"/>
      <c r="D939" s="13" t="n"/>
      <c r="E939" s="70" t="n"/>
      <c r="F939" s="70" t="n"/>
      <c r="G939" s="70" t="n"/>
      <c r="H939" s="13" t="n"/>
      <c r="I939" s="13" t="n"/>
      <c r="J939" s="13" t="n"/>
      <c r="K939" s="16">
        <f>IF($A939="","",1)</f>
        <v/>
      </c>
    </row>
    <row r="940">
      <c r="A940" s="13" t="n"/>
      <c r="B940" s="69" t="n"/>
      <c r="C940" s="13" t="n"/>
      <c r="D940" s="13" t="n"/>
      <c r="E940" s="70" t="n"/>
      <c r="F940" s="70" t="n"/>
      <c r="G940" s="70" t="n"/>
      <c r="H940" s="13" t="n"/>
      <c r="I940" s="13" t="n"/>
      <c r="J940" s="13" t="n"/>
      <c r="K940" s="16">
        <f>IF($A940="","",1)</f>
        <v/>
      </c>
    </row>
    <row r="941">
      <c r="A941" s="13" t="n"/>
      <c r="B941" s="69" t="n"/>
      <c r="C941" s="13" t="n"/>
      <c r="D941" s="13" t="n"/>
      <c r="E941" s="70" t="n"/>
      <c r="F941" s="70" t="n"/>
      <c r="G941" s="70" t="n"/>
      <c r="H941" s="13" t="n"/>
      <c r="I941" s="13" t="n"/>
      <c r="J941" s="13" t="n"/>
      <c r="K941" s="16">
        <f>IF($A941="","",1)</f>
        <v/>
      </c>
    </row>
    <row r="942">
      <c r="A942" s="13" t="n"/>
      <c r="B942" s="69" t="n"/>
      <c r="C942" s="13" t="n"/>
      <c r="D942" s="13" t="n"/>
      <c r="E942" s="70" t="n"/>
      <c r="F942" s="70" t="n"/>
      <c r="G942" s="70" t="n"/>
      <c r="H942" s="13" t="n"/>
      <c r="I942" s="13" t="n"/>
      <c r="J942" s="13" t="n"/>
      <c r="K942" s="16">
        <f>IF($A942="","",1)</f>
        <v/>
      </c>
    </row>
    <row r="943">
      <c r="A943" s="13" t="n"/>
      <c r="B943" s="69" t="n"/>
      <c r="C943" s="13" t="n"/>
      <c r="D943" s="13" t="n"/>
      <c r="E943" s="70" t="n"/>
      <c r="F943" s="70" t="n"/>
      <c r="G943" s="70" t="n"/>
      <c r="H943" s="13" t="n"/>
      <c r="I943" s="13" t="n"/>
      <c r="J943" s="13" t="n"/>
      <c r="K943" s="16">
        <f>IF($A943="","",1)</f>
        <v/>
      </c>
    </row>
    <row r="944">
      <c r="A944" s="13" t="n"/>
      <c r="B944" s="69" t="n"/>
      <c r="C944" s="13" t="n"/>
      <c r="D944" s="13" t="n"/>
      <c r="E944" s="70" t="n"/>
      <c r="F944" s="70" t="n"/>
      <c r="G944" s="70" t="n"/>
      <c r="H944" s="13" t="n"/>
      <c r="I944" s="13" t="n"/>
      <c r="J944" s="13" t="n"/>
      <c r="K944" s="16">
        <f>IF($A944="","",1)</f>
        <v/>
      </c>
    </row>
    <row r="945">
      <c r="A945" s="13" t="n"/>
      <c r="B945" s="69" t="n"/>
      <c r="C945" s="13" t="n"/>
      <c r="D945" s="13" t="n"/>
      <c r="E945" s="70" t="n"/>
      <c r="F945" s="70" t="n"/>
      <c r="G945" s="70" t="n"/>
      <c r="H945" s="13" t="n"/>
      <c r="I945" s="13" t="n"/>
      <c r="J945" s="13" t="n"/>
      <c r="K945" s="16">
        <f>IF($A945="","",1)</f>
        <v/>
      </c>
    </row>
    <row r="946">
      <c r="A946" s="13" t="n"/>
      <c r="B946" s="69" t="n"/>
      <c r="C946" s="13" t="n"/>
      <c r="D946" s="13" t="n"/>
      <c r="E946" s="70" t="n"/>
      <c r="F946" s="70" t="n"/>
      <c r="G946" s="70" t="n"/>
      <c r="H946" s="13" t="n"/>
      <c r="I946" s="13" t="n"/>
      <c r="J946" s="13" t="n"/>
      <c r="K946" s="16">
        <f>IF($A946="","",1)</f>
        <v/>
      </c>
    </row>
    <row r="947">
      <c r="A947" s="13" t="n"/>
      <c r="B947" s="69" t="n"/>
      <c r="C947" s="13" t="n"/>
      <c r="D947" s="13" t="n"/>
      <c r="E947" s="70" t="n"/>
      <c r="F947" s="70" t="n"/>
      <c r="G947" s="70" t="n"/>
      <c r="H947" s="13" t="n"/>
      <c r="I947" s="13" t="n"/>
      <c r="J947" s="13" t="n"/>
      <c r="K947" s="16">
        <f>IF($A947="","",1)</f>
        <v/>
      </c>
    </row>
    <row r="948">
      <c r="A948" s="13" t="n"/>
      <c r="B948" s="69" t="n"/>
      <c r="C948" s="13" t="n"/>
      <c r="D948" s="13" t="n"/>
      <c r="E948" s="70" t="n"/>
      <c r="F948" s="70" t="n"/>
      <c r="G948" s="70" t="n"/>
      <c r="H948" s="13" t="n"/>
      <c r="I948" s="13" t="n"/>
      <c r="J948" s="13" t="n"/>
      <c r="K948" s="16">
        <f>IF($A948="","",1)</f>
        <v/>
      </c>
    </row>
    <row r="949">
      <c r="A949" s="13" t="n"/>
      <c r="B949" s="69" t="n"/>
      <c r="C949" s="13" t="n"/>
      <c r="D949" s="13" t="n"/>
      <c r="E949" s="70" t="n"/>
      <c r="F949" s="70" t="n"/>
      <c r="G949" s="70" t="n"/>
      <c r="H949" s="13" t="n"/>
      <c r="I949" s="13" t="n"/>
      <c r="J949" s="13" t="n"/>
      <c r="K949" s="16">
        <f>IF($A949="","",1)</f>
        <v/>
      </c>
    </row>
    <row r="950">
      <c r="A950" s="13" t="n"/>
      <c r="B950" s="69" t="n"/>
      <c r="C950" s="13" t="n"/>
      <c r="D950" s="13" t="n"/>
      <c r="E950" s="70" t="n"/>
      <c r="F950" s="70" t="n"/>
      <c r="G950" s="70" t="n"/>
      <c r="H950" s="13" t="n"/>
      <c r="I950" s="13" t="n"/>
      <c r="J950" s="13" t="n"/>
      <c r="K950" s="16">
        <f>IF($A950="","",1)</f>
        <v/>
      </c>
    </row>
    <row r="951">
      <c r="A951" s="13" t="n"/>
      <c r="B951" s="69" t="n"/>
      <c r="C951" s="13" t="n"/>
      <c r="D951" s="13" t="n"/>
      <c r="E951" s="70" t="n"/>
      <c r="F951" s="70" t="n"/>
      <c r="G951" s="70" t="n"/>
      <c r="H951" s="13" t="n"/>
      <c r="I951" s="13" t="n"/>
      <c r="J951" s="13" t="n"/>
      <c r="K951" s="16">
        <f>IF($A951="","",1)</f>
        <v/>
      </c>
    </row>
    <row r="952">
      <c r="A952" s="13" t="n"/>
      <c r="B952" s="69" t="n"/>
      <c r="C952" s="13" t="n"/>
      <c r="D952" s="13" t="n"/>
      <c r="E952" s="70" t="n"/>
      <c r="F952" s="70" t="n"/>
      <c r="G952" s="70" t="n"/>
      <c r="H952" s="13" t="n"/>
      <c r="I952" s="13" t="n"/>
      <c r="J952" s="13" t="n"/>
      <c r="K952" s="16">
        <f>IF($A952="","",1)</f>
        <v/>
      </c>
    </row>
    <row r="953">
      <c r="A953" s="13" t="n"/>
      <c r="B953" s="69" t="n"/>
      <c r="C953" s="13" t="n"/>
      <c r="D953" s="13" t="n"/>
      <c r="E953" s="70" t="n"/>
      <c r="F953" s="70" t="n"/>
      <c r="G953" s="70" t="n"/>
      <c r="H953" s="13" t="n"/>
      <c r="I953" s="13" t="n"/>
      <c r="J953" s="13" t="n"/>
      <c r="K953" s="16">
        <f>IF($A953="","",1)</f>
        <v/>
      </c>
    </row>
    <row r="954">
      <c r="A954" s="13" t="n"/>
      <c r="B954" s="69" t="n"/>
      <c r="C954" s="13" t="n"/>
      <c r="D954" s="13" t="n"/>
      <c r="E954" s="70" t="n"/>
      <c r="F954" s="70" t="n"/>
      <c r="G954" s="70" t="n"/>
      <c r="H954" s="13" t="n"/>
      <c r="I954" s="13" t="n"/>
      <c r="J954" s="13" t="n"/>
      <c r="K954" s="16">
        <f>IF($A954="","",1)</f>
        <v/>
      </c>
    </row>
    <row r="955">
      <c r="A955" s="13" t="n"/>
      <c r="B955" s="69" t="n"/>
      <c r="C955" s="13" t="n"/>
      <c r="D955" s="13" t="n"/>
      <c r="E955" s="70" t="n"/>
      <c r="F955" s="70" t="n"/>
      <c r="G955" s="70" t="n"/>
      <c r="H955" s="13" t="n"/>
      <c r="I955" s="13" t="n"/>
      <c r="J955" s="13" t="n"/>
      <c r="K955" s="16">
        <f>IF($A955="","",1)</f>
        <v/>
      </c>
    </row>
    <row r="956">
      <c r="A956" s="13" t="n"/>
      <c r="B956" s="69" t="n"/>
      <c r="C956" s="13" t="n"/>
      <c r="D956" s="13" t="n"/>
      <c r="E956" s="70" t="n"/>
      <c r="F956" s="70" t="n"/>
      <c r="G956" s="70" t="n"/>
      <c r="H956" s="13" t="n"/>
      <c r="I956" s="13" t="n"/>
      <c r="J956" s="13" t="n"/>
      <c r="K956" s="16">
        <f>IF($A956="","",1)</f>
        <v/>
      </c>
    </row>
    <row r="957">
      <c r="A957" s="13" t="n"/>
      <c r="B957" s="69" t="n"/>
      <c r="C957" s="13" t="n"/>
      <c r="D957" s="13" t="n"/>
      <c r="E957" s="70" t="n"/>
      <c r="F957" s="70" t="n"/>
      <c r="G957" s="70" t="n"/>
      <c r="H957" s="13" t="n"/>
      <c r="I957" s="13" t="n"/>
      <c r="J957" s="13" t="n"/>
      <c r="K957" s="16">
        <f>IF($A957="","",1)</f>
        <v/>
      </c>
    </row>
    <row r="958">
      <c r="A958" s="13" t="n"/>
      <c r="B958" s="69" t="n"/>
      <c r="C958" s="13" t="n"/>
      <c r="D958" s="13" t="n"/>
      <c r="E958" s="70" t="n"/>
      <c r="F958" s="70" t="n"/>
      <c r="G958" s="70" t="n"/>
      <c r="H958" s="13" t="n"/>
      <c r="I958" s="13" t="n"/>
      <c r="J958" s="13" t="n"/>
      <c r="K958" s="16">
        <f>IF($A958="","",1)</f>
        <v/>
      </c>
    </row>
    <row r="959">
      <c r="A959" s="13" t="n"/>
      <c r="B959" s="69" t="n"/>
      <c r="C959" s="13" t="n"/>
      <c r="D959" s="13" t="n"/>
      <c r="E959" s="70" t="n"/>
      <c r="F959" s="70" t="n"/>
      <c r="G959" s="70" t="n"/>
      <c r="H959" s="13" t="n"/>
      <c r="I959" s="13" t="n"/>
      <c r="J959" s="13" t="n"/>
      <c r="K959" s="16">
        <f>IF($A959="","",1)</f>
        <v/>
      </c>
    </row>
    <row r="960">
      <c r="A960" s="13" t="n"/>
      <c r="B960" s="69" t="n"/>
      <c r="C960" s="13" t="n"/>
      <c r="D960" s="13" t="n"/>
      <c r="E960" s="70" t="n"/>
      <c r="F960" s="70" t="n"/>
      <c r="G960" s="70" t="n"/>
      <c r="H960" s="13" t="n"/>
      <c r="I960" s="13" t="n"/>
      <c r="J960" s="13" t="n"/>
      <c r="K960" s="16">
        <f>IF($A960="","",1)</f>
        <v/>
      </c>
    </row>
    <row r="961">
      <c r="A961" s="13" t="n"/>
      <c r="B961" s="69" t="n"/>
      <c r="C961" s="13" t="n"/>
      <c r="D961" s="13" t="n"/>
      <c r="E961" s="70" t="n"/>
      <c r="F961" s="70" t="n"/>
      <c r="G961" s="70" t="n"/>
      <c r="H961" s="13" t="n"/>
      <c r="I961" s="13" t="n"/>
      <c r="J961" s="13" t="n"/>
      <c r="K961" s="16">
        <f>IF($A961="","",1)</f>
        <v/>
      </c>
    </row>
    <row r="962">
      <c r="A962" s="13" t="n"/>
      <c r="B962" s="69" t="n"/>
      <c r="C962" s="13" t="n"/>
      <c r="D962" s="13" t="n"/>
      <c r="E962" s="70" t="n"/>
      <c r="F962" s="70" t="n"/>
      <c r="G962" s="70" t="n"/>
      <c r="H962" s="13" t="n"/>
      <c r="I962" s="13" t="n"/>
      <c r="J962" s="13" t="n"/>
      <c r="K962" s="16">
        <f>IF($A962="","",1)</f>
        <v/>
      </c>
    </row>
    <row r="963">
      <c r="A963" s="13" t="n"/>
      <c r="B963" s="69" t="n"/>
      <c r="C963" s="13" t="n"/>
      <c r="D963" s="13" t="n"/>
      <c r="E963" s="70" t="n"/>
      <c r="F963" s="70" t="n"/>
      <c r="G963" s="70" t="n"/>
      <c r="H963" s="13" t="n"/>
      <c r="I963" s="13" t="n"/>
      <c r="J963" s="13" t="n"/>
      <c r="K963" s="16">
        <f>IF($A963="","",1)</f>
        <v/>
      </c>
    </row>
    <row r="964">
      <c r="A964" s="13" t="n"/>
      <c r="B964" s="69" t="n"/>
      <c r="C964" s="13" t="n"/>
      <c r="D964" s="13" t="n"/>
      <c r="E964" s="70" t="n"/>
      <c r="F964" s="70" t="n"/>
      <c r="G964" s="70" t="n"/>
      <c r="H964" s="13" t="n"/>
      <c r="I964" s="13" t="n"/>
      <c r="J964" s="13" t="n"/>
      <c r="K964" s="16">
        <f>IF($A964="","",1)</f>
        <v/>
      </c>
    </row>
    <row r="965">
      <c r="A965" s="13" t="n"/>
      <c r="B965" s="69" t="n"/>
      <c r="C965" s="13" t="n"/>
      <c r="D965" s="13" t="n"/>
      <c r="E965" s="70" t="n"/>
      <c r="F965" s="70" t="n"/>
      <c r="G965" s="70" t="n"/>
      <c r="H965" s="13" t="n"/>
      <c r="I965" s="13" t="n"/>
      <c r="J965" s="13" t="n"/>
      <c r="K965" s="16">
        <f>IF($A965="","",1)</f>
        <v/>
      </c>
    </row>
    <row r="966">
      <c r="A966" s="13" t="n"/>
      <c r="B966" s="69" t="n"/>
      <c r="C966" s="13" t="n"/>
      <c r="D966" s="13" t="n"/>
      <c r="E966" s="70" t="n"/>
      <c r="F966" s="70" t="n"/>
      <c r="G966" s="70" t="n"/>
      <c r="H966" s="13" t="n"/>
      <c r="I966" s="13" t="n"/>
      <c r="J966" s="13" t="n"/>
      <c r="K966" s="16">
        <f>IF($A966="","",1)</f>
        <v/>
      </c>
    </row>
    <row r="967">
      <c r="A967" s="13" t="n"/>
      <c r="B967" s="69" t="n"/>
      <c r="C967" s="13" t="n"/>
      <c r="D967" s="13" t="n"/>
      <c r="E967" s="70" t="n"/>
      <c r="F967" s="70" t="n"/>
      <c r="G967" s="70" t="n"/>
      <c r="H967" s="13" t="n"/>
      <c r="I967" s="13" t="n"/>
      <c r="J967" s="13" t="n"/>
      <c r="K967" s="16">
        <f>IF($A967="","",1)</f>
        <v/>
      </c>
    </row>
    <row r="968">
      <c r="A968" s="13" t="n"/>
      <c r="B968" s="69" t="n"/>
      <c r="C968" s="13" t="n"/>
      <c r="D968" s="13" t="n"/>
      <c r="E968" s="70" t="n"/>
      <c r="F968" s="70" t="n"/>
      <c r="G968" s="70" t="n"/>
      <c r="H968" s="13" t="n"/>
      <c r="I968" s="13" t="n"/>
      <c r="J968" s="13" t="n"/>
      <c r="K968" s="16">
        <f>IF($A968="","",1)</f>
        <v/>
      </c>
    </row>
    <row r="969">
      <c r="A969" s="13" t="n"/>
      <c r="B969" s="69" t="n"/>
      <c r="C969" s="13" t="n"/>
      <c r="D969" s="13" t="n"/>
      <c r="E969" s="70" t="n"/>
      <c r="F969" s="70" t="n"/>
      <c r="G969" s="70" t="n"/>
      <c r="H969" s="13" t="n"/>
      <c r="I969" s="13" t="n"/>
      <c r="J969" s="13" t="n"/>
      <c r="K969" s="16">
        <f>IF($A969="","",1)</f>
        <v/>
      </c>
    </row>
    <row r="970">
      <c r="A970" s="13" t="n"/>
      <c r="B970" s="69" t="n"/>
      <c r="C970" s="13" t="n"/>
      <c r="D970" s="13" t="n"/>
      <c r="E970" s="70" t="n"/>
      <c r="F970" s="70" t="n"/>
      <c r="G970" s="70" t="n"/>
      <c r="H970" s="13" t="n"/>
      <c r="I970" s="13" t="n"/>
      <c r="J970" s="13" t="n"/>
      <c r="K970" s="16">
        <f>IF($A970="","",1)</f>
        <v/>
      </c>
    </row>
    <row r="971">
      <c r="A971" s="13" t="n"/>
      <c r="B971" s="69" t="n"/>
      <c r="C971" s="13" t="n"/>
      <c r="D971" s="13" t="n"/>
      <c r="E971" s="70" t="n"/>
      <c r="F971" s="70" t="n"/>
      <c r="G971" s="70" t="n"/>
      <c r="H971" s="13" t="n"/>
      <c r="I971" s="13" t="n"/>
      <c r="J971" s="13" t="n"/>
      <c r="K971" s="16">
        <f>IF($A971="","",1)</f>
        <v/>
      </c>
    </row>
    <row r="972">
      <c r="A972" s="13" t="n"/>
      <c r="B972" s="69" t="n"/>
      <c r="C972" s="13" t="n"/>
      <c r="D972" s="13" t="n"/>
      <c r="E972" s="70" t="n"/>
      <c r="F972" s="70" t="n"/>
      <c r="G972" s="70" t="n"/>
      <c r="H972" s="13" t="n"/>
      <c r="I972" s="13" t="n"/>
      <c r="J972" s="13" t="n"/>
      <c r="K972" s="16">
        <f>IF($A972="","",1)</f>
        <v/>
      </c>
    </row>
    <row r="973">
      <c r="A973" s="13" t="n"/>
      <c r="B973" s="69" t="n"/>
      <c r="C973" s="13" t="n"/>
      <c r="D973" s="13" t="n"/>
      <c r="E973" s="70" t="n"/>
      <c r="F973" s="70" t="n"/>
      <c r="G973" s="70" t="n"/>
      <c r="H973" s="13" t="n"/>
      <c r="I973" s="13" t="n"/>
      <c r="J973" s="13" t="n"/>
      <c r="K973" s="16">
        <f>IF($A973="","",1)</f>
        <v/>
      </c>
    </row>
    <row r="974">
      <c r="A974" s="13" t="n"/>
      <c r="B974" s="69" t="n"/>
      <c r="C974" s="13" t="n"/>
      <c r="D974" s="13" t="n"/>
      <c r="E974" s="70" t="n"/>
      <c r="F974" s="70" t="n"/>
      <c r="G974" s="70" t="n"/>
      <c r="H974" s="13" t="n"/>
      <c r="I974" s="13" t="n"/>
      <c r="J974" s="13" t="n"/>
      <c r="K974" s="16">
        <f>IF($A974="","",1)</f>
        <v/>
      </c>
    </row>
    <row r="975">
      <c r="A975" s="13" t="n"/>
      <c r="B975" s="69" t="n"/>
      <c r="C975" s="13" t="n"/>
      <c r="D975" s="13" t="n"/>
      <c r="E975" s="70" t="n"/>
      <c r="F975" s="70" t="n"/>
      <c r="G975" s="70" t="n"/>
      <c r="H975" s="13" t="n"/>
      <c r="I975" s="13" t="n"/>
      <c r="J975" s="13" t="n"/>
      <c r="K975" s="16">
        <f>IF($A975="","",1)</f>
        <v/>
      </c>
    </row>
    <row r="976">
      <c r="A976" s="13" t="n"/>
      <c r="B976" s="69" t="n"/>
      <c r="C976" s="13" t="n"/>
      <c r="D976" s="13" t="n"/>
      <c r="E976" s="70" t="n"/>
      <c r="F976" s="70" t="n"/>
      <c r="G976" s="70" t="n"/>
      <c r="H976" s="13" t="n"/>
      <c r="I976" s="13" t="n"/>
      <c r="J976" s="13" t="n"/>
      <c r="K976" s="16">
        <f>IF($A976="","",1)</f>
        <v/>
      </c>
    </row>
    <row r="977">
      <c r="A977" s="13" t="n"/>
      <c r="B977" s="69" t="n"/>
      <c r="C977" s="13" t="n"/>
      <c r="D977" s="13" t="n"/>
      <c r="E977" s="70" t="n"/>
      <c r="F977" s="70" t="n"/>
      <c r="G977" s="70" t="n"/>
      <c r="H977" s="13" t="n"/>
      <c r="I977" s="13" t="n"/>
      <c r="J977" s="13" t="n"/>
      <c r="K977" s="16">
        <f>IF($A977="","",1)</f>
        <v/>
      </c>
    </row>
    <row r="978">
      <c r="A978" s="13" t="n"/>
      <c r="B978" s="69" t="n"/>
      <c r="C978" s="13" t="n"/>
      <c r="D978" s="13" t="n"/>
      <c r="E978" s="70" t="n"/>
      <c r="F978" s="70" t="n"/>
      <c r="G978" s="70" t="n"/>
      <c r="H978" s="13" t="n"/>
      <c r="I978" s="13" t="n"/>
      <c r="J978" s="13" t="n"/>
      <c r="K978" s="16">
        <f>IF($A978="","",1)</f>
        <v/>
      </c>
    </row>
    <row r="979">
      <c r="A979" s="13" t="n"/>
      <c r="B979" s="69" t="n"/>
      <c r="C979" s="13" t="n"/>
      <c r="D979" s="13" t="n"/>
      <c r="E979" s="70" t="n"/>
      <c r="F979" s="70" t="n"/>
      <c r="G979" s="70" t="n"/>
      <c r="H979" s="13" t="n"/>
      <c r="I979" s="13" t="n"/>
      <c r="J979" s="13" t="n"/>
      <c r="K979" s="16">
        <f>IF($A979="","",1)</f>
        <v/>
      </c>
    </row>
    <row r="980">
      <c r="A980" s="13" t="n"/>
      <c r="B980" s="69" t="n"/>
      <c r="C980" s="13" t="n"/>
      <c r="D980" s="13" t="n"/>
      <c r="E980" s="70" t="n"/>
      <c r="F980" s="70" t="n"/>
      <c r="G980" s="70" t="n"/>
      <c r="H980" s="13" t="n"/>
      <c r="I980" s="13" t="n"/>
      <c r="J980" s="13" t="n"/>
      <c r="K980" s="16">
        <f>IF($A980="","",1)</f>
        <v/>
      </c>
    </row>
    <row r="981">
      <c r="A981" s="13" t="n"/>
      <c r="B981" s="69" t="n"/>
      <c r="C981" s="13" t="n"/>
      <c r="D981" s="13" t="n"/>
      <c r="E981" s="70" t="n"/>
      <c r="F981" s="70" t="n"/>
      <c r="G981" s="70" t="n"/>
      <c r="H981" s="13" t="n"/>
      <c r="I981" s="13" t="n"/>
      <c r="J981" s="13" t="n"/>
      <c r="K981" s="16">
        <f>IF($A981="","",1)</f>
        <v/>
      </c>
    </row>
    <row r="982">
      <c r="A982" s="13" t="n"/>
      <c r="B982" s="69" t="n"/>
      <c r="C982" s="13" t="n"/>
      <c r="D982" s="13" t="n"/>
      <c r="E982" s="70" t="n"/>
      <c r="F982" s="70" t="n"/>
      <c r="G982" s="70" t="n"/>
      <c r="H982" s="13" t="n"/>
      <c r="I982" s="13" t="n"/>
      <c r="J982" s="13" t="n"/>
      <c r="K982" s="16">
        <f>IF($A982="","",1)</f>
        <v/>
      </c>
    </row>
    <row r="983">
      <c r="A983" s="13" t="n"/>
      <c r="B983" s="69" t="n"/>
      <c r="C983" s="13" t="n"/>
      <c r="D983" s="13" t="n"/>
      <c r="E983" s="70" t="n"/>
      <c r="F983" s="70" t="n"/>
      <c r="G983" s="70" t="n"/>
      <c r="H983" s="13" t="n"/>
      <c r="I983" s="13" t="n"/>
      <c r="J983" s="13" t="n"/>
      <c r="K983" s="16">
        <f>IF($A983="","",1)</f>
        <v/>
      </c>
    </row>
    <row r="984">
      <c r="A984" s="13" t="n"/>
      <c r="B984" s="69" t="n"/>
      <c r="C984" s="13" t="n"/>
      <c r="D984" s="13" t="n"/>
      <c r="E984" s="70" t="n"/>
      <c r="F984" s="70" t="n"/>
      <c r="G984" s="70" t="n"/>
      <c r="H984" s="13" t="n"/>
      <c r="I984" s="13" t="n"/>
      <c r="J984" s="13" t="n"/>
      <c r="K984" s="16">
        <f>IF($A984="","",1)</f>
        <v/>
      </c>
    </row>
    <row r="985">
      <c r="A985" s="13" t="n"/>
      <c r="B985" s="69" t="n"/>
      <c r="C985" s="13" t="n"/>
      <c r="D985" s="13" t="n"/>
      <c r="E985" s="70" t="n"/>
      <c r="F985" s="70" t="n"/>
      <c r="G985" s="70" t="n"/>
      <c r="H985" s="13" t="n"/>
      <c r="I985" s="13" t="n"/>
      <c r="J985" s="13" t="n"/>
      <c r="K985" s="16">
        <f>IF($A985="","",1)</f>
        <v/>
      </c>
    </row>
    <row r="986">
      <c r="A986" s="13" t="n"/>
      <c r="B986" s="69" t="n"/>
      <c r="C986" s="13" t="n"/>
      <c r="D986" s="13" t="n"/>
      <c r="E986" s="70" t="n"/>
      <c r="F986" s="70" t="n"/>
      <c r="G986" s="70" t="n"/>
      <c r="H986" s="13" t="n"/>
      <c r="I986" s="13" t="n"/>
      <c r="J986" s="13" t="n"/>
      <c r="K986" s="16">
        <f>IF($A986="","",1)</f>
        <v/>
      </c>
    </row>
    <row r="987">
      <c r="A987" s="13" t="n"/>
      <c r="B987" s="69" t="n"/>
      <c r="C987" s="13" t="n"/>
      <c r="D987" s="13" t="n"/>
      <c r="E987" s="70" t="n"/>
      <c r="F987" s="70" t="n"/>
      <c r="G987" s="70" t="n"/>
      <c r="H987" s="13" t="n"/>
      <c r="I987" s="13" t="n"/>
      <c r="J987" s="13" t="n"/>
      <c r="K987" s="16">
        <f>IF($A987="","",1)</f>
        <v/>
      </c>
    </row>
    <row r="988">
      <c r="A988" s="13" t="n"/>
      <c r="B988" s="69" t="n"/>
      <c r="C988" s="13" t="n"/>
      <c r="D988" s="13" t="n"/>
      <c r="E988" s="70" t="n"/>
      <c r="F988" s="70" t="n"/>
      <c r="G988" s="70" t="n"/>
      <c r="H988" s="13" t="n"/>
      <c r="I988" s="13" t="n"/>
      <c r="J988" s="13" t="n"/>
      <c r="K988" s="16">
        <f>IF($A988="","",1)</f>
        <v/>
      </c>
    </row>
    <row r="989">
      <c r="A989" s="13" t="n"/>
      <c r="B989" s="69" t="n"/>
      <c r="C989" s="13" t="n"/>
      <c r="D989" s="13" t="n"/>
      <c r="E989" s="70" t="n"/>
      <c r="F989" s="70" t="n"/>
      <c r="G989" s="70" t="n"/>
      <c r="H989" s="13" t="n"/>
      <c r="I989" s="13" t="n"/>
      <c r="J989" s="13" t="n"/>
      <c r="K989" s="16">
        <f>IF($A989="","",1)</f>
        <v/>
      </c>
    </row>
    <row r="990">
      <c r="A990" s="13" t="n"/>
      <c r="B990" s="69" t="n"/>
      <c r="C990" s="13" t="n"/>
      <c r="D990" s="13" t="n"/>
      <c r="E990" s="70" t="n"/>
      <c r="F990" s="70" t="n"/>
      <c r="G990" s="70" t="n"/>
      <c r="H990" s="13" t="n"/>
      <c r="I990" s="13" t="n"/>
      <c r="J990" s="13" t="n"/>
      <c r="K990" s="16">
        <f>IF($A990="","",1)</f>
        <v/>
      </c>
    </row>
    <row r="991">
      <c r="A991" s="13" t="n"/>
      <c r="B991" s="69" t="n"/>
      <c r="C991" s="13" t="n"/>
      <c r="D991" s="13" t="n"/>
      <c r="E991" s="70" t="n"/>
      <c r="F991" s="70" t="n"/>
      <c r="G991" s="70" t="n"/>
      <c r="H991" s="13" t="n"/>
      <c r="I991" s="13" t="n"/>
      <c r="J991" s="13" t="n"/>
      <c r="K991" s="16">
        <f>IF($A991="","",1)</f>
        <v/>
      </c>
    </row>
    <row r="992">
      <c r="A992" s="13" t="n"/>
      <c r="B992" s="69" t="n"/>
      <c r="C992" s="13" t="n"/>
      <c r="D992" s="13" t="n"/>
      <c r="E992" s="70" t="n"/>
      <c r="F992" s="70" t="n"/>
      <c r="G992" s="70" t="n"/>
      <c r="H992" s="13" t="n"/>
      <c r="I992" s="13" t="n"/>
      <c r="J992" s="13" t="n"/>
      <c r="K992" s="16">
        <f>IF($A992="","",1)</f>
        <v/>
      </c>
    </row>
    <row r="993">
      <c r="A993" s="13" t="n"/>
      <c r="B993" s="69" t="n"/>
      <c r="C993" s="13" t="n"/>
      <c r="D993" s="13" t="n"/>
      <c r="E993" s="70" t="n"/>
      <c r="F993" s="70" t="n"/>
      <c r="G993" s="70" t="n"/>
      <c r="H993" s="13" t="n"/>
      <c r="I993" s="13" t="n"/>
      <c r="J993" s="13" t="n"/>
      <c r="K993" s="16">
        <f>IF($A993="","",1)</f>
        <v/>
      </c>
    </row>
    <row r="994">
      <c r="A994" s="13" t="n"/>
      <c r="B994" s="69" t="n"/>
      <c r="C994" s="13" t="n"/>
      <c r="D994" s="13" t="n"/>
      <c r="E994" s="70" t="n"/>
      <c r="F994" s="70" t="n"/>
      <c r="G994" s="70" t="n"/>
      <c r="H994" s="13" t="n"/>
      <c r="I994" s="13" t="n"/>
      <c r="J994" s="13" t="n"/>
      <c r="K994" s="16">
        <f>IF($A994="","",1)</f>
        <v/>
      </c>
    </row>
    <row r="995">
      <c r="A995" s="13" t="n"/>
      <c r="B995" s="69" t="n"/>
      <c r="C995" s="13" t="n"/>
      <c r="D995" s="13" t="n"/>
      <c r="E995" s="70" t="n"/>
      <c r="F995" s="70" t="n"/>
      <c r="G995" s="70" t="n"/>
      <c r="H995" s="13" t="n"/>
      <c r="I995" s="13" t="n"/>
      <c r="J995" s="13" t="n"/>
      <c r="K995" s="16">
        <f>IF($A995="","",1)</f>
        <v/>
      </c>
    </row>
    <row r="996">
      <c r="A996" s="13" t="n"/>
      <c r="B996" s="69" t="n"/>
      <c r="C996" s="13" t="n"/>
      <c r="D996" s="13" t="n"/>
      <c r="E996" s="70" t="n"/>
      <c r="F996" s="70" t="n"/>
      <c r="G996" s="70" t="n"/>
      <c r="H996" s="13" t="n"/>
      <c r="I996" s="13" t="n"/>
      <c r="J996" s="13" t="n"/>
      <c r="K996" s="16">
        <f>IF($A996="","",1)</f>
        <v/>
      </c>
    </row>
    <row r="997">
      <c r="A997" s="13" t="n"/>
      <c r="B997" s="69" t="n"/>
      <c r="C997" s="13" t="n"/>
      <c r="D997" s="13" t="n"/>
      <c r="E997" s="70" t="n"/>
      <c r="F997" s="70" t="n"/>
      <c r="G997" s="70" t="n"/>
      <c r="H997" s="13" t="n"/>
      <c r="I997" s="13" t="n"/>
      <c r="J997" s="13" t="n"/>
      <c r="K997" s="16">
        <f>IF($A997="","",1)</f>
        <v/>
      </c>
    </row>
    <row r="998">
      <c r="A998" s="13" t="n"/>
      <c r="B998" s="69" t="n"/>
      <c r="C998" s="13" t="n"/>
      <c r="D998" s="13" t="n"/>
      <c r="E998" s="70" t="n"/>
      <c r="F998" s="70" t="n"/>
      <c r="G998" s="70" t="n"/>
      <c r="H998" s="13" t="n"/>
      <c r="I998" s="13" t="n"/>
      <c r="J998" s="13" t="n"/>
      <c r="K998" s="16">
        <f>IF($A998="","",1)</f>
        <v/>
      </c>
    </row>
    <row r="999">
      <c r="A999" s="13" t="n"/>
      <c r="B999" s="69" t="n"/>
      <c r="C999" s="13" t="n"/>
      <c r="D999" s="13" t="n"/>
      <c r="E999" s="70" t="n"/>
      <c r="F999" s="70" t="n"/>
      <c r="G999" s="70" t="n"/>
      <c r="H999" s="13" t="n"/>
      <c r="I999" s="13" t="n"/>
      <c r="J999" s="13" t="n"/>
      <c r="K999" s="16">
        <f>IF($A999="","",1)</f>
        <v/>
      </c>
    </row>
    <row r="1000">
      <c r="A1000" s="13" t="n"/>
      <c r="B1000" s="69" t="n"/>
      <c r="C1000" s="13" t="n"/>
      <c r="D1000" s="13" t="n"/>
      <c r="E1000" s="70" t="n"/>
      <c r="F1000" s="70" t="n"/>
      <c r="G1000" s="70" t="n"/>
      <c r="H1000" s="13" t="n"/>
      <c r="I1000" s="13" t="n"/>
      <c r="J1000" s="13" t="n"/>
      <c r="K1000" s="16">
        <f>IF($A1000="","",1)</f>
        <v/>
      </c>
    </row>
    <row r="1001">
      <c r="A1001" s="13" t="n"/>
      <c r="B1001" s="69" t="n"/>
      <c r="C1001" s="13" t="n"/>
      <c r="D1001" s="13" t="n"/>
      <c r="E1001" s="70" t="n"/>
      <c r="F1001" s="70" t="n"/>
      <c r="G1001" s="70" t="n"/>
      <c r="H1001" s="13" t="n"/>
      <c r="I1001" s="13" t="n"/>
      <c r="J1001" s="13" t="n"/>
      <c r="K1001" s="16">
        <f>IF($A1001="","",1)</f>
        <v/>
      </c>
    </row>
    <row r="1002">
      <c r="A1002" s="13" t="n"/>
      <c r="B1002" s="69" t="n"/>
      <c r="C1002" s="13" t="n"/>
      <c r="D1002" s="13" t="n"/>
      <c r="E1002" s="70" t="n"/>
      <c r="F1002" s="70" t="n"/>
      <c r="G1002" s="70" t="n"/>
      <c r="H1002" s="13" t="n"/>
      <c r="I1002" s="13" t="n"/>
      <c r="J1002" s="13" t="n"/>
      <c r="K1002" s="16">
        <f>IF($A1002="","",1)</f>
        <v/>
      </c>
    </row>
    <row r="1003">
      <c r="A1003" s="13" t="n"/>
      <c r="B1003" s="69" t="n"/>
      <c r="C1003" s="13" t="n"/>
      <c r="D1003" s="13" t="n"/>
      <c r="E1003" s="70" t="n"/>
      <c r="F1003" s="70" t="n"/>
      <c r="G1003" s="70" t="n"/>
      <c r="H1003" s="13" t="n"/>
      <c r="I1003" s="13" t="n"/>
      <c r="J1003" s="13" t="n"/>
      <c r="K1003" s="16">
        <f>IF($A1003="","",1)</f>
        <v/>
      </c>
    </row>
    <row r="1004">
      <c r="A1004" s="13" t="n"/>
      <c r="B1004" s="69" t="n"/>
      <c r="C1004" s="13" t="n"/>
      <c r="D1004" s="13" t="n"/>
      <c r="E1004" s="70" t="n"/>
      <c r="F1004" s="70" t="n"/>
      <c r="G1004" s="70" t="n"/>
      <c r="H1004" s="13" t="n"/>
      <c r="I1004" s="13" t="n"/>
      <c r="J1004" s="13" t="n"/>
      <c r="K1004" s="16">
        <f>IF($A1004="","",1)</f>
        <v/>
      </c>
    </row>
    <row r="1005">
      <c r="A1005" s="13" t="n"/>
      <c r="B1005" s="69" t="n"/>
      <c r="C1005" s="13" t="n"/>
      <c r="D1005" s="13" t="n"/>
      <c r="E1005" s="70" t="n"/>
      <c r="F1005" s="70" t="n"/>
      <c r="G1005" s="70" t="n"/>
      <c r="H1005" s="13" t="n"/>
      <c r="I1005" s="13" t="n"/>
      <c r="J1005" s="13" t="n"/>
      <c r="K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10">
    <dataValidation sqref="A6:A1005" showDropDown="0" showInputMessage="1" showErrorMessage="1" allowBlank="1" errorTitle="Fatura" error="Boş olamaz" promptTitle="Fatura Numarası" prompt="Fatura numarası yapıştırı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E6:E1005" showDropDown="0" showInputMessage="1" showErrorMessage="1" allowBlank="1" errorTitle="Tutar" error="Sayı girin" promptTitle="Matrah" prompt="Tutar (negatif hata listesine düşer)" type="decimal" errorStyle="stop" operator="greaterThanOrEqual">
      <formula1>0</formula1>
      <formula2>-100000000</formula2>
    </dataValidation>
    <dataValidation sqref="F6:F1005" showDropDown="0" showInputMessage="1" showErrorMessage="1" allowBlank="1" errorTitle="Tutar" error="Sayı girin" promptTitle="KDV" prompt="Tutar (negatif hata listesine düşer)" type="decimal" errorStyle="stop" operator="greaterThanOrEqual">
      <formula1>0</formula1>
      <formula2>-100000000</formula2>
    </dataValidation>
    <dataValidation sqref="G6:G1005" showDropDown="0" showInputMessage="1" showErrorMessage="1" allowBlank="1" errorTitle="Tutar" error="Sayı girin" promptTitle="Toplam" prompt="Tutar (negatif hata listesine düşer)" type="decimal" errorStyle="stop" operator="greaterThanOrEqual">
      <formula1>0</formula1>
      <formula2>-100000000</formula2>
    </dataValidation>
    <dataValidation sqref="H6:H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D6:D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I6:I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J6:J1005" showDropDown="0" showInputMessage="1" showErrorMessage="1" allowBlank="1" errorTitle="Açıklama" error="Geçersiz" promptTitle="Açıklama" prompt="Açıklama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Defter Beyan e-Arşiv Aktarım Düzenleyici</t>
        </is>
      </c>
    </row>
    <row r="3" ht="20" customHeight="1">
      <c r="A3" s="10" t="inlineStr">
        <is>
          <t>DBS hedef satırları — Defter Beyan kolon düzeni</t>
        </is>
      </c>
    </row>
    <row r="5" ht="30" customHeight="1">
      <c r="A5" s="12" t="inlineStr">
        <is>
          <t>BelgeNo</t>
        </is>
      </c>
      <c r="B5" s="12" t="inlineStr">
        <is>
          <t>BelgeTarihi</t>
        </is>
      </c>
      <c r="C5" s="12" t="inlineStr">
        <is>
          <t>Tutar</t>
        </is>
      </c>
      <c r="D5" s="12" t="inlineStr">
        <is>
          <t>HesapKodu</t>
        </is>
      </c>
      <c r="E5" s="12" t="inlineStr">
        <is>
          <t>Aciklama</t>
        </is>
      </c>
      <c r="F5" s="12" t="inlineStr">
        <is>
          <t>Donem</t>
        </is>
      </c>
      <c r="G5" s="12" t="inlineStr">
        <is>
          <t>VKN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70" t="n">
        <v>1257</v>
      </c>
      <c r="D6" s="13" t="inlineStr">
        <is>
          <t>600.000</t>
        </is>
      </c>
      <c r="E6" s="13" t="inlineStr">
        <is>
          <t>DBS aktarım</t>
        </is>
      </c>
      <c r="F6" s="13" t="inlineStr">
        <is>
          <t>2026-08</t>
        </is>
      </c>
      <c r="G6" s="13" t="inlineStr">
        <is>
          <t>1000000001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70" t="n">
        <v>1314</v>
      </c>
      <c r="D7" s="13" t="inlineStr">
        <is>
          <t>600.001</t>
        </is>
      </c>
      <c r="E7" s="13" t="inlineStr">
        <is>
          <t>DBS aktarım</t>
        </is>
      </c>
      <c r="F7" s="13" t="inlineStr">
        <is>
          <t>2026-08</t>
        </is>
      </c>
      <c r="G7" s="13" t="inlineStr">
        <is>
          <t>1000000002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EAR2026100003</t>
        </is>
      </c>
      <c r="B8" s="69" t="n">
        <v>46211</v>
      </c>
      <c r="C8" s="70" t="n">
        <v>1371</v>
      </c>
      <c r="D8" s="13" t="inlineStr">
        <is>
          <t>600.002</t>
        </is>
      </c>
      <c r="E8" s="13" t="inlineStr">
        <is>
          <t>DBS aktarım</t>
        </is>
      </c>
      <c r="F8" s="13" t="inlineStr">
        <is>
          <t>2026-08</t>
        </is>
      </c>
      <c r="G8" s="13" t="inlineStr">
        <is>
          <t>1000000003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70" t="n">
        <v>1428</v>
      </c>
      <c r="D9" s="13" t="inlineStr">
        <is>
          <t>600.003</t>
        </is>
      </c>
      <c r="E9" s="13" t="inlineStr">
        <is>
          <t>DBS aktarım</t>
        </is>
      </c>
      <c r="F9" s="13" t="inlineStr">
        <is>
          <t>2026-08</t>
        </is>
      </c>
      <c r="G9" s="13" t="inlineStr">
        <is>
          <t>1000000004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EAR2026100005</t>
        </is>
      </c>
      <c r="B10" s="69" t="n">
        <v>46213</v>
      </c>
      <c r="C10" s="70" t="n">
        <v>1485</v>
      </c>
      <c r="D10" s="13" t="inlineStr">
        <is>
          <t>600.004</t>
        </is>
      </c>
      <c r="E10" s="13" t="inlineStr">
        <is>
          <t>DBS aktarım</t>
        </is>
      </c>
      <c r="F10" s="13" t="inlineStr">
        <is>
          <t>2026-08</t>
        </is>
      </c>
      <c r="G10" s="13" t="inlineStr">
        <is>
          <t>1000000005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70" t="n">
        <v>1542</v>
      </c>
      <c r="D11" s="13" t="inlineStr">
        <is>
          <t>600.005</t>
        </is>
      </c>
      <c r="E11" s="13" t="inlineStr">
        <is>
          <t>DBS aktarım</t>
        </is>
      </c>
      <c r="F11" s="13" t="inlineStr">
        <is>
          <t>2026-08</t>
        </is>
      </c>
      <c r="G11" s="13" t="inlineStr">
        <is>
          <t>1000000006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EAR2026100007</t>
        </is>
      </c>
      <c r="B12" s="69" t="n">
        <v>46215</v>
      </c>
      <c r="C12" s="70" t="n">
        <v>1599</v>
      </c>
      <c r="D12" s="13" t="inlineStr">
        <is>
          <t>600.006</t>
        </is>
      </c>
      <c r="E12" s="13" t="inlineStr">
        <is>
          <t>DBS aktarım</t>
        </is>
      </c>
      <c r="F12" s="13" t="inlineStr">
        <is>
          <t>2026-08</t>
        </is>
      </c>
      <c r="G12" s="13" t="inlineStr">
        <is>
          <t>1000000007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70" t="n">
        <v>1643.5</v>
      </c>
      <c r="D13" s="13" t="inlineStr">
        <is>
          <t>600.007</t>
        </is>
      </c>
      <c r="E13" s="13" t="inlineStr">
        <is>
          <t>DBS aktarım</t>
        </is>
      </c>
      <c r="F13" s="13" t="inlineStr">
        <is>
          <t>2026-08</t>
        </is>
      </c>
      <c r="G13" s="13" t="inlineStr">
        <is>
          <t>1000000008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EAR2026100009</t>
        </is>
      </c>
      <c r="B14" s="69" t="n">
        <v>46217</v>
      </c>
      <c r="C14" s="70" t="n">
        <v>1713</v>
      </c>
      <c r="D14" s="13" t="inlineStr">
        <is>
          <t>600.008</t>
        </is>
      </c>
      <c r="E14" s="13" t="inlineStr">
        <is>
          <t>DBS aktarım</t>
        </is>
      </c>
      <c r="F14" s="13" t="inlineStr">
        <is>
          <t>2026-08</t>
        </is>
      </c>
      <c r="G14" s="13" t="inlineStr">
        <is>
          <t>1000000009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70" t="n">
        <v>1770</v>
      </c>
      <c r="D15" s="13" t="inlineStr">
        <is>
          <t>600.009</t>
        </is>
      </c>
      <c r="E15" s="13" t="inlineStr">
        <is>
          <t>DBS aktarım</t>
        </is>
      </c>
      <c r="F15" s="13" t="inlineStr">
        <is>
          <t>2026-08</t>
        </is>
      </c>
      <c r="G15" s="13" t="inlineStr">
        <is>
          <t>1000000010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EAR2026100011</t>
        </is>
      </c>
      <c r="B16" s="69" t="n">
        <v>46219</v>
      </c>
      <c r="C16" s="70" t="n">
        <v>1827.03</v>
      </c>
      <c r="D16" s="13" t="inlineStr">
        <is>
          <t>600.010</t>
        </is>
      </c>
      <c r="E16" s="13" t="inlineStr">
        <is>
          <t>DBS aktarım</t>
        </is>
      </c>
      <c r="F16" s="13" t="inlineStr">
        <is>
          <t>2026-08</t>
        </is>
      </c>
      <c r="G16" s="13" t="inlineStr">
        <is>
          <t>1000000011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70" t="n">
        <v>1884</v>
      </c>
      <c r="D17" s="13" t="inlineStr">
        <is>
          <t>600.011</t>
        </is>
      </c>
      <c r="E17" s="13" t="inlineStr">
        <is>
          <t>DBS aktarım</t>
        </is>
      </c>
      <c r="F17" s="13" t="inlineStr">
        <is>
          <t>2026-08</t>
        </is>
      </c>
      <c r="G17" s="13" t="inlineStr">
        <is>
          <t>1000000012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70" t="n">
        <v>1941</v>
      </c>
      <c r="D18" s="13" t="inlineStr">
        <is>
          <t>600.012</t>
        </is>
      </c>
      <c r="E18" s="13" t="inlineStr">
        <is>
          <t>DBS aktarım</t>
        </is>
      </c>
      <c r="F18" s="13" t="inlineStr">
        <is>
          <t>2026-08</t>
        </is>
      </c>
      <c r="G18" s="13" t="inlineStr">
        <is>
          <t>1000000013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70" t="n">
        <v>1998</v>
      </c>
      <c r="D19" s="13" t="inlineStr">
        <is>
          <t>600.013</t>
        </is>
      </c>
      <c r="E19" s="13" t="inlineStr">
        <is>
          <t>DBS aktarım</t>
        </is>
      </c>
      <c r="F19" s="13" t="inlineStr">
        <is>
          <t>2026-08</t>
        </is>
      </c>
      <c r="G19" s="13" t="inlineStr">
        <is>
          <t>1000000014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EAR2026109015</t>
        </is>
      </c>
      <c r="B20" s="69" t="n">
        <v>46223</v>
      </c>
      <c r="C20" s="70" t="n">
        <v>2055</v>
      </c>
      <c r="D20" s="13" t="inlineStr">
        <is>
          <t>600.014</t>
        </is>
      </c>
      <c r="E20" s="13" t="inlineStr">
        <is>
          <t>DBS aktarım</t>
        </is>
      </c>
      <c r="F20" s="13" t="inlineStr">
        <is>
          <t>2026-08</t>
        </is>
      </c>
      <c r="G20" s="13" t="inlineStr">
        <is>
          <t>1000000015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70" t="n">
        <v>2099.5</v>
      </c>
      <c r="D21" s="13" t="inlineStr">
        <is>
          <t>600.015</t>
        </is>
      </c>
      <c r="E21" s="13" t="inlineStr">
        <is>
          <t>DBS aktarım</t>
        </is>
      </c>
      <c r="F21" s="13" t="inlineStr">
        <is>
          <t>2026-08</t>
        </is>
      </c>
      <c r="G21" s="13" t="inlineStr">
        <is>
          <t>1000000016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70" t="n">
        <v>2169</v>
      </c>
      <c r="D22" s="13" t="inlineStr">
        <is>
          <t>600.016</t>
        </is>
      </c>
      <c r="E22" s="13" t="inlineStr">
        <is>
          <t>DBS aktarım</t>
        </is>
      </c>
      <c r="F22" s="13" t="inlineStr">
        <is>
          <t>2026-08</t>
        </is>
      </c>
      <c r="G22" s="13" t="inlineStr">
        <is>
          <t>1000000017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70" t="n">
        <v>2226</v>
      </c>
      <c r="D23" s="13" t="inlineStr">
        <is>
          <t>600.017</t>
        </is>
      </c>
      <c r="E23" s="13" t="inlineStr">
        <is>
          <t>DBS aktarım</t>
        </is>
      </c>
      <c r="F23" s="13" t="inlineStr">
        <is>
          <t>2026-08</t>
        </is>
      </c>
      <c r="G23" s="13" t="inlineStr">
        <is>
          <t>1000000018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70" t="n">
        <v>2283</v>
      </c>
      <c r="D24" s="13" t="inlineStr">
        <is>
          <t>600.018</t>
        </is>
      </c>
      <c r="E24" s="13" t="inlineStr">
        <is>
          <t>DBS aktarım</t>
        </is>
      </c>
      <c r="F24" s="13" t="inlineStr">
        <is>
          <t>2026-08</t>
        </is>
      </c>
      <c r="G24" s="13" t="inlineStr">
        <is>
          <t>1000000019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70" t="n">
        <v>2340</v>
      </c>
      <c r="D25" s="13" t="inlineStr">
        <is>
          <t>600.019</t>
        </is>
      </c>
      <c r="E25" s="13" t="inlineStr">
        <is>
          <t>DBS aktarım</t>
        </is>
      </c>
      <c r="F25" s="13" t="inlineStr">
        <is>
          <t>2026-08</t>
        </is>
      </c>
      <c r="G25" s="13" t="inlineStr">
        <is>
          <t>1000000020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70" t="n">
        <v>2397</v>
      </c>
      <c r="D26" s="13" t="inlineStr">
        <is>
          <t>600.020</t>
        </is>
      </c>
      <c r="E26" s="13" t="inlineStr">
        <is>
          <t>DBS aktarım</t>
        </is>
      </c>
      <c r="F26" s="13" t="inlineStr">
        <is>
          <t>2026-08</t>
        </is>
      </c>
      <c r="G26" s="13" t="inlineStr">
        <is>
          <t>1000000021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70" t="n">
        <v>2454.03</v>
      </c>
      <c r="D27" s="13" t="inlineStr">
        <is>
          <t>600.021</t>
        </is>
      </c>
      <c r="E27" s="13" t="inlineStr">
        <is>
          <t>DBS aktarım</t>
        </is>
      </c>
      <c r="F27" s="13" t="inlineStr">
        <is>
          <t>2026-08</t>
        </is>
      </c>
      <c r="G27" s="13" t="inlineStr">
        <is>
          <t>1000000022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70" t="n">
        <v>2511</v>
      </c>
      <c r="D28" s="13" t="inlineStr">
        <is>
          <t>600.022</t>
        </is>
      </c>
      <c r="E28" s="13" t="inlineStr">
        <is>
          <t>DBS aktarım</t>
        </is>
      </c>
      <c r="F28" s="13" t="inlineStr">
        <is>
          <t>2026-08</t>
        </is>
      </c>
      <c r="G28" s="13" t="inlineStr">
        <is>
          <t>1000000023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70" t="n">
        <v>2555.5</v>
      </c>
      <c r="D29" s="13" t="inlineStr">
        <is>
          <t>600.023</t>
        </is>
      </c>
      <c r="E29" s="13" t="inlineStr">
        <is>
          <t>DBS aktarım</t>
        </is>
      </c>
      <c r="F29" s="13" t="inlineStr">
        <is>
          <t>2026-08</t>
        </is>
      </c>
      <c r="G29" s="13" t="inlineStr">
        <is>
          <t>1000000024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EAR2026100025</t>
        </is>
      </c>
      <c r="B30" s="69" t="n">
        <v>46233</v>
      </c>
      <c r="C30" s="70" t="n">
        <v>2625</v>
      </c>
      <c r="D30" s="13" t="inlineStr">
        <is>
          <t>600.024</t>
        </is>
      </c>
      <c r="E30" s="13" t="inlineStr">
        <is>
          <t>DBS aktarım</t>
        </is>
      </c>
      <c r="F30" s="13" t="inlineStr">
        <is>
          <t>2026-08</t>
        </is>
      </c>
      <c r="G30" s="13" t="inlineStr">
        <is>
          <t>1000000025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70" t="n">
        <v>2682</v>
      </c>
      <c r="D31" s="13" t="inlineStr">
        <is>
          <t>600.025</t>
        </is>
      </c>
      <c r="E31" s="13" t="inlineStr">
        <is>
          <t>DBS aktarım</t>
        </is>
      </c>
      <c r="F31" s="13" t="inlineStr">
        <is>
          <t>2026-08</t>
        </is>
      </c>
      <c r="G31" s="13" t="inlineStr">
        <is>
          <t>1000000026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70" t="n">
        <v>2739</v>
      </c>
      <c r="D32" s="13" t="inlineStr">
        <is>
          <t>600.026</t>
        </is>
      </c>
      <c r="E32" s="13" t="inlineStr">
        <is>
          <t>DBS aktarım</t>
        </is>
      </c>
      <c r="F32" s="13" t="inlineStr">
        <is>
          <t>2026-08</t>
        </is>
      </c>
      <c r="G32" s="13" t="inlineStr">
        <is>
          <t>1000000027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70" t="n">
        <v>2796</v>
      </c>
      <c r="D33" s="13" t="inlineStr">
        <is>
          <t>600.027</t>
        </is>
      </c>
      <c r="E33" s="13" t="inlineStr">
        <is>
          <t>DBS aktarım</t>
        </is>
      </c>
      <c r="F33" s="13" t="inlineStr">
        <is>
          <t>2026-08</t>
        </is>
      </c>
      <c r="G33" s="13" t="inlineStr">
        <is>
          <t>1000000028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70" t="n">
        <v>2853</v>
      </c>
      <c r="D34" s="13" t="inlineStr">
        <is>
          <t>600.028</t>
        </is>
      </c>
      <c r="E34" s="13" t="inlineStr">
        <is>
          <t>DBS aktarım</t>
        </is>
      </c>
      <c r="F34" s="13" t="inlineStr">
        <is>
          <t>2026-08</t>
        </is>
      </c>
      <c r="G34" s="13" t="inlineStr">
        <is>
          <t>1000000029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70" t="n">
        <v>2910</v>
      </c>
      <c r="D35" s="13" t="inlineStr">
        <is>
          <t>600.029</t>
        </is>
      </c>
      <c r="E35" s="13" t="inlineStr">
        <is>
          <t>DBS aktarım</t>
        </is>
      </c>
      <c r="F35" s="13" t="inlineStr">
        <is>
          <t>2026-08</t>
        </is>
      </c>
      <c r="G35" s="13" t="inlineStr">
        <is>
          <t>1000000030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70" t="n">
        <v>2967</v>
      </c>
      <c r="D36" s="13" t="inlineStr">
        <is>
          <t>600.030</t>
        </is>
      </c>
      <c r="E36" s="13" t="inlineStr">
        <is>
          <t>DBS aktarım</t>
        </is>
      </c>
      <c r="F36" s="13" t="inlineStr">
        <is>
          <t>2026-08</t>
        </is>
      </c>
      <c r="G36" s="13" t="inlineStr">
        <is>
          <t>1000000031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70" t="n">
        <v>3011.5</v>
      </c>
      <c r="D37" s="13" t="inlineStr">
        <is>
          <t>600.031</t>
        </is>
      </c>
      <c r="E37" s="13" t="inlineStr">
        <is>
          <t>DBS aktarım</t>
        </is>
      </c>
      <c r="F37" s="13" t="inlineStr">
        <is>
          <t>2026-08</t>
        </is>
      </c>
      <c r="G37" s="13" t="inlineStr">
        <is>
          <t>1000000032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70" t="n">
        <v>3081.03</v>
      </c>
      <c r="D38" s="13" t="inlineStr">
        <is>
          <t>600.032</t>
        </is>
      </c>
      <c r="E38" s="13" t="inlineStr">
        <is>
          <t>DBS aktarım</t>
        </is>
      </c>
      <c r="F38" s="13" t="inlineStr">
        <is>
          <t>2026-08</t>
        </is>
      </c>
      <c r="G38" s="13" t="inlineStr">
        <is>
          <t>1000000033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70" t="n">
        <v>3138</v>
      </c>
      <c r="D39" s="13" t="inlineStr">
        <is>
          <t>600.033</t>
        </is>
      </c>
      <c r="E39" s="13" t="inlineStr">
        <is>
          <t>DBS aktarım</t>
        </is>
      </c>
      <c r="F39" s="13" t="inlineStr">
        <is>
          <t>2026-08</t>
        </is>
      </c>
      <c r="G39" s="13" t="inlineStr">
        <is>
          <t>1000000034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70" t="n">
        <v>3195</v>
      </c>
      <c r="D40" s="13" t="inlineStr">
        <is>
          <t>600.034</t>
        </is>
      </c>
      <c r="E40" s="13" t="inlineStr">
        <is>
          <t>DBS aktarım</t>
        </is>
      </c>
      <c r="F40" s="13" t="inlineStr">
        <is>
          <t>2026-08</t>
        </is>
      </c>
      <c r="G40" s="13" t="inlineStr">
        <is>
          <t>1000000035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70" t="n">
        <v>3252</v>
      </c>
      <c r="D41" s="13" t="inlineStr">
        <is>
          <t>600.035</t>
        </is>
      </c>
      <c r="E41" s="13" t="inlineStr">
        <is>
          <t>DBS aktarım</t>
        </is>
      </c>
      <c r="F41" s="13" t="inlineStr">
        <is>
          <t>2026-08</t>
        </is>
      </c>
      <c r="G41" s="13" t="inlineStr">
        <is>
          <t>1000000036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70" t="n">
        <v>3309</v>
      </c>
      <c r="D42" s="13" t="inlineStr">
        <is>
          <t>600.036</t>
        </is>
      </c>
      <c r="E42" s="13" t="inlineStr">
        <is>
          <t>DBS aktarım</t>
        </is>
      </c>
      <c r="F42" s="13" t="inlineStr">
        <is>
          <t>2026-08</t>
        </is>
      </c>
      <c r="G42" s="13" t="inlineStr">
        <is>
          <t>1000000037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70" t="n">
        <v>3366</v>
      </c>
      <c r="D43" s="13" t="inlineStr">
        <is>
          <t>600.037</t>
        </is>
      </c>
      <c r="E43" s="13" t="inlineStr">
        <is>
          <t>DBS aktarım</t>
        </is>
      </c>
      <c r="F43" s="13" t="inlineStr">
        <is>
          <t>2026-08</t>
        </is>
      </c>
      <c r="G43" s="13" t="inlineStr">
        <is>
          <t>1000000038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70" t="n">
        <v>3423</v>
      </c>
      <c r="D44" s="13" t="inlineStr">
        <is>
          <t>600.038</t>
        </is>
      </c>
      <c r="E44" s="13" t="inlineStr">
        <is>
          <t>DBS aktarım</t>
        </is>
      </c>
      <c r="F44" s="13" t="inlineStr">
        <is>
          <t>2026-08</t>
        </is>
      </c>
      <c r="G44" s="13" t="inlineStr">
        <is>
          <t>1000000039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70" t="n">
        <v>3467.5</v>
      </c>
      <c r="D45" s="13" t="inlineStr">
        <is>
          <t>600.039</t>
        </is>
      </c>
      <c r="E45" s="13" t="inlineStr">
        <is>
          <t>DBS aktarım</t>
        </is>
      </c>
      <c r="F45" s="13" t="inlineStr">
        <is>
          <t>2026-08</t>
        </is>
      </c>
      <c r="G45" s="13" t="inlineStr">
        <is>
          <t>1000000040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69" t="n"/>
      <c r="C46" s="70" t="n"/>
      <c r="D46" s="13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69" t="n"/>
      <c r="C47" s="70" t="n"/>
      <c r="D47" s="13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69" t="n"/>
      <c r="C48" s="70" t="n"/>
      <c r="D48" s="13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69" t="n"/>
      <c r="C49" s="70" t="n"/>
      <c r="D49" s="13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69" t="n"/>
      <c r="C50" s="70" t="n"/>
      <c r="D50" s="13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69" t="n"/>
      <c r="C51" s="70" t="n"/>
      <c r="D51" s="13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69" t="n"/>
      <c r="C52" s="70" t="n"/>
      <c r="D52" s="13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69" t="n"/>
      <c r="C53" s="70" t="n"/>
      <c r="D53" s="13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69" t="n"/>
      <c r="C54" s="70" t="n"/>
      <c r="D54" s="13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69" t="n"/>
      <c r="C55" s="70" t="n"/>
      <c r="D55" s="13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69" t="n"/>
      <c r="C56" s="70" t="n"/>
      <c r="D56" s="13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69" t="n"/>
      <c r="C57" s="70" t="n"/>
      <c r="D57" s="13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69" t="n"/>
      <c r="C58" s="70" t="n"/>
      <c r="D58" s="13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69" t="n"/>
      <c r="C59" s="70" t="n"/>
      <c r="D59" s="13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69" t="n"/>
      <c r="C60" s="70" t="n"/>
      <c r="D60" s="13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69" t="n"/>
      <c r="C61" s="70" t="n"/>
      <c r="D61" s="13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69" t="n"/>
      <c r="C62" s="70" t="n"/>
      <c r="D62" s="13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69" t="n"/>
      <c r="C63" s="70" t="n"/>
      <c r="D63" s="13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69" t="n"/>
      <c r="C64" s="70" t="n"/>
      <c r="D64" s="13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69" t="n"/>
      <c r="C65" s="70" t="n"/>
      <c r="D65" s="13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69" t="n"/>
      <c r="C66" s="70" t="n"/>
      <c r="D66" s="13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69" t="n"/>
      <c r="C67" s="70" t="n"/>
      <c r="D67" s="13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69" t="n"/>
      <c r="C68" s="70" t="n"/>
      <c r="D68" s="13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69" t="n"/>
      <c r="C69" s="70" t="n"/>
      <c r="D69" s="13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69" t="n"/>
      <c r="C70" s="70" t="n"/>
      <c r="D70" s="13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69" t="n"/>
      <c r="C71" s="70" t="n"/>
      <c r="D71" s="13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69" t="n"/>
      <c r="C72" s="70" t="n"/>
      <c r="D72" s="13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69" t="n"/>
      <c r="C73" s="70" t="n"/>
      <c r="D73" s="13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69" t="n"/>
      <c r="C74" s="70" t="n"/>
      <c r="D74" s="13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69" t="n"/>
      <c r="C75" s="70" t="n"/>
      <c r="D75" s="13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69" t="n"/>
      <c r="C76" s="70" t="n"/>
      <c r="D76" s="13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69" t="n"/>
      <c r="C77" s="70" t="n"/>
      <c r="D77" s="13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69" t="n"/>
      <c r="C78" s="70" t="n"/>
      <c r="D78" s="13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69" t="n"/>
      <c r="C79" s="70" t="n"/>
      <c r="D79" s="13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69" t="n"/>
      <c r="C80" s="70" t="n"/>
      <c r="D80" s="13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69" t="n"/>
      <c r="C81" s="70" t="n"/>
      <c r="D81" s="13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69" t="n"/>
      <c r="C82" s="70" t="n"/>
      <c r="D82" s="13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69" t="n"/>
      <c r="C83" s="70" t="n"/>
      <c r="D83" s="13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69" t="n"/>
      <c r="C84" s="70" t="n"/>
      <c r="D84" s="13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69" t="n"/>
      <c r="C85" s="70" t="n"/>
      <c r="D85" s="13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69" t="n"/>
      <c r="C86" s="70" t="n"/>
      <c r="D86" s="13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69" t="n"/>
      <c r="C87" s="70" t="n"/>
      <c r="D87" s="13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69" t="n"/>
      <c r="C88" s="70" t="n"/>
      <c r="D88" s="13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69" t="n"/>
      <c r="C89" s="70" t="n"/>
      <c r="D89" s="13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69" t="n"/>
      <c r="C90" s="70" t="n"/>
      <c r="D90" s="13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69" t="n"/>
      <c r="C91" s="70" t="n"/>
      <c r="D91" s="13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69" t="n"/>
      <c r="C92" s="70" t="n"/>
      <c r="D92" s="13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69" t="n"/>
      <c r="C93" s="70" t="n"/>
      <c r="D93" s="13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69" t="n"/>
      <c r="C94" s="70" t="n"/>
      <c r="D94" s="13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69" t="n"/>
      <c r="C95" s="70" t="n"/>
      <c r="D95" s="13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69" t="n"/>
      <c r="C96" s="70" t="n"/>
      <c r="D96" s="13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69" t="n"/>
      <c r="C97" s="70" t="n"/>
      <c r="D97" s="13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69" t="n"/>
      <c r="C98" s="70" t="n"/>
      <c r="D98" s="13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69" t="n"/>
      <c r="C99" s="70" t="n"/>
      <c r="D99" s="13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69" t="n"/>
      <c r="C100" s="70" t="n"/>
      <c r="D100" s="13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69" t="n"/>
      <c r="C101" s="70" t="n"/>
      <c r="D101" s="13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69" t="n"/>
      <c r="C102" s="70" t="n"/>
      <c r="D102" s="13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69" t="n"/>
      <c r="C103" s="70" t="n"/>
      <c r="D103" s="13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69" t="n"/>
      <c r="C104" s="70" t="n"/>
      <c r="D104" s="13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69" t="n"/>
      <c r="C105" s="70" t="n"/>
      <c r="D105" s="13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69" t="n"/>
      <c r="C106" s="70" t="n"/>
      <c r="D106" s="13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69" t="n"/>
      <c r="C107" s="70" t="n"/>
      <c r="D107" s="13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69" t="n"/>
      <c r="C108" s="70" t="n"/>
      <c r="D108" s="13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69" t="n"/>
      <c r="C109" s="70" t="n"/>
      <c r="D109" s="13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69" t="n"/>
      <c r="C110" s="70" t="n"/>
      <c r="D110" s="13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69" t="n"/>
      <c r="C111" s="70" t="n"/>
      <c r="D111" s="13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69" t="n"/>
      <c r="C112" s="70" t="n"/>
      <c r="D112" s="13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69" t="n"/>
      <c r="C113" s="70" t="n"/>
      <c r="D113" s="13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69" t="n"/>
      <c r="C114" s="70" t="n"/>
      <c r="D114" s="13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69" t="n"/>
      <c r="C115" s="70" t="n"/>
      <c r="D115" s="13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69" t="n"/>
      <c r="C116" s="70" t="n"/>
      <c r="D116" s="13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69" t="n"/>
      <c r="C117" s="70" t="n"/>
      <c r="D117" s="13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69" t="n"/>
      <c r="C118" s="70" t="n"/>
      <c r="D118" s="13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69" t="n"/>
      <c r="C119" s="70" t="n"/>
      <c r="D119" s="13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69" t="n"/>
      <c r="C120" s="70" t="n"/>
      <c r="D120" s="13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69" t="n"/>
      <c r="C121" s="70" t="n"/>
      <c r="D121" s="13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69" t="n"/>
      <c r="C122" s="70" t="n"/>
      <c r="D122" s="13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69" t="n"/>
      <c r="C123" s="70" t="n"/>
      <c r="D123" s="13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69" t="n"/>
      <c r="C124" s="70" t="n"/>
      <c r="D124" s="13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69" t="n"/>
      <c r="C125" s="70" t="n"/>
      <c r="D125" s="13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69" t="n"/>
      <c r="C126" s="70" t="n"/>
      <c r="D126" s="13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69" t="n"/>
      <c r="C127" s="70" t="n"/>
      <c r="D127" s="13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69" t="n"/>
      <c r="C128" s="70" t="n"/>
      <c r="D128" s="13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69" t="n"/>
      <c r="C129" s="70" t="n"/>
      <c r="D129" s="13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69" t="n"/>
      <c r="C130" s="70" t="n"/>
      <c r="D130" s="13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69" t="n"/>
      <c r="C131" s="70" t="n"/>
      <c r="D131" s="13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69" t="n"/>
      <c r="C132" s="70" t="n"/>
      <c r="D132" s="13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69" t="n"/>
      <c r="C133" s="70" t="n"/>
      <c r="D133" s="13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69" t="n"/>
      <c r="C134" s="70" t="n"/>
      <c r="D134" s="13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69" t="n"/>
      <c r="C135" s="70" t="n"/>
      <c r="D135" s="13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69" t="n"/>
      <c r="C136" s="70" t="n"/>
      <c r="D136" s="13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69" t="n"/>
      <c r="C137" s="70" t="n"/>
      <c r="D137" s="13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69" t="n"/>
      <c r="C138" s="70" t="n"/>
      <c r="D138" s="13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69" t="n"/>
      <c r="C139" s="70" t="n"/>
      <c r="D139" s="13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69" t="n"/>
      <c r="C140" s="70" t="n"/>
      <c r="D140" s="13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69" t="n"/>
      <c r="C141" s="70" t="n"/>
      <c r="D141" s="13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69" t="n"/>
      <c r="C142" s="70" t="n"/>
      <c r="D142" s="13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69" t="n"/>
      <c r="C143" s="70" t="n"/>
      <c r="D143" s="13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69" t="n"/>
      <c r="C144" s="70" t="n"/>
      <c r="D144" s="13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69" t="n"/>
      <c r="C145" s="70" t="n"/>
      <c r="D145" s="13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69" t="n"/>
      <c r="C146" s="70" t="n"/>
      <c r="D146" s="13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69" t="n"/>
      <c r="C147" s="70" t="n"/>
      <c r="D147" s="13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69" t="n"/>
      <c r="C148" s="70" t="n"/>
      <c r="D148" s="13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69" t="n"/>
      <c r="C149" s="70" t="n"/>
      <c r="D149" s="13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69" t="n"/>
      <c r="C150" s="70" t="n"/>
      <c r="D150" s="13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69" t="n"/>
      <c r="C151" s="70" t="n"/>
      <c r="D151" s="13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69" t="n"/>
      <c r="C152" s="70" t="n"/>
      <c r="D152" s="13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69" t="n"/>
      <c r="C153" s="70" t="n"/>
      <c r="D153" s="13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69" t="n"/>
      <c r="C154" s="70" t="n"/>
      <c r="D154" s="13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69" t="n"/>
      <c r="C155" s="70" t="n"/>
      <c r="D155" s="13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69" t="n"/>
      <c r="C156" s="70" t="n"/>
      <c r="D156" s="13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69" t="n"/>
      <c r="C157" s="70" t="n"/>
      <c r="D157" s="13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69" t="n"/>
      <c r="C158" s="70" t="n"/>
      <c r="D158" s="13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69" t="n"/>
      <c r="C159" s="70" t="n"/>
      <c r="D159" s="13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69" t="n"/>
      <c r="C160" s="70" t="n"/>
      <c r="D160" s="13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69" t="n"/>
      <c r="C161" s="70" t="n"/>
      <c r="D161" s="13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69" t="n"/>
      <c r="C162" s="70" t="n"/>
      <c r="D162" s="13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69" t="n"/>
      <c r="C163" s="70" t="n"/>
      <c r="D163" s="13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69" t="n"/>
      <c r="C164" s="70" t="n"/>
      <c r="D164" s="13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69" t="n"/>
      <c r="C165" s="70" t="n"/>
      <c r="D165" s="13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69" t="n"/>
      <c r="C166" s="70" t="n"/>
      <c r="D166" s="13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69" t="n"/>
      <c r="C167" s="70" t="n"/>
      <c r="D167" s="13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69" t="n"/>
      <c r="C168" s="70" t="n"/>
      <c r="D168" s="13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69" t="n"/>
      <c r="C169" s="70" t="n"/>
      <c r="D169" s="13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69" t="n"/>
      <c r="C170" s="70" t="n"/>
      <c r="D170" s="13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69" t="n"/>
      <c r="C171" s="70" t="n"/>
      <c r="D171" s="13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69" t="n"/>
      <c r="C172" s="70" t="n"/>
      <c r="D172" s="13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69" t="n"/>
      <c r="C173" s="70" t="n"/>
      <c r="D173" s="13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69" t="n"/>
      <c r="C174" s="70" t="n"/>
      <c r="D174" s="13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69" t="n"/>
      <c r="C175" s="70" t="n"/>
      <c r="D175" s="13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69" t="n"/>
      <c r="C176" s="70" t="n"/>
      <c r="D176" s="13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69" t="n"/>
      <c r="C177" s="70" t="n"/>
      <c r="D177" s="13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69" t="n"/>
      <c r="C178" s="70" t="n"/>
      <c r="D178" s="13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69" t="n"/>
      <c r="C179" s="70" t="n"/>
      <c r="D179" s="13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69" t="n"/>
      <c r="C180" s="70" t="n"/>
      <c r="D180" s="13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69" t="n"/>
      <c r="C181" s="70" t="n"/>
      <c r="D181" s="13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69" t="n"/>
      <c r="C182" s="70" t="n"/>
      <c r="D182" s="13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69" t="n"/>
      <c r="C183" s="70" t="n"/>
      <c r="D183" s="13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69" t="n"/>
      <c r="C184" s="70" t="n"/>
      <c r="D184" s="13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69" t="n"/>
      <c r="C185" s="70" t="n"/>
      <c r="D185" s="13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69" t="n"/>
      <c r="C186" s="70" t="n"/>
      <c r="D186" s="13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69" t="n"/>
      <c r="C187" s="70" t="n"/>
      <c r="D187" s="13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69" t="n"/>
      <c r="C188" s="70" t="n"/>
      <c r="D188" s="13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69" t="n"/>
      <c r="C189" s="70" t="n"/>
      <c r="D189" s="13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69" t="n"/>
      <c r="C190" s="70" t="n"/>
      <c r="D190" s="13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69" t="n"/>
      <c r="C191" s="70" t="n"/>
      <c r="D191" s="13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69" t="n"/>
      <c r="C192" s="70" t="n"/>
      <c r="D192" s="13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69" t="n"/>
      <c r="C193" s="70" t="n"/>
      <c r="D193" s="13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69" t="n"/>
      <c r="C194" s="70" t="n"/>
      <c r="D194" s="13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69" t="n"/>
      <c r="C195" s="70" t="n"/>
      <c r="D195" s="13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69" t="n"/>
      <c r="C196" s="70" t="n"/>
      <c r="D196" s="13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69" t="n"/>
      <c r="C197" s="70" t="n"/>
      <c r="D197" s="13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69" t="n"/>
      <c r="C198" s="70" t="n"/>
      <c r="D198" s="13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69" t="n"/>
      <c r="C199" s="70" t="n"/>
      <c r="D199" s="13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69" t="n"/>
      <c r="C200" s="70" t="n"/>
      <c r="D200" s="13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69" t="n"/>
      <c r="C201" s="70" t="n"/>
      <c r="D201" s="13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69" t="n"/>
      <c r="C202" s="70" t="n"/>
      <c r="D202" s="13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69" t="n"/>
      <c r="C203" s="70" t="n"/>
      <c r="D203" s="13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69" t="n"/>
      <c r="C204" s="70" t="n"/>
      <c r="D204" s="13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69" t="n"/>
      <c r="C205" s="70" t="n"/>
      <c r="D205" s="13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69" t="n"/>
      <c r="C206" s="70" t="n"/>
      <c r="D206" s="13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69" t="n"/>
      <c r="C207" s="70" t="n"/>
      <c r="D207" s="13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69" t="n"/>
      <c r="C208" s="70" t="n"/>
      <c r="D208" s="13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69" t="n"/>
      <c r="C209" s="70" t="n"/>
      <c r="D209" s="13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69" t="n"/>
      <c r="C210" s="70" t="n"/>
      <c r="D210" s="13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69" t="n"/>
      <c r="C211" s="70" t="n"/>
      <c r="D211" s="13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69" t="n"/>
      <c r="C212" s="70" t="n"/>
      <c r="D212" s="13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69" t="n"/>
      <c r="C213" s="70" t="n"/>
      <c r="D213" s="13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69" t="n"/>
      <c r="C214" s="70" t="n"/>
      <c r="D214" s="13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69" t="n"/>
      <c r="C215" s="70" t="n"/>
      <c r="D215" s="13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69" t="n"/>
      <c r="C216" s="70" t="n"/>
      <c r="D216" s="13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69" t="n"/>
      <c r="C217" s="70" t="n"/>
      <c r="D217" s="13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69" t="n"/>
      <c r="C218" s="70" t="n"/>
      <c r="D218" s="13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69" t="n"/>
      <c r="C219" s="70" t="n"/>
      <c r="D219" s="13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69" t="n"/>
      <c r="C220" s="70" t="n"/>
      <c r="D220" s="13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69" t="n"/>
      <c r="C221" s="70" t="n"/>
      <c r="D221" s="13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69" t="n"/>
      <c r="C222" s="70" t="n"/>
      <c r="D222" s="13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69" t="n"/>
      <c r="C223" s="70" t="n"/>
      <c r="D223" s="13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69" t="n"/>
      <c r="C224" s="70" t="n"/>
      <c r="D224" s="13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69" t="n"/>
      <c r="C225" s="70" t="n"/>
      <c r="D225" s="13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69" t="n"/>
      <c r="C226" s="70" t="n"/>
      <c r="D226" s="13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69" t="n"/>
      <c r="C227" s="70" t="n"/>
      <c r="D227" s="13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69" t="n"/>
      <c r="C228" s="70" t="n"/>
      <c r="D228" s="13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69" t="n"/>
      <c r="C229" s="70" t="n"/>
      <c r="D229" s="13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69" t="n"/>
      <c r="C230" s="70" t="n"/>
      <c r="D230" s="13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69" t="n"/>
      <c r="C231" s="70" t="n"/>
      <c r="D231" s="13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69" t="n"/>
      <c r="C232" s="70" t="n"/>
      <c r="D232" s="13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69" t="n"/>
      <c r="C233" s="70" t="n"/>
      <c r="D233" s="13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69" t="n"/>
      <c r="C234" s="70" t="n"/>
      <c r="D234" s="13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69" t="n"/>
      <c r="C235" s="70" t="n"/>
      <c r="D235" s="13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69" t="n"/>
      <c r="C236" s="70" t="n"/>
      <c r="D236" s="13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69" t="n"/>
      <c r="C237" s="70" t="n"/>
      <c r="D237" s="13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69" t="n"/>
      <c r="C238" s="70" t="n"/>
      <c r="D238" s="13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69" t="n"/>
      <c r="C239" s="70" t="n"/>
      <c r="D239" s="13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69" t="n"/>
      <c r="C240" s="70" t="n"/>
      <c r="D240" s="13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69" t="n"/>
      <c r="C241" s="70" t="n"/>
      <c r="D241" s="13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69" t="n"/>
      <c r="C242" s="70" t="n"/>
      <c r="D242" s="13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69" t="n"/>
      <c r="C243" s="70" t="n"/>
      <c r="D243" s="13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69" t="n"/>
      <c r="C244" s="70" t="n"/>
      <c r="D244" s="13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69" t="n"/>
      <c r="C245" s="70" t="n"/>
      <c r="D245" s="13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69" t="n"/>
      <c r="C246" s="70" t="n"/>
      <c r="D246" s="13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69" t="n"/>
      <c r="C247" s="70" t="n"/>
      <c r="D247" s="13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69" t="n"/>
      <c r="C248" s="70" t="n"/>
      <c r="D248" s="13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69" t="n"/>
      <c r="C249" s="70" t="n"/>
      <c r="D249" s="13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69" t="n"/>
      <c r="C250" s="70" t="n"/>
      <c r="D250" s="13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69" t="n"/>
      <c r="C251" s="70" t="n"/>
      <c r="D251" s="13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69" t="n"/>
      <c r="C252" s="70" t="n"/>
      <c r="D252" s="13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69" t="n"/>
      <c r="C253" s="70" t="n"/>
      <c r="D253" s="13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69" t="n"/>
      <c r="C254" s="70" t="n"/>
      <c r="D254" s="13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69" t="n"/>
      <c r="C255" s="70" t="n"/>
      <c r="D255" s="13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69" t="n"/>
      <c r="C256" s="70" t="n"/>
      <c r="D256" s="13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69" t="n"/>
      <c r="C257" s="70" t="n"/>
      <c r="D257" s="13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69" t="n"/>
      <c r="C258" s="70" t="n"/>
      <c r="D258" s="13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69" t="n"/>
      <c r="C259" s="70" t="n"/>
      <c r="D259" s="13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69" t="n"/>
      <c r="C260" s="70" t="n"/>
      <c r="D260" s="13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69" t="n"/>
      <c r="C261" s="70" t="n"/>
      <c r="D261" s="13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69" t="n"/>
      <c r="C262" s="70" t="n"/>
      <c r="D262" s="13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69" t="n"/>
      <c r="C263" s="70" t="n"/>
      <c r="D263" s="13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69" t="n"/>
      <c r="C264" s="70" t="n"/>
      <c r="D264" s="13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69" t="n"/>
      <c r="C265" s="70" t="n"/>
      <c r="D265" s="13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69" t="n"/>
      <c r="C266" s="70" t="n"/>
      <c r="D266" s="13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69" t="n"/>
      <c r="C267" s="70" t="n"/>
      <c r="D267" s="13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69" t="n"/>
      <c r="C268" s="70" t="n"/>
      <c r="D268" s="13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69" t="n"/>
      <c r="C269" s="70" t="n"/>
      <c r="D269" s="13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69" t="n"/>
      <c r="C270" s="70" t="n"/>
      <c r="D270" s="13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69" t="n"/>
      <c r="C271" s="70" t="n"/>
      <c r="D271" s="13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69" t="n"/>
      <c r="C272" s="70" t="n"/>
      <c r="D272" s="13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69" t="n"/>
      <c r="C273" s="70" t="n"/>
      <c r="D273" s="13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69" t="n"/>
      <c r="C274" s="70" t="n"/>
      <c r="D274" s="13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69" t="n"/>
      <c r="C275" s="70" t="n"/>
      <c r="D275" s="13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69" t="n"/>
      <c r="C276" s="70" t="n"/>
      <c r="D276" s="13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69" t="n"/>
      <c r="C277" s="70" t="n"/>
      <c r="D277" s="13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69" t="n"/>
      <c r="C278" s="70" t="n"/>
      <c r="D278" s="13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69" t="n"/>
      <c r="C279" s="70" t="n"/>
      <c r="D279" s="13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69" t="n"/>
      <c r="C280" s="70" t="n"/>
      <c r="D280" s="13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69" t="n"/>
      <c r="C281" s="70" t="n"/>
      <c r="D281" s="13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69" t="n"/>
      <c r="C282" s="70" t="n"/>
      <c r="D282" s="13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69" t="n"/>
      <c r="C283" s="70" t="n"/>
      <c r="D283" s="13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69" t="n"/>
      <c r="C284" s="70" t="n"/>
      <c r="D284" s="13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69" t="n"/>
      <c r="C285" s="70" t="n"/>
      <c r="D285" s="13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69" t="n"/>
      <c r="C286" s="70" t="n"/>
      <c r="D286" s="13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69" t="n"/>
      <c r="C287" s="70" t="n"/>
      <c r="D287" s="13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69" t="n"/>
      <c r="C288" s="70" t="n"/>
      <c r="D288" s="13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69" t="n"/>
      <c r="C289" s="70" t="n"/>
      <c r="D289" s="13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69" t="n"/>
      <c r="C290" s="70" t="n"/>
      <c r="D290" s="13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69" t="n"/>
      <c r="C291" s="70" t="n"/>
      <c r="D291" s="13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69" t="n"/>
      <c r="C292" s="70" t="n"/>
      <c r="D292" s="13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69" t="n"/>
      <c r="C293" s="70" t="n"/>
      <c r="D293" s="13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69" t="n"/>
      <c r="C294" s="70" t="n"/>
      <c r="D294" s="13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69" t="n"/>
      <c r="C295" s="70" t="n"/>
      <c r="D295" s="13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69" t="n"/>
      <c r="C296" s="70" t="n"/>
      <c r="D296" s="13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69" t="n"/>
      <c r="C297" s="70" t="n"/>
      <c r="D297" s="13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69" t="n"/>
      <c r="C298" s="70" t="n"/>
      <c r="D298" s="13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69" t="n"/>
      <c r="C299" s="70" t="n"/>
      <c r="D299" s="13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69" t="n"/>
      <c r="C300" s="70" t="n"/>
      <c r="D300" s="13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69" t="n"/>
      <c r="C301" s="70" t="n"/>
      <c r="D301" s="13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69" t="n"/>
      <c r="C302" s="70" t="n"/>
      <c r="D302" s="13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69" t="n"/>
      <c r="C303" s="70" t="n"/>
      <c r="D303" s="13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69" t="n"/>
      <c r="C304" s="70" t="n"/>
      <c r="D304" s="13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69" t="n"/>
      <c r="C305" s="70" t="n"/>
      <c r="D305" s="13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69" t="n"/>
      <c r="C306" s="70" t="n"/>
      <c r="D306" s="13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69" t="n"/>
      <c r="C307" s="70" t="n"/>
      <c r="D307" s="13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69" t="n"/>
      <c r="C308" s="70" t="n"/>
      <c r="D308" s="13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69" t="n"/>
      <c r="C309" s="70" t="n"/>
      <c r="D309" s="13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69" t="n"/>
      <c r="C310" s="70" t="n"/>
      <c r="D310" s="13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69" t="n"/>
      <c r="C311" s="70" t="n"/>
      <c r="D311" s="13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69" t="n"/>
      <c r="C312" s="70" t="n"/>
      <c r="D312" s="13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69" t="n"/>
      <c r="C313" s="70" t="n"/>
      <c r="D313" s="13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69" t="n"/>
      <c r="C314" s="70" t="n"/>
      <c r="D314" s="13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69" t="n"/>
      <c r="C315" s="70" t="n"/>
      <c r="D315" s="13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69" t="n"/>
      <c r="C316" s="70" t="n"/>
      <c r="D316" s="13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69" t="n"/>
      <c r="C317" s="70" t="n"/>
      <c r="D317" s="13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69" t="n"/>
      <c r="C318" s="70" t="n"/>
      <c r="D318" s="13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69" t="n"/>
      <c r="C319" s="70" t="n"/>
      <c r="D319" s="13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69" t="n"/>
      <c r="C320" s="70" t="n"/>
      <c r="D320" s="13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69" t="n"/>
      <c r="C321" s="70" t="n"/>
      <c r="D321" s="13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69" t="n"/>
      <c r="C322" s="70" t="n"/>
      <c r="D322" s="13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69" t="n"/>
      <c r="C323" s="70" t="n"/>
      <c r="D323" s="13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69" t="n"/>
      <c r="C324" s="70" t="n"/>
      <c r="D324" s="13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69" t="n"/>
      <c r="C325" s="70" t="n"/>
      <c r="D325" s="13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69" t="n"/>
      <c r="C326" s="70" t="n"/>
      <c r="D326" s="13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69" t="n"/>
      <c r="C327" s="70" t="n"/>
      <c r="D327" s="13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69" t="n"/>
      <c r="C328" s="70" t="n"/>
      <c r="D328" s="13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69" t="n"/>
      <c r="C329" s="70" t="n"/>
      <c r="D329" s="13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69" t="n"/>
      <c r="C330" s="70" t="n"/>
      <c r="D330" s="13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69" t="n"/>
      <c r="C331" s="70" t="n"/>
      <c r="D331" s="13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69" t="n"/>
      <c r="C332" s="70" t="n"/>
      <c r="D332" s="13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69" t="n"/>
      <c r="C333" s="70" t="n"/>
      <c r="D333" s="13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69" t="n"/>
      <c r="C334" s="70" t="n"/>
      <c r="D334" s="13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69" t="n"/>
      <c r="C335" s="70" t="n"/>
      <c r="D335" s="13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69" t="n"/>
      <c r="C336" s="70" t="n"/>
      <c r="D336" s="13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69" t="n"/>
      <c r="C337" s="70" t="n"/>
      <c r="D337" s="13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69" t="n"/>
      <c r="C338" s="70" t="n"/>
      <c r="D338" s="13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69" t="n"/>
      <c r="C339" s="70" t="n"/>
      <c r="D339" s="13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69" t="n"/>
      <c r="C340" s="70" t="n"/>
      <c r="D340" s="13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69" t="n"/>
      <c r="C341" s="70" t="n"/>
      <c r="D341" s="13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69" t="n"/>
      <c r="C342" s="70" t="n"/>
      <c r="D342" s="13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69" t="n"/>
      <c r="C343" s="70" t="n"/>
      <c r="D343" s="13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69" t="n"/>
      <c r="C344" s="70" t="n"/>
      <c r="D344" s="13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69" t="n"/>
      <c r="C345" s="70" t="n"/>
      <c r="D345" s="13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69" t="n"/>
      <c r="C346" s="70" t="n"/>
      <c r="D346" s="13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69" t="n"/>
      <c r="C347" s="70" t="n"/>
      <c r="D347" s="13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69" t="n"/>
      <c r="C348" s="70" t="n"/>
      <c r="D348" s="13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69" t="n"/>
      <c r="C349" s="70" t="n"/>
      <c r="D349" s="13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69" t="n"/>
      <c r="C350" s="70" t="n"/>
      <c r="D350" s="13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69" t="n"/>
      <c r="C351" s="70" t="n"/>
      <c r="D351" s="13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69" t="n"/>
      <c r="C352" s="70" t="n"/>
      <c r="D352" s="13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69" t="n"/>
      <c r="C353" s="70" t="n"/>
      <c r="D353" s="13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69" t="n"/>
      <c r="C354" s="70" t="n"/>
      <c r="D354" s="13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69" t="n"/>
      <c r="C355" s="70" t="n"/>
      <c r="D355" s="13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69" t="n"/>
      <c r="C356" s="70" t="n"/>
      <c r="D356" s="13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69" t="n"/>
      <c r="C357" s="70" t="n"/>
      <c r="D357" s="13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69" t="n"/>
      <c r="C358" s="70" t="n"/>
      <c r="D358" s="13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69" t="n"/>
      <c r="C359" s="70" t="n"/>
      <c r="D359" s="13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69" t="n"/>
      <c r="C360" s="70" t="n"/>
      <c r="D360" s="13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69" t="n"/>
      <c r="C361" s="70" t="n"/>
      <c r="D361" s="13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69" t="n"/>
      <c r="C362" s="70" t="n"/>
      <c r="D362" s="13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69" t="n"/>
      <c r="C363" s="70" t="n"/>
      <c r="D363" s="13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69" t="n"/>
      <c r="C364" s="70" t="n"/>
      <c r="D364" s="13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69" t="n"/>
      <c r="C365" s="70" t="n"/>
      <c r="D365" s="13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69" t="n"/>
      <c r="C366" s="70" t="n"/>
      <c r="D366" s="13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69" t="n"/>
      <c r="C367" s="70" t="n"/>
      <c r="D367" s="13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69" t="n"/>
      <c r="C368" s="70" t="n"/>
      <c r="D368" s="13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69" t="n"/>
      <c r="C369" s="70" t="n"/>
      <c r="D369" s="13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69" t="n"/>
      <c r="C370" s="70" t="n"/>
      <c r="D370" s="13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69" t="n"/>
      <c r="C371" s="70" t="n"/>
      <c r="D371" s="13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69" t="n"/>
      <c r="C372" s="70" t="n"/>
      <c r="D372" s="13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69" t="n"/>
      <c r="C373" s="70" t="n"/>
      <c r="D373" s="13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69" t="n"/>
      <c r="C374" s="70" t="n"/>
      <c r="D374" s="13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69" t="n"/>
      <c r="C375" s="70" t="n"/>
      <c r="D375" s="13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69" t="n"/>
      <c r="C376" s="70" t="n"/>
      <c r="D376" s="13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69" t="n"/>
      <c r="C377" s="70" t="n"/>
      <c r="D377" s="13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69" t="n"/>
      <c r="C378" s="70" t="n"/>
      <c r="D378" s="13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69" t="n"/>
      <c r="C379" s="70" t="n"/>
      <c r="D379" s="13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69" t="n"/>
      <c r="C380" s="70" t="n"/>
      <c r="D380" s="13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69" t="n"/>
      <c r="C381" s="70" t="n"/>
      <c r="D381" s="13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69" t="n"/>
      <c r="C382" s="70" t="n"/>
      <c r="D382" s="13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69" t="n"/>
      <c r="C383" s="70" t="n"/>
      <c r="D383" s="13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69" t="n"/>
      <c r="C384" s="70" t="n"/>
      <c r="D384" s="13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69" t="n"/>
      <c r="C385" s="70" t="n"/>
      <c r="D385" s="13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69" t="n"/>
      <c r="C386" s="70" t="n"/>
      <c r="D386" s="13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69" t="n"/>
      <c r="C387" s="70" t="n"/>
      <c r="D387" s="13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69" t="n"/>
      <c r="C388" s="70" t="n"/>
      <c r="D388" s="13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69" t="n"/>
      <c r="C389" s="70" t="n"/>
      <c r="D389" s="13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69" t="n"/>
      <c r="C390" s="70" t="n"/>
      <c r="D390" s="13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69" t="n"/>
      <c r="C391" s="70" t="n"/>
      <c r="D391" s="13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69" t="n"/>
      <c r="C392" s="70" t="n"/>
      <c r="D392" s="13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69" t="n"/>
      <c r="C393" s="70" t="n"/>
      <c r="D393" s="13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69" t="n"/>
      <c r="C394" s="70" t="n"/>
      <c r="D394" s="13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69" t="n"/>
      <c r="C395" s="70" t="n"/>
      <c r="D395" s="13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69" t="n"/>
      <c r="C396" s="70" t="n"/>
      <c r="D396" s="13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69" t="n"/>
      <c r="C397" s="70" t="n"/>
      <c r="D397" s="13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69" t="n"/>
      <c r="C398" s="70" t="n"/>
      <c r="D398" s="13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69" t="n"/>
      <c r="C399" s="70" t="n"/>
      <c r="D399" s="13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69" t="n"/>
      <c r="C400" s="70" t="n"/>
      <c r="D400" s="13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69" t="n"/>
      <c r="C401" s="70" t="n"/>
      <c r="D401" s="13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69" t="n"/>
      <c r="C402" s="70" t="n"/>
      <c r="D402" s="13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69" t="n"/>
      <c r="C403" s="70" t="n"/>
      <c r="D403" s="13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69" t="n"/>
      <c r="C404" s="70" t="n"/>
      <c r="D404" s="13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69" t="n"/>
      <c r="C405" s="70" t="n"/>
      <c r="D405" s="13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69" t="n"/>
      <c r="C406" s="70" t="n"/>
      <c r="D406" s="13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69" t="n"/>
      <c r="C407" s="70" t="n"/>
      <c r="D407" s="13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69" t="n"/>
      <c r="C408" s="70" t="n"/>
      <c r="D408" s="13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69" t="n"/>
      <c r="C409" s="70" t="n"/>
      <c r="D409" s="13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69" t="n"/>
      <c r="C410" s="70" t="n"/>
      <c r="D410" s="13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69" t="n"/>
      <c r="C411" s="70" t="n"/>
      <c r="D411" s="13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69" t="n"/>
      <c r="C412" s="70" t="n"/>
      <c r="D412" s="13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69" t="n"/>
      <c r="C413" s="70" t="n"/>
      <c r="D413" s="13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69" t="n"/>
      <c r="C414" s="70" t="n"/>
      <c r="D414" s="13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69" t="n"/>
      <c r="C415" s="70" t="n"/>
      <c r="D415" s="13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69" t="n"/>
      <c r="C416" s="70" t="n"/>
      <c r="D416" s="13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69" t="n"/>
      <c r="C417" s="70" t="n"/>
      <c r="D417" s="13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69" t="n"/>
      <c r="C418" s="70" t="n"/>
      <c r="D418" s="13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69" t="n"/>
      <c r="C419" s="70" t="n"/>
      <c r="D419" s="13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69" t="n"/>
      <c r="C420" s="70" t="n"/>
      <c r="D420" s="13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69" t="n"/>
      <c r="C421" s="70" t="n"/>
      <c r="D421" s="13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69" t="n"/>
      <c r="C422" s="70" t="n"/>
      <c r="D422" s="13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69" t="n"/>
      <c r="C423" s="70" t="n"/>
      <c r="D423" s="13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69" t="n"/>
      <c r="C424" s="70" t="n"/>
      <c r="D424" s="13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69" t="n"/>
      <c r="C425" s="70" t="n"/>
      <c r="D425" s="13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69" t="n"/>
      <c r="C426" s="70" t="n"/>
      <c r="D426" s="13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69" t="n"/>
      <c r="C427" s="70" t="n"/>
      <c r="D427" s="13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69" t="n"/>
      <c r="C428" s="70" t="n"/>
      <c r="D428" s="13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69" t="n"/>
      <c r="C429" s="70" t="n"/>
      <c r="D429" s="13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69" t="n"/>
      <c r="C430" s="70" t="n"/>
      <c r="D430" s="13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69" t="n"/>
      <c r="C431" s="70" t="n"/>
      <c r="D431" s="13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69" t="n"/>
      <c r="C432" s="70" t="n"/>
      <c r="D432" s="13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69" t="n"/>
      <c r="C433" s="70" t="n"/>
      <c r="D433" s="13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69" t="n"/>
      <c r="C434" s="70" t="n"/>
      <c r="D434" s="13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69" t="n"/>
      <c r="C435" s="70" t="n"/>
      <c r="D435" s="13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69" t="n"/>
      <c r="C436" s="70" t="n"/>
      <c r="D436" s="13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69" t="n"/>
      <c r="C437" s="70" t="n"/>
      <c r="D437" s="13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69" t="n"/>
      <c r="C438" s="70" t="n"/>
      <c r="D438" s="13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69" t="n"/>
      <c r="C439" s="70" t="n"/>
      <c r="D439" s="13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69" t="n"/>
      <c r="C440" s="70" t="n"/>
      <c r="D440" s="13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69" t="n"/>
      <c r="C441" s="70" t="n"/>
      <c r="D441" s="13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69" t="n"/>
      <c r="C442" s="70" t="n"/>
      <c r="D442" s="13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69" t="n"/>
      <c r="C443" s="70" t="n"/>
      <c r="D443" s="13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69" t="n"/>
      <c r="C444" s="70" t="n"/>
      <c r="D444" s="13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69" t="n"/>
      <c r="C445" s="70" t="n"/>
      <c r="D445" s="13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69" t="n"/>
      <c r="C446" s="70" t="n"/>
      <c r="D446" s="13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69" t="n"/>
      <c r="C447" s="70" t="n"/>
      <c r="D447" s="13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69" t="n"/>
      <c r="C448" s="70" t="n"/>
      <c r="D448" s="13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69" t="n"/>
      <c r="C449" s="70" t="n"/>
      <c r="D449" s="13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69" t="n"/>
      <c r="C450" s="70" t="n"/>
      <c r="D450" s="13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69" t="n"/>
      <c r="C451" s="70" t="n"/>
      <c r="D451" s="13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69" t="n"/>
      <c r="C452" s="70" t="n"/>
      <c r="D452" s="13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69" t="n"/>
      <c r="C453" s="70" t="n"/>
      <c r="D453" s="13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69" t="n"/>
      <c r="C454" s="70" t="n"/>
      <c r="D454" s="13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69" t="n"/>
      <c r="C455" s="70" t="n"/>
      <c r="D455" s="13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69" t="n"/>
      <c r="C456" s="70" t="n"/>
      <c r="D456" s="13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69" t="n"/>
      <c r="C457" s="70" t="n"/>
      <c r="D457" s="13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69" t="n"/>
      <c r="C458" s="70" t="n"/>
      <c r="D458" s="13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69" t="n"/>
      <c r="C459" s="70" t="n"/>
      <c r="D459" s="13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69" t="n"/>
      <c r="C460" s="70" t="n"/>
      <c r="D460" s="13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69" t="n"/>
      <c r="C461" s="70" t="n"/>
      <c r="D461" s="13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69" t="n"/>
      <c r="C462" s="70" t="n"/>
      <c r="D462" s="13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69" t="n"/>
      <c r="C463" s="70" t="n"/>
      <c r="D463" s="13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69" t="n"/>
      <c r="C464" s="70" t="n"/>
      <c r="D464" s="13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69" t="n"/>
      <c r="C465" s="70" t="n"/>
      <c r="D465" s="13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69" t="n"/>
      <c r="C466" s="70" t="n"/>
      <c r="D466" s="13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69" t="n"/>
      <c r="C467" s="70" t="n"/>
      <c r="D467" s="13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69" t="n"/>
      <c r="C468" s="70" t="n"/>
      <c r="D468" s="13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69" t="n"/>
      <c r="C469" s="70" t="n"/>
      <c r="D469" s="13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69" t="n"/>
      <c r="C470" s="70" t="n"/>
      <c r="D470" s="13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69" t="n"/>
      <c r="C471" s="70" t="n"/>
      <c r="D471" s="13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69" t="n"/>
      <c r="C472" s="70" t="n"/>
      <c r="D472" s="13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69" t="n"/>
      <c r="C473" s="70" t="n"/>
      <c r="D473" s="13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69" t="n"/>
      <c r="C474" s="70" t="n"/>
      <c r="D474" s="13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69" t="n"/>
      <c r="C475" s="70" t="n"/>
      <c r="D475" s="13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69" t="n"/>
      <c r="C476" s="70" t="n"/>
      <c r="D476" s="13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69" t="n"/>
      <c r="C477" s="70" t="n"/>
      <c r="D477" s="13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69" t="n"/>
      <c r="C478" s="70" t="n"/>
      <c r="D478" s="13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69" t="n"/>
      <c r="C479" s="70" t="n"/>
      <c r="D479" s="13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69" t="n"/>
      <c r="C480" s="70" t="n"/>
      <c r="D480" s="13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69" t="n"/>
      <c r="C481" s="70" t="n"/>
      <c r="D481" s="13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69" t="n"/>
      <c r="C482" s="70" t="n"/>
      <c r="D482" s="13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69" t="n"/>
      <c r="C483" s="70" t="n"/>
      <c r="D483" s="13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69" t="n"/>
      <c r="C484" s="70" t="n"/>
      <c r="D484" s="13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69" t="n"/>
      <c r="C485" s="70" t="n"/>
      <c r="D485" s="13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69" t="n"/>
      <c r="C486" s="70" t="n"/>
      <c r="D486" s="13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69" t="n"/>
      <c r="C487" s="70" t="n"/>
      <c r="D487" s="13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69" t="n"/>
      <c r="C488" s="70" t="n"/>
      <c r="D488" s="13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69" t="n"/>
      <c r="C489" s="70" t="n"/>
      <c r="D489" s="13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69" t="n"/>
      <c r="C490" s="70" t="n"/>
      <c r="D490" s="13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69" t="n"/>
      <c r="C491" s="70" t="n"/>
      <c r="D491" s="13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69" t="n"/>
      <c r="C492" s="70" t="n"/>
      <c r="D492" s="13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69" t="n"/>
      <c r="C493" s="70" t="n"/>
      <c r="D493" s="13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69" t="n"/>
      <c r="C494" s="70" t="n"/>
      <c r="D494" s="13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69" t="n"/>
      <c r="C495" s="70" t="n"/>
      <c r="D495" s="13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69" t="n"/>
      <c r="C496" s="70" t="n"/>
      <c r="D496" s="13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69" t="n"/>
      <c r="C497" s="70" t="n"/>
      <c r="D497" s="13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69" t="n"/>
      <c r="C498" s="70" t="n"/>
      <c r="D498" s="13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69" t="n"/>
      <c r="C499" s="70" t="n"/>
      <c r="D499" s="13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69" t="n"/>
      <c r="C500" s="70" t="n"/>
      <c r="D500" s="13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69" t="n"/>
      <c r="C501" s="70" t="n"/>
      <c r="D501" s="13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69" t="n"/>
      <c r="C502" s="70" t="n"/>
      <c r="D502" s="13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69" t="n"/>
      <c r="C503" s="70" t="n"/>
      <c r="D503" s="13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69" t="n"/>
      <c r="C504" s="70" t="n"/>
      <c r="D504" s="13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69" t="n"/>
      <c r="C505" s="70" t="n"/>
      <c r="D505" s="13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69" t="n"/>
      <c r="C506" s="70" t="n"/>
      <c r="D506" s="13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69" t="n"/>
      <c r="C507" s="70" t="n"/>
      <c r="D507" s="13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69" t="n"/>
      <c r="C508" s="70" t="n"/>
      <c r="D508" s="13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69" t="n"/>
      <c r="C509" s="70" t="n"/>
      <c r="D509" s="13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69" t="n"/>
      <c r="C510" s="70" t="n"/>
      <c r="D510" s="13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69" t="n"/>
      <c r="C511" s="70" t="n"/>
      <c r="D511" s="13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69" t="n"/>
      <c r="C512" s="70" t="n"/>
      <c r="D512" s="13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69" t="n"/>
      <c r="C513" s="70" t="n"/>
      <c r="D513" s="13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69" t="n"/>
      <c r="C514" s="70" t="n"/>
      <c r="D514" s="13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69" t="n"/>
      <c r="C515" s="70" t="n"/>
      <c r="D515" s="13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69" t="n"/>
      <c r="C516" s="70" t="n"/>
      <c r="D516" s="13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69" t="n"/>
      <c r="C517" s="70" t="n"/>
      <c r="D517" s="13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69" t="n"/>
      <c r="C518" s="70" t="n"/>
      <c r="D518" s="13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69" t="n"/>
      <c r="C519" s="70" t="n"/>
      <c r="D519" s="13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69" t="n"/>
      <c r="C520" s="70" t="n"/>
      <c r="D520" s="13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69" t="n"/>
      <c r="C521" s="70" t="n"/>
      <c r="D521" s="13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69" t="n"/>
      <c r="C522" s="70" t="n"/>
      <c r="D522" s="13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69" t="n"/>
      <c r="C523" s="70" t="n"/>
      <c r="D523" s="13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69" t="n"/>
      <c r="C524" s="70" t="n"/>
      <c r="D524" s="13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69" t="n"/>
      <c r="C525" s="70" t="n"/>
      <c r="D525" s="13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69" t="n"/>
      <c r="C526" s="70" t="n"/>
      <c r="D526" s="13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69" t="n"/>
      <c r="C527" s="70" t="n"/>
      <c r="D527" s="13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69" t="n"/>
      <c r="C528" s="70" t="n"/>
      <c r="D528" s="13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69" t="n"/>
      <c r="C529" s="70" t="n"/>
      <c r="D529" s="13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69" t="n"/>
      <c r="C530" s="70" t="n"/>
      <c r="D530" s="13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69" t="n"/>
      <c r="C531" s="70" t="n"/>
      <c r="D531" s="13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69" t="n"/>
      <c r="C532" s="70" t="n"/>
      <c r="D532" s="13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69" t="n"/>
      <c r="C533" s="70" t="n"/>
      <c r="D533" s="13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69" t="n"/>
      <c r="C534" s="70" t="n"/>
      <c r="D534" s="13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69" t="n"/>
      <c r="C535" s="70" t="n"/>
      <c r="D535" s="13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69" t="n"/>
      <c r="C536" s="70" t="n"/>
      <c r="D536" s="13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69" t="n"/>
      <c r="C537" s="70" t="n"/>
      <c r="D537" s="13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69" t="n"/>
      <c r="C538" s="70" t="n"/>
      <c r="D538" s="13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69" t="n"/>
      <c r="C539" s="70" t="n"/>
      <c r="D539" s="13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69" t="n"/>
      <c r="C540" s="70" t="n"/>
      <c r="D540" s="13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69" t="n"/>
      <c r="C541" s="70" t="n"/>
      <c r="D541" s="13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69" t="n"/>
      <c r="C542" s="70" t="n"/>
      <c r="D542" s="13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69" t="n"/>
      <c r="C543" s="70" t="n"/>
      <c r="D543" s="13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69" t="n"/>
      <c r="C544" s="70" t="n"/>
      <c r="D544" s="13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69" t="n"/>
      <c r="C545" s="70" t="n"/>
      <c r="D545" s="13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69" t="n"/>
      <c r="C546" s="70" t="n"/>
      <c r="D546" s="13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69" t="n"/>
      <c r="C547" s="70" t="n"/>
      <c r="D547" s="13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69" t="n"/>
      <c r="C548" s="70" t="n"/>
      <c r="D548" s="13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69" t="n"/>
      <c r="C549" s="70" t="n"/>
      <c r="D549" s="13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69" t="n"/>
      <c r="C550" s="70" t="n"/>
      <c r="D550" s="13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69" t="n"/>
      <c r="C551" s="70" t="n"/>
      <c r="D551" s="13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69" t="n"/>
      <c r="C552" s="70" t="n"/>
      <c r="D552" s="13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69" t="n"/>
      <c r="C553" s="70" t="n"/>
      <c r="D553" s="13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69" t="n"/>
      <c r="C554" s="70" t="n"/>
      <c r="D554" s="13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69" t="n"/>
      <c r="C555" s="70" t="n"/>
      <c r="D555" s="13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69" t="n"/>
      <c r="C556" s="70" t="n"/>
      <c r="D556" s="13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69" t="n"/>
      <c r="C557" s="70" t="n"/>
      <c r="D557" s="13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69" t="n"/>
      <c r="C558" s="70" t="n"/>
      <c r="D558" s="13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69" t="n"/>
      <c r="C559" s="70" t="n"/>
      <c r="D559" s="13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69" t="n"/>
      <c r="C560" s="70" t="n"/>
      <c r="D560" s="13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69" t="n"/>
      <c r="C561" s="70" t="n"/>
      <c r="D561" s="13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69" t="n"/>
      <c r="C562" s="70" t="n"/>
      <c r="D562" s="13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69" t="n"/>
      <c r="C563" s="70" t="n"/>
      <c r="D563" s="13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69" t="n"/>
      <c r="C564" s="70" t="n"/>
      <c r="D564" s="13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69" t="n"/>
      <c r="C565" s="70" t="n"/>
      <c r="D565" s="13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69" t="n"/>
      <c r="C566" s="70" t="n"/>
      <c r="D566" s="13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69" t="n"/>
      <c r="C567" s="70" t="n"/>
      <c r="D567" s="13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69" t="n"/>
      <c r="C568" s="70" t="n"/>
      <c r="D568" s="13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69" t="n"/>
      <c r="C569" s="70" t="n"/>
      <c r="D569" s="13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69" t="n"/>
      <c r="C570" s="70" t="n"/>
      <c r="D570" s="13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69" t="n"/>
      <c r="C571" s="70" t="n"/>
      <c r="D571" s="13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69" t="n"/>
      <c r="C572" s="70" t="n"/>
      <c r="D572" s="13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69" t="n"/>
      <c r="C573" s="70" t="n"/>
      <c r="D573" s="13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69" t="n"/>
      <c r="C574" s="70" t="n"/>
      <c r="D574" s="13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69" t="n"/>
      <c r="C575" s="70" t="n"/>
      <c r="D575" s="13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69" t="n"/>
      <c r="C576" s="70" t="n"/>
      <c r="D576" s="13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69" t="n"/>
      <c r="C577" s="70" t="n"/>
      <c r="D577" s="13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69" t="n"/>
      <c r="C578" s="70" t="n"/>
      <c r="D578" s="13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69" t="n"/>
      <c r="C579" s="70" t="n"/>
      <c r="D579" s="13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69" t="n"/>
      <c r="C580" s="70" t="n"/>
      <c r="D580" s="13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69" t="n"/>
      <c r="C581" s="70" t="n"/>
      <c r="D581" s="13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69" t="n"/>
      <c r="C582" s="70" t="n"/>
      <c r="D582" s="13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69" t="n"/>
      <c r="C583" s="70" t="n"/>
      <c r="D583" s="13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69" t="n"/>
      <c r="C584" s="70" t="n"/>
      <c r="D584" s="13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69" t="n"/>
      <c r="C585" s="70" t="n"/>
      <c r="D585" s="13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69" t="n"/>
      <c r="C586" s="70" t="n"/>
      <c r="D586" s="13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69" t="n"/>
      <c r="C587" s="70" t="n"/>
      <c r="D587" s="13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69" t="n"/>
      <c r="C588" s="70" t="n"/>
      <c r="D588" s="13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69" t="n"/>
      <c r="C589" s="70" t="n"/>
      <c r="D589" s="13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69" t="n"/>
      <c r="C590" s="70" t="n"/>
      <c r="D590" s="13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69" t="n"/>
      <c r="C591" s="70" t="n"/>
      <c r="D591" s="13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69" t="n"/>
      <c r="C592" s="70" t="n"/>
      <c r="D592" s="13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69" t="n"/>
      <c r="C593" s="70" t="n"/>
      <c r="D593" s="13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69" t="n"/>
      <c r="C594" s="70" t="n"/>
      <c r="D594" s="13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69" t="n"/>
      <c r="C595" s="70" t="n"/>
      <c r="D595" s="13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69" t="n"/>
      <c r="C596" s="70" t="n"/>
      <c r="D596" s="13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69" t="n"/>
      <c r="C597" s="70" t="n"/>
      <c r="D597" s="13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69" t="n"/>
      <c r="C598" s="70" t="n"/>
      <c r="D598" s="13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69" t="n"/>
      <c r="C599" s="70" t="n"/>
      <c r="D599" s="13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69" t="n"/>
      <c r="C600" s="70" t="n"/>
      <c r="D600" s="13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69" t="n"/>
      <c r="C601" s="70" t="n"/>
      <c r="D601" s="13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69" t="n"/>
      <c r="C602" s="70" t="n"/>
      <c r="D602" s="13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69" t="n"/>
      <c r="C603" s="70" t="n"/>
      <c r="D603" s="13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69" t="n"/>
      <c r="C604" s="70" t="n"/>
      <c r="D604" s="13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69" t="n"/>
      <c r="C605" s="70" t="n"/>
      <c r="D605" s="13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69" t="n"/>
      <c r="C606" s="70" t="n"/>
      <c r="D606" s="13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69" t="n"/>
      <c r="C607" s="70" t="n"/>
      <c r="D607" s="13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69" t="n"/>
      <c r="C608" s="70" t="n"/>
      <c r="D608" s="13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69" t="n"/>
      <c r="C609" s="70" t="n"/>
      <c r="D609" s="13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69" t="n"/>
      <c r="C610" s="70" t="n"/>
      <c r="D610" s="13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69" t="n"/>
      <c r="C611" s="70" t="n"/>
      <c r="D611" s="13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69" t="n"/>
      <c r="C612" s="70" t="n"/>
      <c r="D612" s="13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69" t="n"/>
      <c r="C613" s="70" t="n"/>
      <c r="D613" s="13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69" t="n"/>
      <c r="C614" s="70" t="n"/>
      <c r="D614" s="13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69" t="n"/>
      <c r="C615" s="70" t="n"/>
      <c r="D615" s="13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69" t="n"/>
      <c r="C616" s="70" t="n"/>
      <c r="D616" s="13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69" t="n"/>
      <c r="C617" s="70" t="n"/>
      <c r="D617" s="13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69" t="n"/>
      <c r="C618" s="70" t="n"/>
      <c r="D618" s="13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69" t="n"/>
      <c r="C619" s="70" t="n"/>
      <c r="D619" s="13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69" t="n"/>
      <c r="C620" s="70" t="n"/>
      <c r="D620" s="13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69" t="n"/>
      <c r="C621" s="70" t="n"/>
      <c r="D621" s="13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69" t="n"/>
      <c r="C622" s="70" t="n"/>
      <c r="D622" s="13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69" t="n"/>
      <c r="C623" s="70" t="n"/>
      <c r="D623" s="13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69" t="n"/>
      <c r="C624" s="70" t="n"/>
      <c r="D624" s="13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69" t="n"/>
      <c r="C625" s="70" t="n"/>
      <c r="D625" s="13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69" t="n"/>
      <c r="C626" s="70" t="n"/>
      <c r="D626" s="13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69" t="n"/>
      <c r="C627" s="70" t="n"/>
      <c r="D627" s="13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69" t="n"/>
      <c r="C628" s="70" t="n"/>
      <c r="D628" s="13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69" t="n"/>
      <c r="C629" s="70" t="n"/>
      <c r="D629" s="13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69" t="n"/>
      <c r="C630" s="70" t="n"/>
      <c r="D630" s="13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69" t="n"/>
      <c r="C631" s="70" t="n"/>
      <c r="D631" s="13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69" t="n"/>
      <c r="C632" s="70" t="n"/>
      <c r="D632" s="13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69" t="n"/>
      <c r="C633" s="70" t="n"/>
      <c r="D633" s="13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69" t="n"/>
      <c r="C634" s="70" t="n"/>
      <c r="D634" s="13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69" t="n"/>
      <c r="C635" s="70" t="n"/>
      <c r="D635" s="13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69" t="n"/>
      <c r="C636" s="70" t="n"/>
      <c r="D636" s="13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69" t="n"/>
      <c r="C637" s="70" t="n"/>
      <c r="D637" s="13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69" t="n"/>
      <c r="C638" s="70" t="n"/>
      <c r="D638" s="13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69" t="n"/>
      <c r="C639" s="70" t="n"/>
      <c r="D639" s="13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69" t="n"/>
      <c r="C640" s="70" t="n"/>
      <c r="D640" s="13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69" t="n"/>
      <c r="C641" s="70" t="n"/>
      <c r="D641" s="13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69" t="n"/>
      <c r="C642" s="70" t="n"/>
      <c r="D642" s="13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69" t="n"/>
      <c r="C643" s="70" t="n"/>
      <c r="D643" s="13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69" t="n"/>
      <c r="C644" s="70" t="n"/>
      <c r="D644" s="13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69" t="n"/>
      <c r="C645" s="70" t="n"/>
      <c r="D645" s="13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69" t="n"/>
      <c r="C646" s="70" t="n"/>
      <c r="D646" s="13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69" t="n"/>
      <c r="C647" s="70" t="n"/>
      <c r="D647" s="13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69" t="n"/>
      <c r="C648" s="70" t="n"/>
      <c r="D648" s="13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69" t="n"/>
      <c r="C649" s="70" t="n"/>
      <c r="D649" s="13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69" t="n"/>
      <c r="C650" s="70" t="n"/>
      <c r="D650" s="13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69" t="n"/>
      <c r="C651" s="70" t="n"/>
      <c r="D651" s="13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69" t="n"/>
      <c r="C652" s="70" t="n"/>
      <c r="D652" s="13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69" t="n"/>
      <c r="C653" s="70" t="n"/>
      <c r="D653" s="13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69" t="n"/>
      <c r="C654" s="70" t="n"/>
      <c r="D654" s="13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69" t="n"/>
      <c r="C655" s="70" t="n"/>
      <c r="D655" s="13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69" t="n"/>
      <c r="C656" s="70" t="n"/>
      <c r="D656" s="13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69" t="n"/>
      <c r="C657" s="70" t="n"/>
      <c r="D657" s="13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69" t="n"/>
      <c r="C658" s="70" t="n"/>
      <c r="D658" s="13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69" t="n"/>
      <c r="C659" s="70" t="n"/>
      <c r="D659" s="13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69" t="n"/>
      <c r="C660" s="70" t="n"/>
      <c r="D660" s="13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69" t="n"/>
      <c r="C661" s="70" t="n"/>
      <c r="D661" s="13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69" t="n"/>
      <c r="C662" s="70" t="n"/>
      <c r="D662" s="13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69" t="n"/>
      <c r="C663" s="70" t="n"/>
      <c r="D663" s="13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69" t="n"/>
      <c r="C664" s="70" t="n"/>
      <c r="D664" s="13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69" t="n"/>
      <c r="C665" s="70" t="n"/>
      <c r="D665" s="13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69" t="n"/>
      <c r="C666" s="70" t="n"/>
      <c r="D666" s="13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69" t="n"/>
      <c r="C667" s="70" t="n"/>
      <c r="D667" s="13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69" t="n"/>
      <c r="C668" s="70" t="n"/>
      <c r="D668" s="13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69" t="n"/>
      <c r="C669" s="70" t="n"/>
      <c r="D669" s="13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69" t="n"/>
      <c r="C670" s="70" t="n"/>
      <c r="D670" s="13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69" t="n"/>
      <c r="C671" s="70" t="n"/>
      <c r="D671" s="13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69" t="n"/>
      <c r="C672" s="70" t="n"/>
      <c r="D672" s="13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69" t="n"/>
      <c r="C673" s="70" t="n"/>
      <c r="D673" s="13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69" t="n"/>
      <c r="C674" s="70" t="n"/>
      <c r="D674" s="13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69" t="n"/>
      <c r="C675" s="70" t="n"/>
      <c r="D675" s="13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69" t="n"/>
      <c r="C676" s="70" t="n"/>
      <c r="D676" s="13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69" t="n"/>
      <c r="C677" s="70" t="n"/>
      <c r="D677" s="13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69" t="n"/>
      <c r="C678" s="70" t="n"/>
      <c r="D678" s="13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69" t="n"/>
      <c r="C679" s="70" t="n"/>
      <c r="D679" s="13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69" t="n"/>
      <c r="C680" s="70" t="n"/>
      <c r="D680" s="13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69" t="n"/>
      <c r="C681" s="70" t="n"/>
      <c r="D681" s="13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69" t="n"/>
      <c r="C682" s="70" t="n"/>
      <c r="D682" s="13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69" t="n"/>
      <c r="C683" s="70" t="n"/>
      <c r="D683" s="13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69" t="n"/>
      <c r="C684" s="70" t="n"/>
      <c r="D684" s="13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69" t="n"/>
      <c r="C685" s="70" t="n"/>
      <c r="D685" s="13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69" t="n"/>
      <c r="C686" s="70" t="n"/>
      <c r="D686" s="13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69" t="n"/>
      <c r="C687" s="70" t="n"/>
      <c r="D687" s="13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69" t="n"/>
      <c r="C688" s="70" t="n"/>
      <c r="D688" s="13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69" t="n"/>
      <c r="C689" s="70" t="n"/>
      <c r="D689" s="13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69" t="n"/>
      <c r="C690" s="70" t="n"/>
      <c r="D690" s="13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69" t="n"/>
      <c r="C691" s="70" t="n"/>
      <c r="D691" s="13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69" t="n"/>
      <c r="C692" s="70" t="n"/>
      <c r="D692" s="13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69" t="n"/>
      <c r="C693" s="70" t="n"/>
      <c r="D693" s="13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69" t="n"/>
      <c r="C694" s="70" t="n"/>
      <c r="D694" s="13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69" t="n"/>
      <c r="C695" s="70" t="n"/>
      <c r="D695" s="13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69" t="n"/>
      <c r="C696" s="70" t="n"/>
      <c r="D696" s="13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69" t="n"/>
      <c r="C697" s="70" t="n"/>
      <c r="D697" s="13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69" t="n"/>
      <c r="C698" s="70" t="n"/>
      <c r="D698" s="13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69" t="n"/>
      <c r="C699" s="70" t="n"/>
      <c r="D699" s="13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69" t="n"/>
      <c r="C700" s="70" t="n"/>
      <c r="D700" s="13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69" t="n"/>
      <c r="C701" s="70" t="n"/>
      <c r="D701" s="13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69" t="n"/>
      <c r="C702" s="70" t="n"/>
      <c r="D702" s="13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69" t="n"/>
      <c r="C703" s="70" t="n"/>
      <c r="D703" s="13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69" t="n"/>
      <c r="C704" s="70" t="n"/>
      <c r="D704" s="13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69" t="n"/>
      <c r="C705" s="70" t="n"/>
      <c r="D705" s="13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69" t="n"/>
      <c r="C706" s="70" t="n"/>
      <c r="D706" s="13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69" t="n"/>
      <c r="C707" s="70" t="n"/>
      <c r="D707" s="13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69" t="n"/>
      <c r="C708" s="70" t="n"/>
      <c r="D708" s="13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69" t="n"/>
      <c r="C709" s="70" t="n"/>
      <c r="D709" s="13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69" t="n"/>
      <c r="C710" s="70" t="n"/>
      <c r="D710" s="13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69" t="n"/>
      <c r="C711" s="70" t="n"/>
      <c r="D711" s="13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69" t="n"/>
      <c r="C712" s="70" t="n"/>
      <c r="D712" s="13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69" t="n"/>
      <c r="C713" s="70" t="n"/>
      <c r="D713" s="13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69" t="n"/>
      <c r="C714" s="70" t="n"/>
      <c r="D714" s="13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69" t="n"/>
      <c r="C715" s="70" t="n"/>
      <c r="D715" s="13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69" t="n"/>
      <c r="C716" s="70" t="n"/>
      <c r="D716" s="13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69" t="n"/>
      <c r="C717" s="70" t="n"/>
      <c r="D717" s="13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69" t="n"/>
      <c r="C718" s="70" t="n"/>
      <c r="D718" s="13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69" t="n"/>
      <c r="C719" s="70" t="n"/>
      <c r="D719" s="13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69" t="n"/>
      <c r="C720" s="70" t="n"/>
      <c r="D720" s="13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69" t="n"/>
      <c r="C721" s="70" t="n"/>
      <c r="D721" s="13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69" t="n"/>
      <c r="C722" s="70" t="n"/>
      <c r="D722" s="13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69" t="n"/>
      <c r="C723" s="70" t="n"/>
      <c r="D723" s="13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69" t="n"/>
      <c r="C724" s="70" t="n"/>
      <c r="D724" s="13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69" t="n"/>
      <c r="C725" s="70" t="n"/>
      <c r="D725" s="13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69" t="n"/>
      <c r="C726" s="70" t="n"/>
      <c r="D726" s="13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69" t="n"/>
      <c r="C727" s="70" t="n"/>
      <c r="D727" s="13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69" t="n"/>
      <c r="C728" s="70" t="n"/>
      <c r="D728" s="13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69" t="n"/>
      <c r="C729" s="70" t="n"/>
      <c r="D729" s="13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69" t="n"/>
      <c r="C730" s="70" t="n"/>
      <c r="D730" s="13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69" t="n"/>
      <c r="C731" s="70" t="n"/>
      <c r="D731" s="13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69" t="n"/>
      <c r="C732" s="70" t="n"/>
      <c r="D732" s="13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69" t="n"/>
      <c r="C733" s="70" t="n"/>
      <c r="D733" s="13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69" t="n"/>
      <c r="C734" s="70" t="n"/>
      <c r="D734" s="13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69" t="n"/>
      <c r="C735" s="70" t="n"/>
      <c r="D735" s="13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69" t="n"/>
      <c r="C736" s="70" t="n"/>
      <c r="D736" s="13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69" t="n"/>
      <c r="C737" s="70" t="n"/>
      <c r="D737" s="13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69" t="n"/>
      <c r="C738" s="70" t="n"/>
      <c r="D738" s="13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69" t="n"/>
      <c r="C739" s="70" t="n"/>
      <c r="D739" s="13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69" t="n"/>
      <c r="C740" s="70" t="n"/>
      <c r="D740" s="13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69" t="n"/>
      <c r="C741" s="70" t="n"/>
      <c r="D741" s="13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69" t="n"/>
      <c r="C742" s="70" t="n"/>
      <c r="D742" s="13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69" t="n"/>
      <c r="C743" s="70" t="n"/>
      <c r="D743" s="13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69" t="n"/>
      <c r="C744" s="70" t="n"/>
      <c r="D744" s="13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69" t="n"/>
      <c r="C745" s="70" t="n"/>
      <c r="D745" s="13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69" t="n"/>
      <c r="C746" s="70" t="n"/>
      <c r="D746" s="13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69" t="n"/>
      <c r="C747" s="70" t="n"/>
      <c r="D747" s="13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69" t="n"/>
      <c r="C748" s="70" t="n"/>
      <c r="D748" s="13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69" t="n"/>
      <c r="C749" s="70" t="n"/>
      <c r="D749" s="13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69" t="n"/>
      <c r="C750" s="70" t="n"/>
      <c r="D750" s="13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69" t="n"/>
      <c r="C751" s="70" t="n"/>
      <c r="D751" s="13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69" t="n"/>
      <c r="C752" s="70" t="n"/>
      <c r="D752" s="13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69" t="n"/>
      <c r="C753" s="70" t="n"/>
      <c r="D753" s="13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69" t="n"/>
      <c r="C754" s="70" t="n"/>
      <c r="D754" s="13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69" t="n"/>
      <c r="C755" s="70" t="n"/>
      <c r="D755" s="13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69" t="n"/>
      <c r="C756" s="70" t="n"/>
      <c r="D756" s="13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69" t="n"/>
      <c r="C757" s="70" t="n"/>
      <c r="D757" s="13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69" t="n"/>
      <c r="C758" s="70" t="n"/>
      <c r="D758" s="13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69" t="n"/>
      <c r="C759" s="70" t="n"/>
      <c r="D759" s="13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69" t="n"/>
      <c r="C760" s="70" t="n"/>
      <c r="D760" s="13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69" t="n"/>
      <c r="C761" s="70" t="n"/>
      <c r="D761" s="13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69" t="n"/>
      <c r="C762" s="70" t="n"/>
      <c r="D762" s="13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69" t="n"/>
      <c r="C763" s="70" t="n"/>
      <c r="D763" s="13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69" t="n"/>
      <c r="C764" s="70" t="n"/>
      <c r="D764" s="13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69" t="n"/>
      <c r="C765" s="70" t="n"/>
      <c r="D765" s="13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69" t="n"/>
      <c r="C766" s="70" t="n"/>
      <c r="D766" s="13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69" t="n"/>
      <c r="C767" s="70" t="n"/>
      <c r="D767" s="13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69" t="n"/>
      <c r="C768" s="70" t="n"/>
      <c r="D768" s="13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69" t="n"/>
      <c r="C769" s="70" t="n"/>
      <c r="D769" s="13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69" t="n"/>
      <c r="C770" s="70" t="n"/>
      <c r="D770" s="13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69" t="n"/>
      <c r="C771" s="70" t="n"/>
      <c r="D771" s="13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69" t="n"/>
      <c r="C772" s="70" t="n"/>
      <c r="D772" s="13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69" t="n"/>
      <c r="C773" s="70" t="n"/>
      <c r="D773" s="13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69" t="n"/>
      <c r="C774" s="70" t="n"/>
      <c r="D774" s="13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69" t="n"/>
      <c r="C775" s="70" t="n"/>
      <c r="D775" s="13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69" t="n"/>
      <c r="C776" s="70" t="n"/>
      <c r="D776" s="13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69" t="n"/>
      <c r="C777" s="70" t="n"/>
      <c r="D777" s="13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69" t="n"/>
      <c r="C778" s="70" t="n"/>
      <c r="D778" s="13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69" t="n"/>
      <c r="C779" s="70" t="n"/>
      <c r="D779" s="13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69" t="n"/>
      <c r="C780" s="70" t="n"/>
      <c r="D780" s="13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69" t="n"/>
      <c r="C781" s="70" t="n"/>
      <c r="D781" s="13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69" t="n"/>
      <c r="C782" s="70" t="n"/>
      <c r="D782" s="13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69" t="n"/>
      <c r="C783" s="70" t="n"/>
      <c r="D783" s="13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69" t="n"/>
      <c r="C784" s="70" t="n"/>
      <c r="D784" s="13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69" t="n"/>
      <c r="C785" s="70" t="n"/>
      <c r="D785" s="13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69" t="n"/>
      <c r="C786" s="70" t="n"/>
      <c r="D786" s="13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69" t="n"/>
      <c r="C787" s="70" t="n"/>
      <c r="D787" s="13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69" t="n"/>
      <c r="C788" s="70" t="n"/>
      <c r="D788" s="13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69" t="n"/>
      <c r="C789" s="70" t="n"/>
      <c r="D789" s="13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69" t="n"/>
      <c r="C790" s="70" t="n"/>
      <c r="D790" s="13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69" t="n"/>
      <c r="C791" s="70" t="n"/>
      <c r="D791" s="13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69" t="n"/>
      <c r="C792" s="70" t="n"/>
      <c r="D792" s="13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69" t="n"/>
      <c r="C793" s="70" t="n"/>
      <c r="D793" s="13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69" t="n"/>
      <c r="C794" s="70" t="n"/>
      <c r="D794" s="13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69" t="n"/>
      <c r="C795" s="70" t="n"/>
      <c r="D795" s="13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69" t="n"/>
      <c r="C796" s="70" t="n"/>
      <c r="D796" s="13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69" t="n"/>
      <c r="C797" s="70" t="n"/>
      <c r="D797" s="13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69" t="n"/>
      <c r="C798" s="70" t="n"/>
      <c r="D798" s="13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69" t="n"/>
      <c r="C799" s="70" t="n"/>
      <c r="D799" s="13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69" t="n"/>
      <c r="C800" s="70" t="n"/>
      <c r="D800" s="13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69" t="n"/>
      <c r="C801" s="70" t="n"/>
      <c r="D801" s="13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69" t="n"/>
      <c r="C802" s="70" t="n"/>
      <c r="D802" s="13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69" t="n"/>
      <c r="C803" s="70" t="n"/>
      <c r="D803" s="13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69" t="n"/>
      <c r="C804" s="70" t="n"/>
      <c r="D804" s="13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69" t="n"/>
      <c r="C805" s="70" t="n"/>
      <c r="D805" s="13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69" t="n"/>
      <c r="C806" s="70" t="n"/>
      <c r="D806" s="13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69" t="n"/>
      <c r="C807" s="70" t="n"/>
      <c r="D807" s="13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69" t="n"/>
      <c r="C808" s="70" t="n"/>
      <c r="D808" s="13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69" t="n"/>
      <c r="C809" s="70" t="n"/>
      <c r="D809" s="13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69" t="n"/>
      <c r="C810" s="70" t="n"/>
      <c r="D810" s="13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69" t="n"/>
      <c r="C811" s="70" t="n"/>
      <c r="D811" s="13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69" t="n"/>
      <c r="C812" s="70" t="n"/>
      <c r="D812" s="13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69" t="n"/>
      <c r="C813" s="70" t="n"/>
      <c r="D813" s="13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69" t="n"/>
      <c r="C814" s="70" t="n"/>
      <c r="D814" s="13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69" t="n"/>
      <c r="C815" s="70" t="n"/>
      <c r="D815" s="13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69" t="n"/>
      <c r="C816" s="70" t="n"/>
      <c r="D816" s="13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69" t="n"/>
      <c r="C817" s="70" t="n"/>
      <c r="D817" s="13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69" t="n"/>
      <c r="C818" s="70" t="n"/>
      <c r="D818" s="13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69" t="n"/>
      <c r="C819" s="70" t="n"/>
      <c r="D819" s="13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69" t="n"/>
      <c r="C820" s="70" t="n"/>
      <c r="D820" s="13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69" t="n"/>
      <c r="C821" s="70" t="n"/>
      <c r="D821" s="13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69" t="n"/>
      <c r="C822" s="70" t="n"/>
      <c r="D822" s="13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69" t="n"/>
      <c r="C823" s="70" t="n"/>
      <c r="D823" s="13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69" t="n"/>
      <c r="C824" s="70" t="n"/>
      <c r="D824" s="13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69" t="n"/>
      <c r="C825" s="70" t="n"/>
      <c r="D825" s="13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69" t="n"/>
      <c r="C826" s="70" t="n"/>
      <c r="D826" s="13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69" t="n"/>
      <c r="C827" s="70" t="n"/>
      <c r="D827" s="13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69" t="n"/>
      <c r="C828" s="70" t="n"/>
      <c r="D828" s="13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69" t="n"/>
      <c r="C829" s="70" t="n"/>
      <c r="D829" s="13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69" t="n"/>
      <c r="C830" s="70" t="n"/>
      <c r="D830" s="13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69" t="n"/>
      <c r="C831" s="70" t="n"/>
      <c r="D831" s="13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69" t="n"/>
      <c r="C832" s="70" t="n"/>
      <c r="D832" s="13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69" t="n"/>
      <c r="C833" s="70" t="n"/>
      <c r="D833" s="13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69" t="n"/>
      <c r="C834" s="70" t="n"/>
      <c r="D834" s="13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69" t="n"/>
      <c r="C835" s="70" t="n"/>
      <c r="D835" s="13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69" t="n"/>
      <c r="C836" s="70" t="n"/>
      <c r="D836" s="13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69" t="n"/>
      <c r="C837" s="70" t="n"/>
      <c r="D837" s="13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69" t="n"/>
      <c r="C838" s="70" t="n"/>
      <c r="D838" s="13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69" t="n"/>
      <c r="C839" s="70" t="n"/>
      <c r="D839" s="13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69" t="n"/>
      <c r="C840" s="70" t="n"/>
      <c r="D840" s="13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69" t="n"/>
      <c r="C841" s="70" t="n"/>
      <c r="D841" s="13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69" t="n"/>
      <c r="C842" s="70" t="n"/>
      <c r="D842" s="13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69" t="n"/>
      <c r="C843" s="70" t="n"/>
      <c r="D843" s="13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69" t="n"/>
      <c r="C844" s="70" t="n"/>
      <c r="D844" s="13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69" t="n"/>
      <c r="C845" s="70" t="n"/>
      <c r="D845" s="13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69" t="n"/>
      <c r="C846" s="70" t="n"/>
      <c r="D846" s="13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69" t="n"/>
      <c r="C847" s="70" t="n"/>
      <c r="D847" s="13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69" t="n"/>
      <c r="C848" s="70" t="n"/>
      <c r="D848" s="13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69" t="n"/>
      <c r="C849" s="70" t="n"/>
      <c r="D849" s="13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69" t="n"/>
      <c r="C850" s="70" t="n"/>
      <c r="D850" s="13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69" t="n"/>
      <c r="C851" s="70" t="n"/>
      <c r="D851" s="13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69" t="n"/>
      <c r="C852" s="70" t="n"/>
      <c r="D852" s="13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69" t="n"/>
      <c r="C853" s="70" t="n"/>
      <c r="D853" s="13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69" t="n"/>
      <c r="C854" s="70" t="n"/>
      <c r="D854" s="13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69" t="n"/>
      <c r="C855" s="70" t="n"/>
      <c r="D855" s="13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69" t="n"/>
      <c r="C856" s="70" t="n"/>
      <c r="D856" s="13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69" t="n"/>
      <c r="C857" s="70" t="n"/>
      <c r="D857" s="13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69" t="n"/>
      <c r="C858" s="70" t="n"/>
      <c r="D858" s="13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69" t="n"/>
      <c r="C859" s="70" t="n"/>
      <c r="D859" s="13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69" t="n"/>
      <c r="C860" s="70" t="n"/>
      <c r="D860" s="13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69" t="n"/>
      <c r="C861" s="70" t="n"/>
      <c r="D861" s="13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69" t="n"/>
      <c r="C862" s="70" t="n"/>
      <c r="D862" s="13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69" t="n"/>
      <c r="C863" s="70" t="n"/>
      <c r="D863" s="13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69" t="n"/>
      <c r="C864" s="70" t="n"/>
      <c r="D864" s="13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69" t="n"/>
      <c r="C865" s="70" t="n"/>
      <c r="D865" s="13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69" t="n"/>
      <c r="C866" s="70" t="n"/>
      <c r="D866" s="13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69" t="n"/>
      <c r="C867" s="70" t="n"/>
      <c r="D867" s="13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69" t="n"/>
      <c r="C868" s="70" t="n"/>
      <c r="D868" s="13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69" t="n"/>
      <c r="C869" s="70" t="n"/>
      <c r="D869" s="13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69" t="n"/>
      <c r="C870" s="70" t="n"/>
      <c r="D870" s="13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69" t="n"/>
      <c r="C871" s="70" t="n"/>
      <c r="D871" s="13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69" t="n"/>
      <c r="C872" s="70" t="n"/>
      <c r="D872" s="13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69" t="n"/>
      <c r="C873" s="70" t="n"/>
      <c r="D873" s="13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69" t="n"/>
      <c r="C874" s="70" t="n"/>
      <c r="D874" s="13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69" t="n"/>
      <c r="C875" s="70" t="n"/>
      <c r="D875" s="13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69" t="n"/>
      <c r="C876" s="70" t="n"/>
      <c r="D876" s="13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69" t="n"/>
      <c r="C877" s="70" t="n"/>
      <c r="D877" s="13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69" t="n"/>
      <c r="C878" s="70" t="n"/>
      <c r="D878" s="13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69" t="n"/>
      <c r="C879" s="70" t="n"/>
      <c r="D879" s="13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69" t="n"/>
      <c r="C880" s="70" t="n"/>
      <c r="D880" s="13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69" t="n"/>
      <c r="C881" s="70" t="n"/>
      <c r="D881" s="13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69" t="n"/>
      <c r="C882" s="70" t="n"/>
      <c r="D882" s="13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69" t="n"/>
      <c r="C883" s="70" t="n"/>
      <c r="D883" s="13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69" t="n"/>
      <c r="C884" s="70" t="n"/>
      <c r="D884" s="13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69" t="n"/>
      <c r="C885" s="70" t="n"/>
      <c r="D885" s="13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69" t="n"/>
      <c r="C886" s="70" t="n"/>
      <c r="D886" s="13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69" t="n"/>
      <c r="C887" s="70" t="n"/>
      <c r="D887" s="13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69" t="n"/>
      <c r="C888" s="70" t="n"/>
      <c r="D888" s="13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69" t="n"/>
      <c r="C889" s="70" t="n"/>
      <c r="D889" s="13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69" t="n"/>
      <c r="C890" s="70" t="n"/>
      <c r="D890" s="13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69" t="n"/>
      <c r="C891" s="70" t="n"/>
      <c r="D891" s="13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69" t="n"/>
      <c r="C892" s="70" t="n"/>
      <c r="D892" s="13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69" t="n"/>
      <c r="C893" s="70" t="n"/>
      <c r="D893" s="13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69" t="n"/>
      <c r="C894" s="70" t="n"/>
      <c r="D894" s="13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69" t="n"/>
      <c r="C895" s="70" t="n"/>
      <c r="D895" s="13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69" t="n"/>
      <c r="C896" s="70" t="n"/>
      <c r="D896" s="13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69" t="n"/>
      <c r="C897" s="70" t="n"/>
      <c r="D897" s="13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69" t="n"/>
      <c r="C898" s="70" t="n"/>
      <c r="D898" s="13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69" t="n"/>
      <c r="C899" s="70" t="n"/>
      <c r="D899" s="13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69" t="n"/>
      <c r="C900" s="70" t="n"/>
      <c r="D900" s="13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69" t="n"/>
      <c r="C901" s="70" t="n"/>
      <c r="D901" s="13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69" t="n"/>
      <c r="C902" s="70" t="n"/>
      <c r="D902" s="13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69" t="n"/>
      <c r="C903" s="70" t="n"/>
      <c r="D903" s="13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69" t="n"/>
      <c r="C904" s="70" t="n"/>
      <c r="D904" s="13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69" t="n"/>
      <c r="C905" s="70" t="n"/>
      <c r="D905" s="13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69" t="n"/>
      <c r="C906" s="70" t="n"/>
      <c r="D906" s="13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69" t="n"/>
      <c r="C907" s="70" t="n"/>
      <c r="D907" s="13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69" t="n"/>
      <c r="C908" s="70" t="n"/>
      <c r="D908" s="13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69" t="n"/>
      <c r="C909" s="70" t="n"/>
      <c r="D909" s="13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69" t="n"/>
      <c r="C910" s="70" t="n"/>
      <c r="D910" s="13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69" t="n"/>
      <c r="C911" s="70" t="n"/>
      <c r="D911" s="13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69" t="n"/>
      <c r="C912" s="70" t="n"/>
      <c r="D912" s="13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69" t="n"/>
      <c r="C913" s="70" t="n"/>
      <c r="D913" s="13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69" t="n"/>
      <c r="C914" s="70" t="n"/>
      <c r="D914" s="13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69" t="n"/>
      <c r="C915" s="70" t="n"/>
      <c r="D915" s="13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69" t="n"/>
      <c r="C916" s="70" t="n"/>
      <c r="D916" s="13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69" t="n"/>
      <c r="C917" s="70" t="n"/>
      <c r="D917" s="13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69" t="n"/>
      <c r="C918" s="70" t="n"/>
      <c r="D918" s="13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69" t="n"/>
      <c r="C919" s="70" t="n"/>
      <c r="D919" s="13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69" t="n"/>
      <c r="C920" s="70" t="n"/>
      <c r="D920" s="13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69" t="n"/>
      <c r="C921" s="70" t="n"/>
      <c r="D921" s="13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69" t="n"/>
      <c r="C922" s="70" t="n"/>
      <c r="D922" s="13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69" t="n"/>
      <c r="C923" s="70" t="n"/>
      <c r="D923" s="13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69" t="n"/>
      <c r="C924" s="70" t="n"/>
      <c r="D924" s="13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69" t="n"/>
      <c r="C925" s="70" t="n"/>
      <c r="D925" s="13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69" t="n"/>
      <c r="C926" s="70" t="n"/>
      <c r="D926" s="13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69" t="n"/>
      <c r="C927" s="70" t="n"/>
      <c r="D927" s="13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69" t="n"/>
      <c r="C928" s="70" t="n"/>
      <c r="D928" s="13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69" t="n"/>
      <c r="C929" s="70" t="n"/>
      <c r="D929" s="13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69" t="n"/>
      <c r="C930" s="70" t="n"/>
      <c r="D930" s="13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69" t="n"/>
      <c r="C931" s="70" t="n"/>
      <c r="D931" s="13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69" t="n"/>
      <c r="C932" s="70" t="n"/>
      <c r="D932" s="13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69" t="n"/>
      <c r="C933" s="70" t="n"/>
      <c r="D933" s="13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69" t="n"/>
      <c r="C934" s="70" t="n"/>
      <c r="D934" s="13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69" t="n"/>
      <c r="C935" s="70" t="n"/>
      <c r="D935" s="13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69" t="n"/>
      <c r="C936" s="70" t="n"/>
      <c r="D936" s="13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69" t="n"/>
      <c r="C937" s="70" t="n"/>
      <c r="D937" s="13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69" t="n"/>
      <c r="C938" s="70" t="n"/>
      <c r="D938" s="13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69" t="n"/>
      <c r="C939" s="70" t="n"/>
      <c r="D939" s="13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69" t="n"/>
      <c r="C940" s="70" t="n"/>
      <c r="D940" s="13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69" t="n"/>
      <c r="C941" s="70" t="n"/>
      <c r="D941" s="13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69" t="n"/>
      <c r="C942" s="70" t="n"/>
      <c r="D942" s="13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69" t="n"/>
      <c r="C943" s="70" t="n"/>
      <c r="D943" s="13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69" t="n"/>
      <c r="C944" s="70" t="n"/>
      <c r="D944" s="13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69" t="n"/>
      <c r="C945" s="70" t="n"/>
      <c r="D945" s="13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69" t="n"/>
      <c r="C946" s="70" t="n"/>
      <c r="D946" s="13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69" t="n"/>
      <c r="C947" s="70" t="n"/>
      <c r="D947" s="13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69" t="n"/>
      <c r="C948" s="70" t="n"/>
      <c r="D948" s="13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69" t="n"/>
      <c r="C949" s="70" t="n"/>
      <c r="D949" s="13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69" t="n"/>
      <c r="C950" s="70" t="n"/>
      <c r="D950" s="13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69" t="n"/>
      <c r="C951" s="70" t="n"/>
      <c r="D951" s="13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69" t="n"/>
      <c r="C952" s="70" t="n"/>
      <c r="D952" s="13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69" t="n"/>
      <c r="C953" s="70" t="n"/>
      <c r="D953" s="13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69" t="n"/>
      <c r="C954" s="70" t="n"/>
      <c r="D954" s="13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69" t="n"/>
      <c r="C955" s="70" t="n"/>
      <c r="D955" s="13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69" t="n"/>
      <c r="C956" s="70" t="n"/>
      <c r="D956" s="13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69" t="n"/>
      <c r="C957" s="70" t="n"/>
      <c r="D957" s="13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69" t="n"/>
      <c r="C958" s="70" t="n"/>
      <c r="D958" s="13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69" t="n"/>
      <c r="C959" s="70" t="n"/>
      <c r="D959" s="13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69" t="n"/>
      <c r="C960" s="70" t="n"/>
      <c r="D960" s="13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69" t="n"/>
      <c r="C961" s="70" t="n"/>
      <c r="D961" s="13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69" t="n"/>
      <c r="C962" s="70" t="n"/>
      <c r="D962" s="13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69" t="n"/>
      <c r="C963" s="70" t="n"/>
      <c r="D963" s="13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69" t="n"/>
      <c r="C964" s="70" t="n"/>
      <c r="D964" s="13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69" t="n"/>
      <c r="C965" s="70" t="n"/>
      <c r="D965" s="13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69" t="n"/>
      <c r="C966" s="70" t="n"/>
      <c r="D966" s="13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69" t="n"/>
      <c r="C967" s="70" t="n"/>
      <c r="D967" s="13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69" t="n"/>
      <c r="C968" s="70" t="n"/>
      <c r="D968" s="13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69" t="n"/>
      <c r="C969" s="70" t="n"/>
      <c r="D969" s="13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69" t="n"/>
      <c r="C970" s="70" t="n"/>
      <c r="D970" s="13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69" t="n"/>
      <c r="C971" s="70" t="n"/>
      <c r="D971" s="13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69" t="n"/>
      <c r="C972" s="70" t="n"/>
      <c r="D972" s="13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69" t="n"/>
      <c r="C973" s="70" t="n"/>
      <c r="D973" s="13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69" t="n"/>
      <c r="C974" s="70" t="n"/>
      <c r="D974" s="13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69" t="n"/>
      <c r="C975" s="70" t="n"/>
      <c r="D975" s="13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69" t="n"/>
      <c r="C976" s="70" t="n"/>
      <c r="D976" s="13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69" t="n"/>
      <c r="C977" s="70" t="n"/>
      <c r="D977" s="13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69" t="n"/>
      <c r="C978" s="70" t="n"/>
      <c r="D978" s="13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69" t="n"/>
      <c r="C979" s="70" t="n"/>
      <c r="D979" s="13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69" t="n"/>
      <c r="C980" s="70" t="n"/>
      <c r="D980" s="13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69" t="n"/>
      <c r="C981" s="70" t="n"/>
      <c r="D981" s="13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69" t="n"/>
      <c r="C982" s="70" t="n"/>
      <c r="D982" s="13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69" t="n"/>
      <c r="C983" s="70" t="n"/>
      <c r="D983" s="13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69" t="n"/>
      <c r="C984" s="70" t="n"/>
      <c r="D984" s="13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69" t="n"/>
      <c r="C985" s="70" t="n"/>
      <c r="D985" s="13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69" t="n"/>
      <c r="C986" s="70" t="n"/>
      <c r="D986" s="13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69" t="n"/>
      <c r="C987" s="70" t="n"/>
      <c r="D987" s="13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69" t="n"/>
      <c r="C988" s="70" t="n"/>
      <c r="D988" s="13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69" t="n"/>
      <c r="C989" s="70" t="n"/>
      <c r="D989" s="13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69" t="n"/>
      <c r="C990" s="70" t="n"/>
      <c r="D990" s="13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69" t="n"/>
      <c r="C991" s="70" t="n"/>
      <c r="D991" s="13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69" t="n"/>
      <c r="C992" s="70" t="n"/>
      <c r="D992" s="13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69" t="n"/>
      <c r="C993" s="70" t="n"/>
      <c r="D993" s="13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69" t="n"/>
      <c r="C994" s="70" t="n"/>
      <c r="D994" s="13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69" t="n"/>
      <c r="C995" s="70" t="n"/>
      <c r="D995" s="13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69" t="n"/>
      <c r="C996" s="70" t="n"/>
      <c r="D996" s="13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69" t="n"/>
      <c r="C997" s="70" t="n"/>
      <c r="D997" s="13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69" t="n"/>
      <c r="C998" s="70" t="n"/>
      <c r="D998" s="13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69" t="n"/>
      <c r="C999" s="70" t="n"/>
      <c r="D999" s="13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69" t="n"/>
      <c r="C1000" s="70" t="n"/>
      <c r="D1000" s="13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69" t="n"/>
      <c r="C1001" s="70" t="n"/>
      <c r="D1001" s="13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69" t="n"/>
      <c r="C1002" s="70" t="n"/>
      <c r="D1002" s="13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69" t="n"/>
      <c r="C1003" s="70" t="n"/>
      <c r="D1003" s="13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69" t="n"/>
      <c r="C1004" s="70" t="n"/>
      <c r="D1004" s="13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69" t="n"/>
      <c r="C1005" s="70" t="n"/>
      <c r="D1005" s="13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Belge" error="Boş olamaz" promptTitle="Belge Numarası" prompt="Belge numarası giri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" promptTitle="Belge Tarihi" prompt="Tarih" type="date" errorStyle="stop" operator="greaterThan">
      <formula1>1</formula1>
    </dataValidation>
    <dataValidation sqref="C6:C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E6:E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100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Defter Beyan e-Arşiv Aktarım Düzenleyici</t>
        </is>
      </c>
    </row>
    <row r="3" ht="20" customHeight="1">
      <c r="A3" s="10" t="inlineStr">
        <is>
          <t>Fatura numarası normalize + uzunluk + tarih+tutar ikincil + duplike (Ç7 / E01)</t>
        </is>
      </c>
    </row>
    <row r="4">
      <c r="A4" s="17" t="inlineStr">
        <is>
          <t>A Tarafı (e-Arşiv)</t>
        </is>
      </c>
      <c r="I4" s="17" t="inlineStr">
        <is>
          <t>B Tarafı (DBS)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IF($A6="","",TEXT(IFERROR(INDEX(tblVeriA[Tarih],ROW()-ROW(tblVeriA[[#Headers]])),""),"yyyymmdd")&amp;"|"&amp;TEXT(IFERROR(INDEX(tblVeriA[Toplam],ROW()-ROW(tblVeriA[[#Headers]])),0),"0.00"))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IF($I6="","",TEXT(IFERROR(INDEX(tblVeriB[BelgeTarihi],ROW()-ROW(tblVeriB[[#Headers]])),""),"yyyymmdd")&amp;"|"&amp;TEXT(IFERROR(INDEX(tblVeriB[Tutar],ROW()-ROW(tblVeriB[[#Headers]])),0),"0.00"))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IF($A7="","",TEXT(IFERROR(INDEX(tblVeriA[Tarih],ROW()-ROW(tblVeriA[[#Headers]])),""),"yyyymmdd")&amp;"|"&amp;TEXT(IFERROR(INDEX(tblVeriA[Toplam],ROW()-ROW(tblVeriA[[#Headers]])),0),"0.00"))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IF($I7="","",TEXT(IFERROR(INDEX(tblVeriB[BelgeTarihi],ROW()-ROW(tblVeriB[[#Headers]])),""),"yyyymmdd")&amp;"|"&amp;TEXT(IFERROR(INDEX(tblVeriB[Tutar],ROW()-ROW(tblVeriB[[#Headers]])),0),"0.00"))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IF($A8="","",TEXT(IFERROR(INDEX(tblVeriA[Tarih],ROW()-ROW(tblVeriA[[#Headers]])),""),"yyyymmdd")&amp;"|"&amp;TEXT(IFERROR(INDEX(tblVeriA[Toplam],ROW()-ROW(tblVeriA[[#Headers]])),0),"0.00"))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IF($I8="","",TEXT(IFERROR(INDEX(tblVeriB[BelgeTarihi],ROW()-ROW(tblVeriB[[#Headers]])),""),"yyyymmdd")&amp;"|"&amp;TEXT(IFERROR(INDEX(tblVeriB[Tutar],ROW()-ROW(tblVeriB[[#Headers]])),0),"0.00"))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IF($A9="","",TEXT(IFERROR(INDEX(tblVeriA[Tarih],ROW()-ROW(tblVeriA[[#Headers]])),""),"yyyymmdd")&amp;"|"&amp;TEXT(IFERROR(INDEX(tblVeriA[Toplam],ROW()-ROW(tblVeriA[[#Headers]])),0),"0.00"))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IF($I9="","",TEXT(IFERROR(INDEX(tblVeriB[BelgeTarihi],ROW()-ROW(tblVeriB[[#Headers]])),""),"yyyymmdd")&amp;"|"&amp;TEXT(IFERROR(INDEX(tblVeriB[Tutar],ROW()-ROW(tblVeriB[[#Headers]])),0),"0.00"))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IF($A10="","",TEXT(IFERROR(INDEX(tblVeriA[Tarih],ROW()-ROW(tblVeriA[[#Headers]])),""),"yyyymmdd")&amp;"|"&amp;TEXT(IFERROR(INDEX(tblVeriA[Toplam],ROW()-ROW(tblVeriA[[#Headers]])),0),"0.00"))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IF($I10="","",TEXT(IFERROR(INDEX(tblVeriB[BelgeTarihi],ROW()-ROW(tblVeriB[[#Headers]])),""),"yyyymmdd")&amp;"|"&amp;TEXT(IFERROR(INDEX(tblVeriB[Tutar],ROW()-ROW(tblVeriB[[#Headers]])),0),"0.00"))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IF($A11="","",TEXT(IFERROR(INDEX(tblVeriA[Tarih],ROW()-ROW(tblVeriA[[#Headers]])),""),"yyyymmdd")&amp;"|"&amp;TEXT(IFERROR(INDEX(tblVeriA[Toplam],ROW()-ROW(tblVeriA[[#Headers]])),0),"0.00"))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IF($I11="","",TEXT(IFERROR(INDEX(tblVeriB[BelgeTarihi],ROW()-ROW(tblVeriB[[#Headers]])),""),"yyyymmdd")&amp;"|"&amp;TEXT(IFERROR(INDEX(tblVeriB[Tutar],ROW()-ROW(tblVeriB[[#Headers]])),0),"0.00"))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IF($A12="","",TEXT(IFERROR(INDEX(tblVeriA[Tarih],ROW()-ROW(tblVeriA[[#Headers]])),""),"yyyymmdd")&amp;"|"&amp;TEXT(IFERROR(INDEX(tblVeriA[Toplam],ROW()-ROW(tblVeriA[[#Headers]])),0),"0.00"))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IF($I12="","",TEXT(IFERROR(INDEX(tblVeriB[BelgeTarihi],ROW()-ROW(tblVeriB[[#Headers]])),""),"yyyymmdd")&amp;"|"&amp;TEXT(IFERROR(INDEX(tblVeriB[Tutar],ROW()-ROW(tblVeriB[[#Headers]])),0),"0.00"))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IF($A13="","",TEXT(IFERROR(INDEX(tblVeriA[Tarih],ROW()-ROW(tblVeriA[[#Headers]])),""),"yyyymmdd")&amp;"|"&amp;TEXT(IFERROR(INDEX(tblVeriA[Toplam],ROW()-ROW(tblVeriA[[#Headers]])),0),"0.00"))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IF($I13="","",TEXT(IFERROR(INDEX(tblVeriB[BelgeTarihi],ROW()-ROW(tblVeriB[[#Headers]])),""),"yyyymmdd")&amp;"|"&amp;TEXT(IFERROR(INDEX(tblVeriB[Tutar],ROW()-ROW(tblVeriB[[#Headers]])),0),"0.00"))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IF($A14="","",TEXT(IFERROR(INDEX(tblVeriA[Tarih],ROW()-ROW(tblVeriA[[#Headers]])),""),"yyyymmdd")&amp;"|"&amp;TEXT(IFERROR(INDEX(tblVeriA[Toplam],ROW()-ROW(tblVeriA[[#Headers]])),0),"0.00"))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IF($I14="","",TEXT(IFERROR(INDEX(tblVeriB[BelgeTarihi],ROW()-ROW(tblVeriB[[#Headers]])),""),"yyyymmdd")&amp;"|"&amp;TEXT(IFERROR(INDEX(tblVeriB[Tutar],ROW()-ROW(tblVeriB[[#Headers]])),0),"0.00"))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IF($A15="","",TEXT(IFERROR(INDEX(tblVeriA[Tarih],ROW()-ROW(tblVeriA[[#Headers]])),""),"yyyymmdd")&amp;"|"&amp;TEXT(IFERROR(INDEX(tblVeriA[Toplam],ROW()-ROW(tblVeriA[[#Headers]])),0),"0.00"))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IF($I15="","",TEXT(IFERROR(INDEX(tblVeriB[BelgeTarihi],ROW()-ROW(tblVeriB[[#Headers]])),""),"yyyymmdd")&amp;"|"&amp;TEXT(IFERROR(INDEX(tblVeriB[Tutar],ROW()-ROW(tblVeriB[[#Headers]])),0),"0.00"))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IF($A16="","",TEXT(IFERROR(INDEX(tblVeriA[Tarih],ROW()-ROW(tblVeriA[[#Headers]])),""),"yyyymmdd")&amp;"|"&amp;TEXT(IFERROR(INDEX(tblVeriA[Toplam],ROW()-ROW(tblVeriA[[#Headers]])),0),"0.00"))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IF($I16="","",TEXT(IFERROR(INDEX(tblVeriB[BelgeTarihi],ROW()-ROW(tblVeriB[[#Headers]])),""),"yyyymmdd")&amp;"|"&amp;TEXT(IFERROR(INDEX(tblVeriB[Tutar],ROW()-ROW(tblVeriB[[#Headers]])),0),"0.00"))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IF($A17="","",TEXT(IFERROR(INDEX(tblVeriA[Tarih],ROW()-ROW(tblVeriA[[#Headers]])),""),"yyyymmdd")&amp;"|"&amp;TEXT(IFERROR(INDEX(tblVeriA[Toplam],ROW()-ROW(tblVeriA[[#Headers]])),0),"0.00"))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IF($I17="","",TEXT(IFERROR(INDEX(tblVeriB[BelgeTarihi],ROW()-ROW(tblVeriB[[#Headers]])),""),"yyyymmdd")&amp;"|"&amp;TEXT(IFERROR(INDEX(tblVeriB[Tutar],ROW()-ROW(tblVeriB[[#Headers]])),0),"0.00"))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IF($A18="","",TEXT(IFERROR(INDEX(tblVeriA[Tarih],ROW()-ROW(tblVeriA[[#Headers]])),""),"yyyymmdd")&amp;"|"&amp;TEXT(IFERROR(INDEX(tblVeriA[Toplam],ROW()-ROW(tblVeriA[[#Headers]])),0),"0.00"))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IF($I18="","",TEXT(IFERROR(INDEX(tblVeriB[BelgeTarihi],ROW()-ROW(tblVeriB[[#Headers]])),""),"yyyymmdd")&amp;"|"&amp;TEXT(IFERROR(INDEX(tblVeriB[Tutar],ROW()-ROW(tblVeriB[[#Headers]])),0),"0.00"))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IF($A19="","",TEXT(IFERROR(INDEX(tblVeriA[Tarih],ROW()-ROW(tblVeriA[[#Headers]])),""),"yyyymmdd")&amp;"|"&amp;TEXT(IFERROR(INDEX(tblVeriA[Toplam],ROW()-ROW(tblVeriA[[#Headers]])),0),"0.00"))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IF($I19="","",TEXT(IFERROR(INDEX(tblVeriB[BelgeTarihi],ROW()-ROW(tblVeriB[[#Headers]])),""),"yyyymmdd")&amp;"|"&amp;TEXT(IFERROR(INDEX(tblVeriB[Tutar],ROW()-ROW(tblVeriB[[#Headers]])),0),"0.00"))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IF($A20="","",TEXT(IFERROR(INDEX(tblVeriA[Tarih],ROW()-ROW(tblVeriA[[#Headers]])),""),"yyyymmdd")&amp;"|"&amp;TEXT(IFERROR(INDEX(tblVeriA[Toplam],ROW()-ROW(tblVeriA[[#Headers]])),0),"0.00"))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IF($I20="","",TEXT(IFERROR(INDEX(tblVeriB[BelgeTarihi],ROW()-ROW(tblVeriB[[#Headers]])),""),"yyyymmdd")&amp;"|"&amp;TEXT(IFERROR(INDEX(tblVeriB[Tutar],ROW()-ROW(tblVeriB[[#Headers]])),0),"0.00"))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IF($A21="","",TEXT(IFERROR(INDEX(tblVeriA[Tarih],ROW()-ROW(tblVeriA[[#Headers]])),""),"yyyymmdd")&amp;"|"&amp;TEXT(IFERROR(INDEX(tblVeriA[Toplam],ROW()-ROW(tblVeriA[[#Headers]])),0),"0.00"))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IF($I21="","",TEXT(IFERROR(INDEX(tblVeriB[BelgeTarihi],ROW()-ROW(tblVeriB[[#Headers]])),""),"yyyymmdd")&amp;"|"&amp;TEXT(IFERROR(INDEX(tblVeriB[Tutar],ROW()-ROW(tblVeriB[[#Headers]])),0),"0.00"))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IF($A22="","",TEXT(IFERROR(INDEX(tblVeriA[Tarih],ROW()-ROW(tblVeriA[[#Headers]])),""),"yyyymmdd")&amp;"|"&amp;TEXT(IFERROR(INDEX(tblVeriA[Toplam],ROW()-ROW(tblVeriA[[#Headers]])),0),"0.00"))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IF($I22="","",TEXT(IFERROR(INDEX(tblVeriB[BelgeTarihi],ROW()-ROW(tblVeriB[[#Headers]])),""),"yyyymmdd")&amp;"|"&amp;TEXT(IFERROR(INDEX(tblVeriB[Tutar],ROW()-ROW(tblVeriB[[#Headers]])),0),"0.00"))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IF($A23="","",TEXT(IFERROR(INDEX(tblVeriA[Tarih],ROW()-ROW(tblVeriA[[#Headers]])),""),"yyyymmdd")&amp;"|"&amp;TEXT(IFERROR(INDEX(tblVeriA[Toplam],ROW()-ROW(tblVeriA[[#Headers]])),0),"0.00"))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IF($I23="","",TEXT(IFERROR(INDEX(tblVeriB[BelgeTarihi],ROW()-ROW(tblVeriB[[#Headers]])),""),"yyyymmdd")&amp;"|"&amp;TEXT(IFERROR(INDEX(tblVeriB[Tutar],ROW()-ROW(tblVeriB[[#Headers]])),0),"0.00"))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IF($A24="","",TEXT(IFERROR(INDEX(tblVeriA[Tarih],ROW()-ROW(tblVeriA[[#Headers]])),""),"yyyymmdd")&amp;"|"&amp;TEXT(IFERROR(INDEX(tblVeriA[Toplam],ROW()-ROW(tblVeriA[[#Headers]])),0),"0.00"))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IF($I24="","",TEXT(IFERROR(INDEX(tblVeriB[BelgeTarihi],ROW()-ROW(tblVeriB[[#Headers]])),""),"yyyymmdd")&amp;"|"&amp;TEXT(IFERROR(INDEX(tblVeriB[Tutar],ROW()-ROW(tblVeriB[[#Headers]])),0),"0.00"))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IF($A25="","",TEXT(IFERROR(INDEX(tblVeriA[Tarih],ROW()-ROW(tblVeriA[[#Headers]])),""),"yyyymmdd")&amp;"|"&amp;TEXT(IFERROR(INDEX(tblVeriA[Toplam],ROW()-ROW(tblVeriA[[#Headers]])),0),"0.00"))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IF($I25="","",TEXT(IFERROR(INDEX(tblVeriB[BelgeTarihi],ROW()-ROW(tblVeriB[[#Headers]])),""),"yyyymmdd")&amp;"|"&amp;TEXT(IFERROR(INDEX(tblVeriB[Tutar],ROW()-ROW(tblVeriB[[#Headers]])),0),"0.00"))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IF($A26="","",TEXT(IFERROR(INDEX(tblVeriA[Tarih],ROW()-ROW(tblVeriA[[#Headers]])),""),"yyyymmdd")&amp;"|"&amp;TEXT(IFERROR(INDEX(tblVeriA[Toplam],ROW()-ROW(tblVeriA[[#Headers]])),0),"0.00"))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IF($I26="","",TEXT(IFERROR(INDEX(tblVeriB[BelgeTarihi],ROW()-ROW(tblVeriB[[#Headers]])),""),"yyyymmdd")&amp;"|"&amp;TEXT(IFERROR(INDEX(tblVeriB[Tutar],ROW()-ROW(tblVeriB[[#Headers]])),0),"0.00"))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IF($A27="","",TEXT(IFERROR(INDEX(tblVeriA[Tarih],ROW()-ROW(tblVeriA[[#Headers]])),""),"yyyymmdd")&amp;"|"&amp;TEXT(IFERROR(INDEX(tblVeriA[Toplam],ROW()-ROW(tblVeriA[[#Headers]])),0),"0.00"))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IF($I27="","",TEXT(IFERROR(INDEX(tblVeriB[BelgeTarihi],ROW()-ROW(tblVeriB[[#Headers]])),""),"yyyymmdd")&amp;"|"&amp;TEXT(IFERROR(INDEX(tblVeriB[Tutar],ROW()-ROW(tblVeriB[[#Headers]])),0),"0.00"))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IF($A28="","",TEXT(IFERROR(INDEX(tblVeriA[Tarih],ROW()-ROW(tblVeriA[[#Headers]])),""),"yyyymmdd")&amp;"|"&amp;TEXT(IFERROR(INDEX(tblVeriA[Toplam],ROW()-ROW(tblVeriA[[#Headers]])),0),"0.00"))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IF($I28="","",TEXT(IFERROR(INDEX(tblVeriB[BelgeTarihi],ROW()-ROW(tblVeriB[[#Headers]])),""),"yyyymmdd")&amp;"|"&amp;TEXT(IFERROR(INDEX(tblVeriB[Tutar],ROW()-ROW(tblVeriB[[#Headers]])),0),"0.00"))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IF($A29="","",TEXT(IFERROR(INDEX(tblVeriA[Tarih],ROW()-ROW(tblVeriA[[#Headers]])),""),"yyyymmdd")&amp;"|"&amp;TEXT(IFERROR(INDEX(tblVeriA[Toplam],ROW()-ROW(tblVeriA[[#Headers]])),0),"0.00"))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IF($I29="","",TEXT(IFERROR(INDEX(tblVeriB[BelgeTarihi],ROW()-ROW(tblVeriB[[#Headers]])),""),"yyyymmdd")&amp;"|"&amp;TEXT(IFERROR(INDEX(tblVeriB[Tutar],ROW()-ROW(tblVeriB[[#Headers]])),0),"0.00"))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IF($A30="","",TEXT(IFERROR(INDEX(tblVeriA[Tarih],ROW()-ROW(tblVeriA[[#Headers]])),""),"yyyymmdd")&amp;"|"&amp;TEXT(IFERROR(INDEX(tblVeriA[Toplam],ROW()-ROW(tblVeriA[[#Headers]])),0),"0.00"))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IF($I30="","",TEXT(IFERROR(INDEX(tblVeriB[BelgeTarihi],ROW()-ROW(tblVeriB[[#Headers]])),""),"yyyymmdd")&amp;"|"&amp;TEXT(IFERROR(INDEX(tblVeriB[Tutar],ROW()-ROW(tblVeriB[[#Headers]])),0),"0.00"))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IF($A31="","",TEXT(IFERROR(INDEX(tblVeriA[Tarih],ROW()-ROW(tblVeriA[[#Headers]])),""),"yyyymmdd")&amp;"|"&amp;TEXT(IFERROR(INDEX(tblVeriA[Toplam],ROW()-ROW(tblVeriA[[#Headers]])),0),"0.00"))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IF($I31="","",TEXT(IFERROR(INDEX(tblVeriB[BelgeTarihi],ROW()-ROW(tblVeriB[[#Headers]])),""),"yyyymmdd")&amp;"|"&amp;TEXT(IFERROR(INDEX(tblVeriB[Tutar],ROW()-ROW(tblVeriB[[#Headers]])),0),"0.00"))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IF($A32="","",TEXT(IFERROR(INDEX(tblVeriA[Tarih],ROW()-ROW(tblVeriA[[#Headers]])),""),"yyyymmdd")&amp;"|"&amp;TEXT(IFERROR(INDEX(tblVeriA[Toplam],ROW()-ROW(tblVeriA[[#Headers]])),0),"0.00"))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IF($I32="","",TEXT(IFERROR(INDEX(tblVeriB[BelgeTarihi],ROW()-ROW(tblVeriB[[#Headers]])),""),"yyyymmdd")&amp;"|"&amp;TEXT(IFERROR(INDEX(tblVeriB[Tutar],ROW()-ROW(tblVeriB[[#Headers]])),0),"0.00"))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IF($A33="","",TEXT(IFERROR(INDEX(tblVeriA[Tarih],ROW()-ROW(tblVeriA[[#Headers]])),""),"yyyymmdd")&amp;"|"&amp;TEXT(IFERROR(INDEX(tblVeriA[Toplam],ROW()-ROW(tblVeriA[[#Headers]])),0),"0.00"))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IF($I33="","",TEXT(IFERROR(INDEX(tblVeriB[BelgeTarihi],ROW()-ROW(tblVeriB[[#Headers]])),""),"yyyymmdd")&amp;"|"&amp;TEXT(IFERROR(INDEX(tblVeriB[Tutar],ROW()-ROW(tblVeriB[[#Headers]])),0),"0.00"))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IF($A34="","",TEXT(IFERROR(INDEX(tblVeriA[Tarih],ROW()-ROW(tblVeriA[[#Headers]])),""),"yyyymmdd")&amp;"|"&amp;TEXT(IFERROR(INDEX(tblVeriA[Toplam],ROW()-ROW(tblVeriA[[#Headers]])),0),"0.00"))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IF($I34="","",TEXT(IFERROR(INDEX(tblVeriB[BelgeTarihi],ROW()-ROW(tblVeriB[[#Headers]])),""),"yyyymmdd")&amp;"|"&amp;TEXT(IFERROR(INDEX(tblVeriB[Tutar],ROW()-ROW(tblVeriB[[#Headers]])),0),"0.00"))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IF($A35="","",TEXT(IFERROR(INDEX(tblVeriA[Tarih],ROW()-ROW(tblVeriA[[#Headers]])),""),"yyyymmdd")&amp;"|"&amp;TEXT(IFERROR(INDEX(tblVeriA[Toplam],ROW()-ROW(tblVeriA[[#Headers]])),0),"0.00"))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IF($I35="","",TEXT(IFERROR(INDEX(tblVeriB[BelgeTarihi],ROW()-ROW(tblVeriB[[#Headers]])),""),"yyyymmdd")&amp;"|"&amp;TEXT(IFERROR(INDEX(tblVeriB[Tutar],ROW()-ROW(tblVeriB[[#Headers]])),0),"0.00"))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IF($A36="","",TEXT(IFERROR(INDEX(tblVeriA[Tarih],ROW()-ROW(tblVeriA[[#Headers]])),""),"yyyymmdd")&amp;"|"&amp;TEXT(IFERROR(INDEX(tblVeriA[Toplam],ROW()-ROW(tblVeriA[[#Headers]])),0),"0.00"))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IF($I36="","",TEXT(IFERROR(INDEX(tblVeriB[BelgeTarihi],ROW()-ROW(tblVeriB[[#Headers]])),""),"yyyymmdd")&amp;"|"&amp;TEXT(IFERROR(INDEX(tblVeriB[Tutar],ROW()-ROW(tblVeriB[[#Headers]])),0),"0.00"))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IF($A37="","",TEXT(IFERROR(INDEX(tblVeriA[Tarih],ROW()-ROW(tblVeriA[[#Headers]])),""),"yyyymmdd")&amp;"|"&amp;TEXT(IFERROR(INDEX(tblVeriA[Toplam],ROW()-ROW(tblVeriA[[#Headers]])),0),"0.00"))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IF($I37="","",TEXT(IFERROR(INDEX(tblVeriB[BelgeTarihi],ROW()-ROW(tblVeriB[[#Headers]])),""),"yyyymmdd")&amp;"|"&amp;TEXT(IFERROR(INDEX(tblVeriB[Tutar],ROW()-ROW(tblVeriB[[#Headers]])),0),"0.00"))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IF($A38="","",TEXT(IFERROR(INDEX(tblVeriA[Tarih],ROW()-ROW(tblVeriA[[#Headers]])),""),"yyyymmdd")&amp;"|"&amp;TEXT(IFERROR(INDEX(tblVeriA[Toplam],ROW()-ROW(tblVeriA[[#Headers]])),0),"0.00"))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IF($I38="","",TEXT(IFERROR(INDEX(tblVeriB[BelgeTarihi],ROW()-ROW(tblVeriB[[#Headers]])),""),"yyyymmdd")&amp;"|"&amp;TEXT(IFERROR(INDEX(tblVeriB[Tutar],ROW()-ROW(tblVeriB[[#Headers]])),0),"0.00"))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IF($A39="","",TEXT(IFERROR(INDEX(tblVeriA[Tarih],ROW()-ROW(tblVeriA[[#Headers]])),""),"yyyymmdd")&amp;"|"&amp;TEXT(IFERROR(INDEX(tblVeriA[Toplam],ROW()-ROW(tblVeriA[[#Headers]])),0),"0.00"))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IF($I39="","",TEXT(IFERROR(INDEX(tblVeriB[BelgeTarihi],ROW()-ROW(tblVeriB[[#Headers]])),""),"yyyymmdd")&amp;"|"&amp;TEXT(IFERROR(INDEX(tblVeriB[Tutar],ROW()-ROW(tblVeriB[[#Headers]])),0),"0.00"))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IF($A40="","",TEXT(IFERROR(INDEX(tblVeriA[Tarih],ROW()-ROW(tblVeriA[[#Headers]])),""),"yyyymmdd")&amp;"|"&amp;TEXT(IFERROR(INDEX(tblVeriA[Toplam],ROW()-ROW(tblVeriA[[#Headers]])),0),"0.00"))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IF($I40="","",TEXT(IFERROR(INDEX(tblVeriB[BelgeTarihi],ROW()-ROW(tblVeriB[[#Headers]])),""),"yyyymmdd")&amp;"|"&amp;TEXT(IFERROR(INDEX(tblVeriB[Tutar],ROW()-ROW(tblVeriB[[#Headers]])),0),"0.00"))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IF($A41="","",TEXT(IFERROR(INDEX(tblVeriA[Tarih],ROW()-ROW(tblVeriA[[#Headers]])),""),"yyyymmdd")&amp;"|"&amp;TEXT(IFERROR(INDEX(tblVeriA[Toplam],ROW()-ROW(tblVeriA[[#Headers]])),0),"0.00"))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IF($I41="","",TEXT(IFERROR(INDEX(tblVeriB[BelgeTarihi],ROW()-ROW(tblVeriB[[#Headers]])),""),"yyyymmdd")&amp;"|"&amp;TEXT(IFERROR(INDEX(tblVeriB[Tutar],ROW()-ROW(tblVeriB[[#Headers]])),0),"0.00"))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IF($A42="","",TEXT(IFERROR(INDEX(tblVeriA[Tarih],ROW()-ROW(tblVeriA[[#Headers]])),""),"yyyymmdd")&amp;"|"&amp;TEXT(IFERROR(INDEX(tblVeriA[Toplam],ROW()-ROW(tblVeriA[[#Headers]])),0),"0.00"))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IF($I42="","",TEXT(IFERROR(INDEX(tblVeriB[BelgeTarihi],ROW()-ROW(tblVeriB[[#Headers]])),""),"yyyymmdd")&amp;"|"&amp;TEXT(IFERROR(INDEX(tblVeriB[Tutar],ROW()-ROW(tblVeriB[[#Headers]])),0),"0.00"))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IF($A43="","",TEXT(IFERROR(INDEX(tblVeriA[Tarih],ROW()-ROW(tblVeriA[[#Headers]])),""),"yyyymmdd")&amp;"|"&amp;TEXT(IFERROR(INDEX(tblVeriA[Toplam],ROW()-ROW(tblVeriA[[#Headers]])),0),"0.00"))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IF($I43="","",TEXT(IFERROR(INDEX(tblVeriB[BelgeTarihi],ROW()-ROW(tblVeriB[[#Headers]])),""),"yyyymmdd")&amp;"|"&amp;TEXT(IFERROR(INDEX(tblVeriB[Tutar],ROW()-ROW(tblVeriB[[#Headers]])),0),"0.00"))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IF($A44="","",TEXT(IFERROR(INDEX(tblVeriA[Tarih],ROW()-ROW(tblVeriA[[#Headers]])),""),"yyyymmdd")&amp;"|"&amp;TEXT(IFERROR(INDEX(tblVeriA[Toplam],ROW()-ROW(tblVeriA[[#Headers]])),0),"0.00"))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IF($I44="","",TEXT(IFERROR(INDEX(tblVeriB[BelgeTarihi],ROW()-ROW(tblVeriB[[#Headers]])),""),"yyyymmdd")&amp;"|"&amp;TEXT(IFERROR(INDEX(tblVeriB[Tutar],ROW()-ROW(tblVeriB[[#Headers]])),0),"0.00"))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IF($A45="","",TEXT(IFERROR(INDEX(tblVeriA[Tarih],ROW()-ROW(tblVeriA[[#Headers]])),""),"yyyymmdd")&amp;"|"&amp;TEXT(IFERROR(INDEX(tblVeriA[Toplam],ROW()-ROW(tblVeriA[[#Headers]])),0),"0.00"))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IF($I45="","",TEXT(IFERROR(INDEX(tblVeriB[BelgeTarihi],ROW()-ROW(tblVeriB[[#Headers]])),""),"yyyymmdd")&amp;"|"&amp;TEXT(IFERROR(INDEX(tblVeriB[Tutar],ROW()-ROW(tblVeriB[[#Headers]])),0),"0.00"))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IF($A46="","",TEXT(IFERROR(INDEX(tblVeriA[Tarih],ROW()-ROW(tblVeriA[[#Headers]])),""),"yyyymmdd")&amp;"|"&amp;TEXT(IFERROR(INDEX(tblVeriA[Toplam],ROW()-ROW(tblVeriA[[#Headers]])),0),"0.00"))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IF($I46="","",TEXT(IFERROR(INDEX(tblVeriB[BelgeTarihi],ROW()-ROW(tblVeriB[[#Headers]])),""),"yyyymmdd")&amp;"|"&amp;TEXT(IFERROR(INDEX(tblVeriB[Tutar],ROW()-ROW(tblVeriB[[#Headers]])),0),"0.00"))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IF($A47="","",TEXT(IFERROR(INDEX(tblVeriA[Tarih],ROW()-ROW(tblVeriA[[#Headers]])),""),"yyyymmdd")&amp;"|"&amp;TEXT(IFERROR(INDEX(tblVeriA[Toplam],ROW()-ROW(tblVeriA[[#Headers]])),0),"0.00"))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IF($I47="","",TEXT(IFERROR(INDEX(tblVeriB[BelgeTarihi],ROW()-ROW(tblVeriB[[#Headers]])),""),"yyyymmdd")&amp;"|"&amp;TEXT(IFERROR(INDEX(tblVeriB[Tutar],ROW()-ROW(tblVeriB[[#Headers]])),0),"0.00"))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IF($A48="","",TEXT(IFERROR(INDEX(tblVeriA[Tarih],ROW()-ROW(tblVeriA[[#Headers]])),""),"yyyymmdd")&amp;"|"&amp;TEXT(IFERROR(INDEX(tblVeriA[Toplam],ROW()-ROW(tblVeriA[[#Headers]])),0),"0.00"))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IF($I48="","",TEXT(IFERROR(INDEX(tblVeriB[BelgeTarihi],ROW()-ROW(tblVeriB[[#Headers]])),""),"yyyymmdd")&amp;"|"&amp;TEXT(IFERROR(INDEX(tblVeriB[Tutar],ROW()-ROW(tblVeriB[[#Headers]])),0),"0.00"))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IF($A49="","",TEXT(IFERROR(INDEX(tblVeriA[Tarih],ROW()-ROW(tblVeriA[[#Headers]])),""),"yyyymmdd")&amp;"|"&amp;TEXT(IFERROR(INDEX(tblVeriA[Toplam],ROW()-ROW(tblVeriA[[#Headers]])),0),"0.00"))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IF($I49="","",TEXT(IFERROR(INDEX(tblVeriB[BelgeTarihi],ROW()-ROW(tblVeriB[[#Headers]])),""),"yyyymmdd")&amp;"|"&amp;TEXT(IFERROR(INDEX(tblVeriB[Tutar],ROW()-ROW(tblVeriB[[#Headers]])),0),"0.00"))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IF($A50="","",TEXT(IFERROR(INDEX(tblVeriA[Tarih],ROW()-ROW(tblVeriA[[#Headers]])),""),"yyyymmdd")&amp;"|"&amp;TEXT(IFERROR(INDEX(tblVeriA[Toplam],ROW()-ROW(tblVeriA[[#Headers]])),0),"0.00"))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IF($I50="","",TEXT(IFERROR(INDEX(tblVeriB[BelgeTarihi],ROW()-ROW(tblVeriB[[#Headers]])),""),"yyyymmdd")&amp;"|"&amp;TEXT(IFERROR(INDEX(tblVeriB[Tutar],ROW()-ROW(tblVeriB[[#Headers]])),0),"0.00"))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IF($A51="","",TEXT(IFERROR(INDEX(tblVeriA[Tarih],ROW()-ROW(tblVeriA[[#Headers]])),""),"yyyymmdd")&amp;"|"&amp;TEXT(IFERROR(INDEX(tblVeriA[Toplam],ROW()-ROW(tblVeriA[[#Headers]])),0),"0.00"))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IF($I51="","",TEXT(IFERROR(INDEX(tblVeriB[BelgeTarihi],ROW()-ROW(tblVeriB[[#Headers]])),""),"yyyymmdd")&amp;"|"&amp;TEXT(IFERROR(INDEX(tblVeriB[Tutar],ROW()-ROW(tblVeriB[[#Headers]])),0),"0.00"))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IF($A52="","",TEXT(IFERROR(INDEX(tblVeriA[Tarih],ROW()-ROW(tblVeriA[[#Headers]])),""),"yyyymmdd")&amp;"|"&amp;TEXT(IFERROR(INDEX(tblVeriA[Toplam],ROW()-ROW(tblVeriA[[#Headers]])),0),"0.00"))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IF($I52="","",TEXT(IFERROR(INDEX(tblVeriB[BelgeTarihi],ROW()-ROW(tblVeriB[[#Headers]])),""),"yyyymmdd")&amp;"|"&amp;TEXT(IFERROR(INDEX(tblVeriB[Tutar],ROW()-ROW(tblVeriB[[#Headers]])),0),"0.00"))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IF($A53="","",TEXT(IFERROR(INDEX(tblVeriA[Tarih],ROW()-ROW(tblVeriA[[#Headers]])),""),"yyyymmdd")&amp;"|"&amp;TEXT(IFERROR(INDEX(tblVeriA[Toplam],ROW()-ROW(tblVeriA[[#Headers]])),0),"0.00"))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IF($I53="","",TEXT(IFERROR(INDEX(tblVeriB[BelgeTarihi],ROW()-ROW(tblVeriB[[#Headers]])),""),"yyyymmdd")&amp;"|"&amp;TEXT(IFERROR(INDEX(tblVeriB[Tutar],ROW()-ROW(tblVeriB[[#Headers]])),0),"0.00"))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IF($A54="","",TEXT(IFERROR(INDEX(tblVeriA[Tarih],ROW()-ROW(tblVeriA[[#Headers]])),""),"yyyymmdd")&amp;"|"&amp;TEXT(IFERROR(INDEX(tblVeriA[Toplam],ROW()-ROW(tblVeriA[[#Headers]])),0),"0.00"))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IF($I54="","",TEXT(IFERROR(INDEX(tblVeriB[BelgeTarihi],ROW()-ROW(tblVeriB[[#Headers]])),""),"yyyymmdd")&amp;"|"&amp;TEXT(IFERROR(INDEX(tblVeriB[Tutar],ROW()-ROW(tblVeriB[[#Headers]])),0),"0.00"))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IF($A55="","",TEXT(IFERROR(INDEX(tblVeriA[Tarih],ROW()-ROW(tblVeriA[[#Headers]])),""),"yyyymmdd")&amp;"|"&amp;TEXT(IFERROR(INDEX(tblVeriA[Toplam],ROW()-ROW(tblVeriA[[#Headers]])),0),"0.00"))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IF($I55="","",TEXT(IFERROR(INDEX(tblVeriB[BelgeTarihi],ROW()-ROW(tblVeriB[[#Headers]])),""),"yyyymmdd")&amp;"|"&amp;TEXT(IFERROR(INDEX(tblVeriB[Tutar],ROW()-ROW(tblVeriB[[#Headers]])),0),"0.00"))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IF($A56="","",TEXT(IFERROR(INDEX(tblVeriA[Tarih],ROW()-ROW(tblVeriA[[#Headers]])),""),"yyyymmdd")&amp;"|"&amp;TEXT(IFERROR(INDEX(tblVeriA[Toplam],ROW()-ROW(tblVeriA[[#Headers]])),0),"0.00"))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IF($I56="","",TEXT(IFERROR(INDEX(tblVeriB[BelgeTarihi],ROW()-ROW(tblVeriB[[#Headers]])),""),"yyyymmdd")&amp;"|"&amp;TEXT(IFERROR(INDEX(tblVeriB[Tutar],ROW()-ROW(tblVeriB[[#Headers]])),0),"0.00"))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IF($A57="","",TEXT(IFERROR(INDEX(tblVeriA[Tarih],ROW()-ROW(tblVeriA[[#Headers]])),""),"yyyymmdd")&amp;"|"&amp;TEXT(IFERROR(INDEX(tblVeriA[Toplam],ROW()-ROW(tblVeriA[[#Headers]])),0),"0.00"))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IF($I57="","",TEXT(IFERROR(INDEX(tblVeriB[BelgeTarihi],ROW()-ROW(tblVeriB[[#Headers]])),""),"yyyymmdd")&amp;"|"&amp;TEXT(IFERROR(INDEX(tblVeriB[Tutar],ROW()-ROW(tblVeriB[[#Headers]])),0),"0.00"))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IF($A58="","",TEXT(IFERROR(INDEX(tblVeriA[Tarih],ROW()-ROW(tblVeriA[[#Headers]])),""),"yyyymmdd")&amp;"|"&amp;TEXT(IFERROR(INDEX(tblVeriA[Toplam],ROW()-ROW(tblVeriA[[#Headers]])),0),"0.00"))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IF($I58="","",TEXT(IFERROR(INDEX(tblVeriB[BelgeTarihi],ROW()-ROW(tblVeriB[[#Headers]])),""),"yyyymmdd")&amp;"|"&amp;TEXT(IFERROR(INDEX(tblVeriB[Tutar],ROW()-ROW(tblVeriB[[#Headers]])),0),"0.00"))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IF($A59="","",TEXT(IFERROR(INDEX(tblVeriA[Tarih],ROW()-ROW(tblVeriA[[#Headers]])),""),"yyyymmdd")&amp;"|"&amp;TEXT(IFERROR(INDEX(tblVeriA[Toplam],ROW()-ROW(tblVeriA[[#Headers]])),0),"0.00"))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IF($I59="","",TEXT(IFERROR(INDEX(tblVeriB[BelgeTarihi],ROW()-ROW(tblVeriB[[#Headers]])),""),"yyyymmdd")&amp;"|"&amp;TEXT(IFERROR(INDEX(tblVeriB[Tutar],ROW()-ROW(tblVeriB[[#Headers]])),0),"0.00"))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IF($A60="","",TEXT(IFERROR(INDEX(tblVeriA[Tarih],ROW()-ROW(tblVeriA[[#Headers]])),""),"yyyymmdd")&amp;"|"&amp;TEXT(IFERROR(INDEX(tblVeriA[Toplam],ROW()-ROW(tblVeriA[[#Headers]])),0),"0.00"))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IF($I60="","",TEXT(IFERROR(INDEX(tblVeriB[BelgeTarihi],ROW()-ROW(tblVeriB[[#Headers]])),""),"yyyymmdd")&amp;"|"&amp;TEXT(IFERROR(INDEX(tblVeriB[Tutar],ROW()-ROW(tblVeriB[[#Headers]])),0),"0.00"))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IF($A61="","",TEXT(IFERROR(INDEX(tblVeriA[Tarih],ROW()-ROW(tblVeriA[[#Headers]])),""),"yyyymmdd")&amp;"|"&amp;TEXT(IFERROR(INDEX(tblVeriA[Toplam],ROW()-ROW(tblVeriA[[#Headers]])),0),"0.00"))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IF($I61="","",TEXT(IFERROR(INDEX(tblVeriB[BelgeTarihi],ROW()-ROW(tblVeriB[[#Headers]])),""),"yyyymmdd")&amp;"|"&amp;TEXT(IFERROR(INDEX(tblVeriB[Tutar],ROW()-ROW(tblVeriB[[#Headers]])),0),"0.00"))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IF($A62="","",TEXT(IFERROR(INDEX(tblVeriA[Tarih],ROW()-ROW(tblVeriA[[#Headers]])),""),"yyyymmdd")&amp;"|"&amp;TEXT(IFERROR(INDEX(tblVeriA[Toplam],ROW()-ROW(tblVeriA[[#Headers]])),0),"0.00"))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IF($I62="","",TEXT(IFERROR(INDEX(tblVeriB[BelgeTarihi],ROW()-ROW(tblVeriB[[#Headers]])),""),"yyyymmdd")&amp;"|"&amp;TEXT(IFERROR(INDEX(tblVeriB[Tutar],ROW()-ROW(tblVeriB[[#Headers]])),0),"0.00"))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IF($A63="","",TEXT(IFERROR(INDEX(tblVeriA[Tarih],ROW()-ROW(tblVeriA[[#Headers]])),""),"yyyymmdd")&amp;"|"&amp;TEXT(IFERROR(INDEX(tblVeriA[Toplam],ROW()-ROW(tblVeriA[[#Headers]])),0),"0.00"))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IF($I63="","",TEXT(IFERROR(INDEX(tblVeriB[BelgeTarihi],ROW()-ROW(tblVeriB[[#Headers]])),""),"yyyymmdd")&amp;"|"&amp;TEXT(IFERROR(INDEX(tblVeriB[Tutar],ROW()-ROW(tblVeriB[[#Headers]])),0),"0.00"))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IF($A64="","",TEXT(IFERROR(INDEX(tblVeriA[Tarih],ROW()-ROW(tblVeriA[[#Headers]])),""),"yyyymmdd")&amp;"|"&amp;TEXT(IFERROR(INDEX(tblVeriA[Toplam],ROW()-ROW(tblVeriA[[#Headers]])),0),"0.00"))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IF($I64="","",TEXT(IFERROR(INDEX(tblVeriB[BelgeTarihi],ROW()-ROW(tblVeriB[[#Headers]])),""),"yyyymmdd")&amp;"|"&amp;TEXT(IFERROR(INDEX(tblVeriB[Tutar],ROW()-ROW(tblVeriB[[#Headers]])),0),"0.00"))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IF($A65="","",TEXT(IFERROR(INDEX(tblVeriA[Tarih],ROW()-ROW(tblVeriA[[#Headers]])),""),"yyyymmdd")&amp;"|"&amp;TEXT(IFERROR(INDEX(tblVeriA[Toplam],ROW()-ROW(tblVeriA[[#Headers]])),0),"0.00"))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IF($I65="","",TEXT(IFERROR(INDEX(tblVeriB[BelgeTarihi],ROW()-ROW(tblVeriB[[#Headers]])),""),"yyyymmdd")&amp;"|"&amp;TEXT(IFERROR(INDEX(tblVeriB[Tutar],ROW()-ROW(tblVeriB[[#Headers]])),0),"0.00"))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IF($A66="","",TEXT(IFERROR(INDEX(tblVeriA[Tarih],ROW()-ROW(tblVeriA[[#Headers]])),""),"yyyymmdd")&amp;"|"&amp;TEXT(IFERROR(INDEX(tblVeriA[Toplam],ROW()-ROW(tblVeriA[[#Headers]])),0),"0.00"))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IF($I66="","",TEXT(IFERROR(INDEX(tblVeriB[BelgeTarihi],ROW()-ROW(tblVeriB[[#Headers]])),""),"yyyymmdd")&amp;"|"&amp;TEXT(IFERROR(INDEX(tblVeriB[Tutar],ROW()-ROW(tblVeriB[[#Headers]])),0),"0.00"))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IF($A67="","",TEXT(IFERROR(INDEX(tblVeriA[Tarih],ROW()-ROW(tblVeriA[[#Headers]])),""),"yyyymmdd")&amp;"|"&amp;TEXT(IFERROR(INDEX(tblVeriA[Toplam],ROW()-ROW(tblVeriA[[#Headers]])),0),"0.00"))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IF($I67="","",TEXT(IFERROR(INDEX(tblVeriB[BelgeTarihi],ROW()-ROW(tblVeriB[[#Headers]])),""),"yyyymmdd")&amp;"|"&amp;TEXT(IFERROR(INDEX(tblVeriB[Tutar],ROW()-ROW(tblVeriB[[#Headers]])),0),"0.00"))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IF($A68="","",TEXT(IFERROR(INDEX(tblVeriA[Tarih],ROW()-ROW(tblVeriA[[#Headers]])),""),"yyyymmdd")&amp;"|"&amp;TEXT(IFERROR(INDEX(tblVeriA[Toplam],ROW()-ROW(tblVeriA[[#Headers]])),0),"0.00"))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IF($I68="","",TEXT(IFERROR(INDEX(tblVeriB[BelgeTarihi],ROW()-ROW(tblVeriB[[#Headers]])),""),"yyyymmdd")&amp;"|"&amp;TEXT(IFERROR(INDEX(tblVeriB[Tutar],ROW()-ROW(tblVeriB[[#Headers]])),0),"0.00"))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IF($A69="","",TEXT(IFERROR(INDEX(tblVeriA[Tarih],ROW()-ROW(tblVeriA[[#Headers]])),""),"yyyymmdd")&amp;"|"&amp;TEXT(IFERROR(INDEX(tblVeriA[Toplam],ROW()-ROW(tblVeriA[[#Headers]])),0),"0.00"))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IF($I69="","",TEXT(IFERROR(INDEX(tblVeriB[BelgeTarihi],ROW()-ROW(tblVeriB[[#Headers]])),""),"yyyymmdd")&amp;"|"&amp;TEXT(IFERROR(INDEX(tblVeriB[Tutar],ROW()-ROW(tblVeriB[[#Headers]])),0),"0.00"))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IF($A70="","",TEXT(IFERROR(INDEX(tblVeriA[Tarih],ROW()-ROW(tblVeriA[[#Headers]])),""),"yyyymmdd")&amp;"|"&amp;TEXT(IFERROR(INDEX(tblVeriA[Toplam],ROW()-ROW(tblVeriA[[#Headers]])),0),"0.00"))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IF($I70="","",TEXT(IFERROR(INDEX(tblVeriB[BelgeTarihi],ROW()-ROW(tblVeriB[[#Headers]])),""),"yyyymmdd")&amp;"|"&amp;TEXT(IFERROR(INDEX(tblVeriB[Tutar],ROW()-ROW(tblVeriB[[#Headers]])),0),"0.00"))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IF($A71="","",TEXT(IFERROR(INDEX(tblVeriA[Tarih],ROW()-ROW(tblVeriA[[#Headers]])),""),"yyyymmdd")&amp;"|"&amp;TEXT(IFERROR(INDEX(tblVeriA[Toplam],ROW()-ROW(tblVeriA[[#Headers]])),0),"0.00"))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IF($I71="","",TEXT(IFERROR(INDEX(tblVeriB[BelgeTarihi],ROW()-ROW(tblVeriB[[#Headers]])),""),"yyyymmdd")&amp;"|"&amp;TEXT(IFERROR(INDEX(tblVeriB[Tutar],ROW()-ROW(tblVeriB[[#Headers]])),0),"0.00"))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IF($A72="","",TEXT(IFERROR(INDEX(tblVeriA[Tarih],ROW()-ROW(tblVeriA[[#Headers]])),""),"yyyymmdd")&amp;"|"&amp;TEXT(IFERROR(INDEX(tblVeriA[Toplam],ROW()-ROW(tblVeriA[[#Headers]])),0),"0.00"))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IF($I72="","",TEXT(IFERROR(INDEX(tblVeriB[BelgeTarihi],ROW()-ROW(tblVeriB[[#Headers]])),""),"yyyymmdd")&amp;"|"&amp;TEXT(IFERROR(INDEX(tblVeriB[Tutar],ROW()-ROW(tblVeriB[[#Headers]])),0),"0.00"))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IF($A73="","",TEXT(IFERROR(INDEX(tblVeriA[Tarih],ROW()-ROW(tblVeriA[[#Headers]])),""),"yyyymmdd")&amp;"|"&amp;TEXT(IFERROR(INDEX(tblVeriA[Toplam],ROW()-ROW(tblVeriA[[#Headers]])),0),"0.00"))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IF($I73="","",TEXT(IFERROR(INDEX(tblVeriB[BelgeTarihi],ROW()-ROW(tblVeriB[[#Headers]])),""),"yyyymmdd")&amp;"|"&amp;TEXT(IFERROR(INDEX(tblVeriB[Tutar],ROW()-ROW(tblVeriB[[#Headers]])),0),"0.00"))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IF($A74="","",TEXT(IFERROR(INDEX(tblVeriA[Tarih],ROW()-ROW(tblVeriA[[#Headers]])),""),"yyyymmdd")&amp;"|"&amp;TEXT(IFERROR(INDEX(tblVeriA[Toplam],ROW()-ROW(tblVeriA[[#Headers]])),0),"0.00"))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IF($I74="","",TEXT(IFERROR(INDEX(tblVeriB[BelgeTarihi],ROW()-ROW(tblVeriB[[#Headers]])),""),"yyyymmdd")&amp;"|"&amp;TEXT(IFERROR(INDEX(tblVeriB[Tutar],ROW()-ROW(tblVeriB[[#Headers]])),0),"0.00"))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IF($A75="","",TEXT(IFERROR(INDEX(tblVeriA[Tarih],ROW()-ROW(tblVeriA[[#Headers]])),""),"yyyymmdd")&amp;"|"&amp;TEXT(IFERROR(INDEX(tblVeriA[Toplam],ROW()-ROW(tblVeriA[[#Headers]])),0),"0.00"))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IF($I75="","",TEXT(IFERROR(INDEX(tblVeriB[BelgeTarihi],ROW()-ROW(tblVeriB[[#Headers]])),""),"yyyymmdd")&amp;"|"&amp;TEXT(IFERROR(INDEX(tblVeriB[Tutar],ROW()-ROW(tblVeriB[[#Headers]])),0),"0.00"))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IF($A76="","",TEXT(IFERROR(INDEX(tblVeriA[Tarih],ROW()-ROW(tblVeriA[[#Headers]])),""),"yyyymmdd")&amp;"|"&amp;TEXT(IFERROR(INDEX(tblVeriA[Toplam],ROW()-ROW(tblVeriA[[#Headers]])),0),"0.00"))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IF($I76="","",TEXT(IFERROR(INDEX(tblVeriB[BelgeTarihi],ROW()-ROW(tblVeriB[[#Headers]])),""),"yyyymmdd")&amp;"|"&amp;TEXT(IFERROR(INDEX(tblVeriB[Tutar],ROW()-ROW(tblVeriB[[#Headers]])),0),"0.00"))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IF($A77="","",TEXT(IFERROR(INDEX(tblVeriA[Tarih],ROW()-ROW(tblVeriA[[#Headers]])),""),"yyyymmdd")&amp;"|"&amp;TEXT(IFERROR(INDEX(tblVeriA[Toplam],ROW()-ROW(tblVeriA[[#Headers]])),0),"0.00"))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IF($I77="","",TEXT(IFERROR(INDEX(tblVeriB[BelgeTarihi],ROW()-ROW(tblVeriB[[#Headers]])),""),"yyyymmdd")&amp;"|"&amp;TEXT(IFERROR(INDEX(tblVeriB[Tutar],ROW()-ROW(tblVeriB[[#Headers]])),0),"0.00"))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IF($A78="","",TEXT(IFERROR(INDEX(tblVeriA[Tarih],ROW()-ROW(tblVeriA[[#Headers]])),""),"yyyymmdd")&amp;"|"&amp;TEXT(IFERROR(INDEX(tblVeriA[Toplam],ROW()-ROW(tblVeriA[[#Headers]])),0),"0.00"))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IF($I78="","",TEXT(IFERROR(INDEX(tblVeriB[BelgeTarihi],ROW()-ROW(tblVeriB[[#Headers]])),""),"yyyymmdd")&amp;"|"&amp;TEXT(IFERROR(INDEX(tblVeriB[Tutar],ROW()-ROW(tblVeriB[[#Headers]])),0),"0.00"))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IF($A79="","",TEXT(IFERROR(INDEX(tblVeriA[Tarih],ROW()-ROW(tblVeriA[[#Headers]])),""),"yyyymmdd")&amp;"|"&amp;TEXT(IFERROR(INDEX(tblVeriA[Toplam],ROW()-ROW(tblVeriA[[#Headers]])),0),"0.00"))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IF($I79="","",TEXT(IFERROR(INDEX(tblVeriB[BelgeTarihi],ROW()-ROW(tblVeriB[[#Headers]])),""),"yyyymmdd")&amp;"|"&amp;TEXT(IFERROR(INDEX(tblVeriB[Tutar],ROW()-ROW(tblVeriB[[#Headers]])),0),"0.00"))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IF($A80="","",TEXT(IFERROR(INDEX(tblVeriA[Tarih],ROW()-ROW(tblVeriA[[#Headers]])),""),"yyyymmdd")&amp;"|"&amp;TEXT(IFERROR(INDEX(tblVeriA[Toplam],ROW()-ROW(tblVeriA[[#Headers]])),0),"0.00"))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IF($I80="","",TEXT(IFERROR(INDEX(tblVeriB[BelgeTarihi],ROW()-ROW(tblVeriB[[#Headers]])),""),"yyyymmdd")&amp;"|"&amp;TEXT(IFERROR(INDEX(tblVeriB[Tutar],ROW()-ROW(tblVeriB[[#Headers]])),0),"0.00"))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IF($A81="","",TEXT(IFERROR(INDEX(tblVeriA[Tarih],ROW()-ROW(tblVeriA[[#Headers]])),""),"yyyymmdd")&amp;"|"&amp;TEXT(IFERROR(INDEX(tblVeriA[Toplam],ROW()-ROW(tblVeriA[[#Headers]])),0),"0.00"))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IF($I81="","",TEXT(IFERROR(INDEX(tblVeriB[BelgeTarihi],ROW()-ROW(tblVeriB[[#Headers]])),""),"yyyymmdd")&amp;"|"&amp;TEXT(IFERROR(INDEX(tblVeriB[Tutar],ROW()-ROW(tblVeriB[[#Headers]])),0),"0.00"))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IF($A82="","",TEXT(IFERROR(INDEX(tblVeriA[Tarih],ROW()-ROW(tblVeriA[[#Headers]])),""),"yyyymmdd")&amp;"|"&amp;TEXT(IFERROR(INDEX(tblVeriA[Toplam],ROW()-ROW(tblVeriA[[#Headers]])),0),"0.00"))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IF($I82="","",TEXT(IFERROR(INDEX(tblVeriB[BelgeTarihi],ROW()-ROW(tblVeriB[[#Headers]])),""),"yyyymmdd")&amp;"|"&amp;TEXT(IFERROR(INDEX(tblVeriB[Tutar],ROW()-ROW(tblVeriB[[#Headers]])),0),"0.00"))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IF($A83="","",TEXT(IFERROR(INDEX(tblVeriA[Tarih],ROW()-ROW(tblVeriA[[#Headers]])),""),"yyyymmdd")&amp;"|"&amp;TEXT(IFERROR(INDEX(tblVeriA[Toplam],ROW()-ROW(tblVeriA[[#Headers]])),0),"0.00"))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IF($I83="","",TEXT(IFERROR(INDEX(tblVeriB[BelgeTarihi],ROW()-ROW(tblVeriB[[#Headers]])),""),"yyyymmdd")&amp;"|"&amp;TEXT(IFERROR(INDEX(tblVeriB[Tutar],ROW()-ROW(tblVeriB[[#Headers]])),0),"0.00"))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IF($A84="","",TEXT(IFERROR(INDEX(tblVeriA[Tarih],ROW()-ROW(tblVeriA[[#Headers]])),""),"yyyymmdd")&amp;"|"&amp;TEXT(IFERROR(INDEX(tblVeriA[Toplam],ROW()-ROW(tblVeriA[[#Headers]])),0),"0.00"))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IF($I84="","",TEXT(IFERROR(INDEX(tblVeriB[BelgeTarihi],ROW()-ROW(tblVeriB[[#Headers]])),""),"yyyymmdd")&amp;"|"&amp;TEXT(IFERROR(INDEX(tblVeriB[Tutar],ROW()-ROW(tblVeriB[[#Headers]])),0),"0.00"))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IF($A85="","",TEXT(IFERROR(INDEX(tblVeriA[Tarih],ROW()-ROW(tblVeriA[[#Headers]])),""),"yyyymmdd")&amp;"|"&amp;TEXT(IFERROR(INDEX(tblVeriA[Toplam],ROW()-ROW(tblVeriA[[#Headers]])),0),"0.00"))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IF($I85="","",TEXT(IFERROR(INDEX(tblVeriB[BelgeTarihi],ROW()-ROW(tblVeriB[[#Headers]])),""),"yyyymmdd")&amp;"|"&amp;TEXT(IFERROR(INDEX(tblVeriB[Tutar],ROW()-ROW(tblVeriB[[#Headers]])),0),"0.00"))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IF($A86="","",TEXT(IFERROR(INDEX(tblVeriA[Tarih],ROW()-ROW(tblVeriA[[#Headers]])),""),"yyyymmdd")&amp;"|"&amp;TEXT(IFERROR(INDEX(tblVeriA[Toplam],ROW()-ROW(tblVeriA[[#Headers]])),0),"0.00"))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IF($I86="","",TEXT(IFERROR(INDEX(tblVeriB[BelgeTarihi],ROW()-ROW(tblVeriB[[#Headers]])),""),"yyyymmdd")&amp;"|"&amp;TEXT(IFERROR(INDEX(tblVeriB[Tutar],ROW()-ROW(tblVeriB[[#Headers]])),0),"0.00"))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IF($A87="","",TEXT(IFERROR(INDEX(tblVeriA[Tarih],ROW()-ROW(tblVeriA[[#Headers]])),""),"yyyymmdd")&amp;"|"&amp;TEXT(IFERROR(INDEX(tblVeriA[Toplam],ROW()-ROW(tblVeriA[[#Headers]])),0),"0.00"))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IF($I87="","",TEXT(IFERROR(INDEX(tblVeriB[BelgeTarihi],ROW()-ROW(tblVeriB[[#Headers]])),""),"yyyymmdd")&amp;"|"&amp;TEXT(IFERROR(INDEX(tblVeriB[Tutar],ROW()-ROW(tblVeriB[[#Headers]])),0),"0.00"))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IF($A88="","",TEXT(IFERROR(INDEX(tblVeriA[Tarih],ROW()-ROW(tblVeriA[[#Headers]])),""),"yyyymmdd")&amp;"|"&amp;TEXT(IFERROR(INDEX(tblVeriA[Toplam],ROW()-ROW(tblVeriA[[#Headers]])),0),"0.00"))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IF($I88="","",TEXT(IFERROR(INDEX(tblVeriB[BelgeTarihi],ROW()-ROW(tblVeriB[[#Headers]])),""),"yyyymmdd")&amp;"|"&amp;TEXT(IFERROR(INDEX(tblVeriB[Tutar],ROW()-ROW(tblVeriB[[#Headers]])),0),"0.00"))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IF($A89="","",TEXT(IFERROR(INDEX(tblVeriA[Tarih],ROW()-ROW(tblVeriA[[#Headers]])),""),"yyyymmdd")&amp;"|"&amp;TEXT(IFERROR(INDEX(tblVeriA[Toplam],ROW()-ROW(tblVeriA[[#Headers]])),0),"0.00"))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IF($I89="","",TEXT(IFERROR(INDEX(tblVeriB[BelgeTarihi],ROW()-ROW(tblVeriB[[#Headers]])),""),"yyyymmdd")&amp;"|"&amp;TEXT(IFERROR(INDEX(tblVeriB[Tutar],ROW()-ROW(tblVeriB[[#Headers]])),0),"0.00"))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IF($A90="","",TEXT(IFERROR(INDEX(tblVeriA[Tarih],ROW()-ROW(tblVeriA[[#Headers]])),""),"yyyymmdd")&amp;"|"&amp;TEXT(IFERROR(INDEX(tblVeriA[Toplam],ROW()-ROW(tblVeriA[[#Headers]])),0),"0.00"))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IF($I90="","",TEXT(IFERROR(INDEX(tblVeriB[BelgeTarihi],ROW()-ROW(tblVeriB[[#Headers]])),""),"yyyymmdd")&amp;"|"&amp;TEXT(IFERROR(INDEX(tblVeriB[Tutar],ROW()-ROW(tblVeriB[[#Headers]])),0),"0.00"))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IF($A91="","",TEXT(IFERROR(INDEX(tblVeriA[Tarih],ROW()-ROW(tblVeriA[[#Headers]])),""),"yyyymmdd")&amp;"|"&amp;TEXT(IFERROR(INDEX(tblVeriA[Toplam],ROW()-ROW(tblVeriA[[#Headers]])),0),"0.00"))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IF($I91="","",TEXT(IFERROR(INDEX(tblVeriB[BelgeTarihi],ROW()-ROW(tblVeriB[[#Headers]])),""),"yyyymmdd")&amp;"|"&amp;TEXT(IFERROR(INDEX(tblVeriB[Tutar],ROW()-ROW(tblVeriB[[#Headers]])),0),"0.00"))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IF($A92="","",TEXT(IFERROR(INDEX(tblVeriA[Tarih],ROW()-ROW(tblVeriA[[#Headers]])),""),"yyyymmdd")&amp;"|"&amp;TEXT(IFERROR(INDEX(tblVeriA[Toplam],ROW()-ROW(tblVeriA[[#Headers]])),0),"0.00"))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IF($I92="","",TEXT(IFERROR(INDEX(tblVeriB[BelgeTarihi],ROW()-ROW(tblVeriB[[#Headers]])),""),"yyyymmdd")&amp;"|"&amp;TEXT(IFERROR(INDEX(tblVeriB[Tutar],ROW()-ROW(tblVeriB[[#Headers]])),0),"0.00"))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IF($A93="","",TEXT(IFERROR(INDEX(tblVeriA[Tarih],ROW()-ROW(tblVeriA[[#Headers]])),""),"yyyymmdd")&amp;"|"&amp;TEXT(IFERROR(INDEX(tblVeriA[Toplam],ROW()-ROW(tblVeriA[[#Headers]])),0),"0.00"))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IF($I93="","",TEXT(IFERROR(INDEX(tblVeriB[BelgeTarihi],ROW()-ROW(tblVeriB[[#Headers]])),""),"yyyymmdd")&amp;"|"&amp;TEXT(IFERROR(INDEX(tblVeriB[Tutar],ROW()-ROW(tblVeriB[[#Headers]])),0),"0.00"))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IF($A94="","",TEXT(IFERROR(INDEX(tblVeriA[Tarih],ROW()-ROW(tblVeriA[[#Headers]])),""),"yyyymmdd")&amp;"|"&amp;TEXT(IFERROR(INDEX(tblVeriA[Toplam],ROW()-ROW(tblVeriA[[#Headers]])),0),"0.00"))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IF($I94="","",TEXT(IFERROR(INDEX(tblVeriB[BelgeTarihi],ROW()-ROW(tblVeriB[[#Headers]])),""),"yyyymmdd")&amp;"|"&amp;TEXT(IFERROR(INDEX(tblVeriB[Tutar],ROW()-ROW(tblVeriB[[#Headers]])),0),"0.00"))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IF($A95="","",TEXT(IFERROR(INDEX(tblVeriA[Tarih],ROW()-ROW(tblVeriA[[#Headers]])),""),"yyyymmdd")&amp;"|"&amp;TEXT(IFERROR(INDEX(tblVeriA[Toplam],ROW()-ROW(tblVeriA[[#Headers]])),0),"0.00"))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IF($I95="","",TEXT(IFERROR(INDEX(tblVeriB[BelgeTarihi],ROW()-ROW(tblVeriB[[#Headers]])),""),"yyyymmdd")&amp;"|"&amp;TEXT(IFERROR(INDEX(tblVeriB[Tutar],ROW()-ROW(tblVeriB[[#Headers]])),0),"0.00"))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IF($A96="","",TEXT(IFERROR(INDEX(tblVeriA[Tarih],ROW()-ROW(tblVeriA[[#Headers]])),""),"yyyymmdd")&amp;"|"&amp;TEXT(IFERROR(INDEX(tblVeriA[Toplam],ROW()-ROW(tblVeriA[[#Headers]])),0),"0.00"))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IF($I96="","",TEXT(IFERROR(INDEX(tblVeriB[BelgeTarihi],ROW()-ROW(tblVeriB[[#Headers]])),""),"yyyymmdd")&amp;"|"&amp;TEXT(IFERROR(INDEX(tblVeriB[Tutar],ROW()-ROW(tblVeriB[[#Headers]])),0),"0.00"))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IF($A97="","",TEXT(IFERROR(INDEX(tblVeriA[Tarih],ROW()-ROW(tblVeriA[[#Headers]])),""),"yyyymmdd")&amp;"|"&amp;TEXT(IFERROR(INDEX(tblVeriA[Toplam],ROW()-ROW(tblVeriA[[#Headers]])),0),"0.00"))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IF($I97="","",TEXT(IFERROR(INDEX(tblVeriB[BelgeTarihi],ROW()-ROW(tblVeriB[[#Headers]])),""),"yyyymmdd")&amp;"|"&amp;TEXT(IFERROR(INDEX(tblVeriB[Tutar],ROW()-ROW(tblVeriB[[#Headers]])),0),"0.00"))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IF($A98="","",TEXT(IFERROR(INDEX(tblVeriA[Tarih],ROW()-ROW(tblVeriA[[#Headers]])),""),"yyyymmdd")&amp;"|"&amp;TEXT(IFERROR(INDEX(tblVeriA[Toplam],ROW()-ROW(tblVeriA[[#Headers]])),0),"0.00"))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IF($I98="","",TEXT(IFERROR(INDEX(tblVeriB[BelgeTarihi],ROW()-ROW(tblVeriB[[#Headers]])),""),"yyyymmdd")&amp;"|"&amp;TEXT(IFERROR(INDEX(tblVeriB[Tutar],ROW()-ROW(tblVeriB[[#Headers]])),0),"0.00"))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IF($A99="","",TEXT(IFERROR(INDEX(tblVeriA[Tarih],ROW()-ROW(tblVeriA[[#Headers]])),""),"yyyymmdd")&amp;"|"&amp;TEXT(IFERROR(INDEX(tblVeriA[Toplam],ROW()-ROW(tblVeriA[[#Headers]])),0),"0.00"))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IF($I99="","",TEXT(IFERROR(INDEX(tblVeriB[BelgeTarihi],ROW()-ROW(tblVeriB[[#Headers]])),""),"yyyymmdd")&amp;"|"&amp;TEXT(IFERROR(INDEX(tblVeriB[Tutar],ROW()-ROW(tblVeriB[[#Headers]])),0),"0.00"))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IF($A100="","",TEXT(IFERROR(INDEX(tblVeriA[Tarih],ROW()-ROW(tblVeriA[[#Headers]])),""),"yyyymmdd")&amp;"|"&amp;TEXT(IFERROR(INDEX(tblVeriA[Toplam],ROW()-ROW(tblVeriA[[#Headers]])),0),"0.00"))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IF($I100="","",TEXT(IFERROR(INDEX(tblVeriB[BelgeTarihi],ROW()-ROW(tblVeriB[[#Headers]])),""),"yyyymmdd")&amp;"|"&amp;TEXT(IFERROR(INDEX(tblVeriB[Tutar],ROW()-ROW(tblVeriB[[#Headers]])),0),"0.00"))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IF($A101="","",TEXT(IFERROR(INDEX(tblVeriA[Tarih],ROW()-ROW(tblVeriA[[#Headers]])),""),"yyyymmdd")&amp;"|"&amp;TEXT(IFERROR(INDEX(tblVeriA[Toplam],ROW()-ROW(tblVeriA[[#Headers]])),0),"0.00"))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IF($I101="","",TEXT(IFERROR(INDEX(tblVeriB[BelgeTarihi],ROW()-ROW(tblVeriB[[#Headers]])),""),"yyyymmdd")&amp;"|"&amp;TEXT(IFERROR(INDEX(tblVeriB[Tutar],ROW()-ROW(tblVeriB[[#Headers]])),0),"0.00"))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IF($A102="","",TEXT(IFERROR(INDEX(tblVeriA[Tarih],ROW()-ROW(tblVeriA[[#Headers]])),""),"yyyymmdd")&amp;"|"&amp;TEXT(IFERROR(INDEX(tblVeriA[Toplam],ROW()-ROW(tblVeriA[[#Headers]])),0),"0.00"))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IF($I102="","",TEXT(IFERROR(INDEX(tblVeriB[BelgeTarihi],ROW()-ROW(tblVeriB[[#Headers]])),""),"yyyymmdd")&amp;"|"&amp;TEXT(IFERROR(INDEX(tblVeriB[Tutar],ROW()-ROW(tblVeriB[[#Headers]])),0),"0.00"))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IF($A103="","",TEXT(IFERROR(INDEX(tblVeriA[Tarih],ROW()-ROW(tblVeriA[[#Headers]])),""),"yyyymmdd")&amp;"|"&amp;TEXT(IFERROR(INDEX(tblVeriA[Toplam],ROW()-ROW(tblVeriA[[#Headers]])),0),"0.00"))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IF($I103="","",TEXT(IFERROR(INDEX(tblVeriB[BelgeTarihi],ROW()-ROW(tblVeriB[[#Headers]])),""),"yyyymmdd")&amp;"|"&amp;TEXT(IFERROR(INDEX(tblVeriB[Tutar],ROW()-ROW(tblVeriB[[#Headers]])),0),"0.00"))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IF($A104="","",TEXT(IFERROR(INDEX(tblVeriA[Tarih],ROW()-ROW(tblVeriA[[#Headers]])),""),"yyyymmdd")&amp;"|"&amp;TEXT(IFERROR(INDEX(tblVeriA[Toplam],ROW()-ROW(tblVeriA[[#Headers]])),0),"0.00"))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IF($I104="","",TEXT(IFERROR(INDEX(tblVeriB[BelgeTarihi],ROW()-ROW(tblVeriB[[#Headers]])),""),"yyyymmdd")&amp;"|"&amp;TEXT(IFERROR(INDEX(tblVeriB[Tutar],ROW()-ROW(tblVeriB[[#Headers]])),0),"0.00"))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IF($A105="","",TEXT(IFERROR(INDEX(tblVeriA[Tarih],ROW()-ROW(tblVeriA[[#Headers]])),""),"yyyymmdd")&amp;"|"&amp;TEXT(IFERROR(INDEX(tblVeriA[Toplam],ROW()-ROW(tblVeriA[[#Headers]])),0),"0.00"))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IF($I105="","",TEXT(IFERROR(INDEX(tblVeriB[BelgeTarihi],ROW()-ROW(tblVeriB[[#Headers]])),""),"yyyymmdd")&amp;"|"&amp;TEXT(IFERROR(INDEX(tblVeriB[Tutar],ROW()-ROW(tblVeriB[[#Headers]])),0),"0.00"))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IF($A106="","",TEXT(IFERROR(INDEX(tblVeriA[Tarih],ROW()-ROW(tblVeriA[[#Headers]])),""),"yyyymmdd")&amp;"|"&amp;TEXT(IFERROR(INDEX(tblVeriA[Toplam],ROW()-ROW(tblVeriA[[#Headers]])),0),"0.00"))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IF($I106="","",TEXT(IFERROR(INDEX(tblVeriB[BelgeTarihi],ROW()-ROW(tblVeriB[[#Headers]])),""),"yyyymmdd")&amp;"|"&amp;TEXT(IFERROR(INDEX(tblVeriB[Tutar],ROW()-ROW(tblVeriB[[#Headers]])),0),"0.00"))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IF($A107="","",TEXT(IFERROR(INDEX(tblVeriA[Tarih],ROW()-ROW(tblVeriA[[#Headers]])),""),"yyyymmdd")&amp;"|"&amp;TEXT(IFERROR(INDEX(tblVeriA[Toplam],ROW()-ROW(tblVeriA[[#Headers]])),0),"0.00"))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IF($I107="","",TEXT(IFERROR(INDEX(tblVeriB[BelgeTarihi],ROW()-ROW(tblVeriB[[#Headers]])),""),"yyyymmdd")&amp;"|"&amp;TEXT(IFERROR(INDEX(tblVeriB[Tutar],ROW()-ROW(tblVeriB[[#Headers]])),0),"0.00"))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IF($A108="","",TEXT(IFERROR(INDEX(tblVeriA[Tarih],ROW()-ROW(tblVeriA[[#Headers]])),""),"yyyymmdd")&amp;"|"&amp;TEXT(IFERROR(INDEX(tblVeriA[Toplam],ROW()-ROW(tblVeriA[[#Headers]])),0),"0.00"))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IF($I108="","",TEXT(IFERROR(INDEX(tblVeriB[BelgeTarihi],ROW()-ROW(tblVeriB[[#Headers]])),""),"yyyymmdd")&amp;"|"&amp;TEXT(IFERROR(INDEX(tblVeriB[Tutar],ROW()-ROW(tblVeriB[[#Headers]])),0),"0.00"))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IF($A109="","",TEXT(IFERROR(INDEX(tblVeriA[Tarih],ROW()-ROW(tblVeriA[[#Headers]])),""),"yyyymmdd")&amp;"|"&amp;TEXT(IFERROR(INDEX(tblVeriA[Toplam],ROW()-ROW(tblVeriA[[#Headers]])),0),"0.00"))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IF($I109="","",TEXT(IFERROR(INDEX(tblVeriB[BelgeTarihi],ROW()-ROW(tblVeriB[[#Headers]])),""),"yyyymmdd")&amp;"|"&amp;TEXT(IFERROR(INDEX(tblVeriB[Tutar],ROW()-ROW(tblVeriB[[#Headers]])),0),"0.00"))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IF($A110="","",TEXT(IFERROR(INDEX(tblVeriA[Tarih],ROW()-ROW(tblVeriA[[#Headers]])),""),"yyyymmdd")&amp;"|"&amp;TEXT(IFERROR(INDEX(tblVeriA[Toplam],ROW()-ROW(tblVeriA[[#Headers]])),0),"0.00"))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IF($I110="","",TEXT(IFERROR(INDEX(tblVeriB[BelgeTarihi],ROW()-ROW(tblVeriB[[#Headers]])),""),"yyyymmdd")&amp;"|"&amp;TEXT(IFERROR(INDEX(tblVeriB[Tutar],ROW()-ROW(tblVeriB[[#Headers]])),0),"0.00"))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IF($A111="","",TEXT(IFERROR(INDEX(tblVeriA[Tarih],ROW()-ROW(tblVeriA[[#Headers]])),""),"yyyymmdd")&amp;"|"&amp;TEXT(IFERROR(INDEX(tblVeriA[Toplam],ROW()-ROW(tblVeriA[[#Headers]])),0),"0.00"))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IF($I111="","",TEXT(IFERROR(INDEX(tblVeriB[BelgeTarihi],ROW()-ROW(tblVeriB[[#Headers]])),""),"yyyymmdd")&amp;"|"&amp;TEXT(IFERROR(INDEX(tblVeriB[Tutar],ROW()-ROW(tblVeriB[[#Headers]])),0),"0.00"))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IF($A112="","",TEXT(IFERROR(INDEX(tblVeriA[Tarih],ROW()-ROW(tblVeriA[[#Headers]])),""),"yyyymmdd")&amp;"|"&amp;TEXT(IFERROR(INDEX(tblVeriA[Toplam],ROW()-ROW(tblVeriA[[#Headers]])),0),"0.00"))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IF($I112="","",TEXT(IFERROR(INDEX(tblVeriB[BelgeTarihi],ROW()-ROW(tblVeriB[[#Headers]])),""),"yyyymmdd")&amp;"|"&amp;TEXT(IFERROR(INDEX(tblVeriB[Tutar],ROW()-ROW(tblVeriB[[#Headers]])),0),"0.00"))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IF($A113="","",TEXT(IFERROR(INDEX(tblVeriA[Tarih],ROW()-ROW(tblVeriA[[#Headers]])),""),"yyyymmdd")&amp;"|"&amp;TEXT(IFERROR(INDEX(tblVeriA[Toplam],ROW()-ROW(tblVeriA[[#Headers]])),0),"0.00"))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IF($I113="","",TEXT(IFERROR(INDEX(tblVeriB[BelgeTarihi],ROW()-ROW(tblVeriB[[#Headers]])),""),"yyyymmdd")&amp;"|"&amp;TEXT(IFERROR(INDEX(tblVeriB[Tutar],ROW()-ROW(tblVeriB[[#Headers]])),0),"0.00"))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IF($A114="","",TEXT(IFERROR(INDEX(tblVeriA[Tarih],ROW()-ROW(tblVeriA[[#Headers]])),""),"yyyymmdd")&amp;"|"&amp;TEXT(IFERROR(INDEX(tblVeriA[Toplam],ROW()-ROW(tblVeriA[[#Headers]])),0),"0.00"))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IF($I114="","",TEXT(IFERROR(INDEX(tblVeriB[BelgeTarihi],ROW()-ROW(tblVeriB[[#Headers]])),""),"yyyymmdd")&amp;"|"&amp;TEXT(IFERROR(INDEX(tblVeriB[Tutar],ROW()-ROW(tblVeriB[[#Headers]])),0),"0.00"))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IF($A115="","",TEXT(IFERROR(INDEX(tblVeriA[Tarih],ROW()-ROW(tblVeriA[[#Headers]])),""),"yyyymmdd")&amp;"|"&amp;TEXT(IFERROR(INDEX(tblVeriA[Toplam],ROW()-ROW(tblVeriA[[#Headers]])),0),"0.00"))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IF($I115="","",TEXT(IFERROR(INDEX(tblVeriB[BelgeTarihi],ROW()-ROW(tblVeriB[[#Headers]])),""),"yyyymmdd")&amp;"|"&amp;TEXT(IFERROR(INDEX(tblVeriB[Tutar],ROW()-ROW(tblVeriB[[#Headers]])),0),"0.00"))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IF($A116="","",TEXT(IFERROR(INDEX(tblVeriA[Tarih],ROW()-ROW(tblVeriA[[#Headers]])),""),"yyyymmdd")&amp;"|"&amp;TEXT(IFERROR(INDEX(tblVeriA[Toplam],ROW()-ROW(tblVeriA[[#Headers]])),0),"0.00"))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IF($I116="","",TEXT(IFERROR(INDEX(tblVeriB[BelgeTarihi],ROW()-ROW(tblVeriB[[#Headers]])),""),"yyyymmdd")&amp;"|"&amp;TEXT(IFERROR(INDEX(tblVeriB[Tutar],ROW()-ROW(tblVeriB[[#Headers]])),0),"0.00"))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IF($A117="","",TEXT(IFERROR(INDEX(tblVeriA[Tarih],ROW()-ROW(tblVeriA[[#Headers]])),""),"yyyymmdd")&amp;"|"&amp;TEXT(IFERROR(INDEX(tblVeriA[Toplam],ROW()-ROW(tblVeriA[[#Headers]])),0),"0.00"))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IF($I117="","",TEXT(IFERROR(INDEX(tblVeriB[BelgeTarihi],ROW()-ROW(tblVeriB[[#Headers]])),""),"yyyymmdd")&amp;"|"&amp;TEXT(IFERROR(INDEX(tblVeriB[Tutar],ROW()-ROW(tblVeriB[[#Headers]])),0),"0.00"))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IF($A118="","",TEXT(IFERROR(INDEX(tblVeriA[Tarih],ROW()-ROW(tblVeriA[[#Headers]])),""),"yyyymmdd")&amp;"|"&amp;TEXT(IFERROR(INDEX(tblVeriA[Toplam],ROW()-ROW(tblVeriA[[#Headers]])),0),"0.00"))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IF($I118="","",TEXT(IFERROR(INDEX(tblVeriB[BelgeTarihi],ROW()-ROW(tblVeriB[[#Headers]])),""),"yyyymmdd")&amp;"|"&amp;TEXT(IFERROR(INDEX(tblVeriB[Tutar],ROW()-ROW(tblVeriB[[#Headers]])),0),"0.00"))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IF($A119="","",TEXT(IFERROR(INDEX(tblVeriA[Tarih],ROW()-ROW(tblVeriA[[#Headers]])),""),"yyyymmdd")&amp;"|"&amp;TEXT(IFERROR(INDEX(tblVeriA[Toplam],ROW()-ROW(tblVeriA[[#Headers]])),0),"0.00"))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IF($I119="","",TEXT(IFERROR(INDEX(tblVeriB[BelgeTarihi],ROW()-ROW(tblVeriB[[#Headers]])),""),"yyyymmdd")&amp;"|"&amp;TEXT(IFERROR(INDEX(tblVeriB[Tutar],ROW()-ROW(tblVeriB[[#Headers]])),0),"0.00"))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IF($A120="","",TEXT(IFERROR(INDEX(tblVeriA[Tarih],ROW()-ROW(tblVeriA[[#Headers]])),""),"yyyymmdd")&amp;"|"&amp;TEXT(IFERROR(INDEX(tblVeriA[Toplam],ROW()-ROW(tblVeriA[[#Headers]])),0),"0.00"))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IF($I120="","",TEXT(IFERROR(INDEX(tblVeriB[BelgeTarihi],ROW()-ROW(tblVeriB[[#Headers]])),""),"yyyymmdd")&amp;"|"&amp;TEXT(IFERROR(INDEX(tblVeriB[Tutar],ROW()-ROW(tblVeriB[[#Headers]])),0),"0.00"))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IF($A121="","",TEXT(IFERROR(INDEX(tblVeriA[Tarih],ROW()-ROW(tblVeriA[[#Headers]])),""),"yyyymmdd")&amp;"|"&amp;TEXT(IFERROR(INDEX(tblVeriA[Toplam],ROW()-ROW(tblVeriA[[#Headers]])),0),"0.00"))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IF($I121="","",TEXT(IFERROR(INDEX(tblVeriB[BelgeTarihi],ROW()-ROW(tblVeriB[[#Headers]])),""),"yyyymmdd")&amp;"|"&amp;TEXT(IFERROR(INDEX(tblVeriB[Tutar],ROW()-ROW(tblVeriB[[#Headers]])),0),"0.00"))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IF($A122="","",TEXT(IFERROR(INDEX(tblVeriA[Tarih],ROW()-ROW(tblVeriA[[#Headers]])),""),"yyyymmdd")&amp;"|"&amp;TEXT(IFERROR(INDEX(tblVeriA[Toplam],ROW()-ROW(tblVeriA[[#Headers]])),0),"0.00"))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IF($I122="","",TEXT(IFERROR(INDEX(tblVeriB[BelgeTarihi],ROW()-ROW(tblVeriB[[#Headers]])),""),"yyyymmdd")&amp;"|"&amp;TEXT(IFERROR(INDEX(tblVeriB[Tutar],ROW()-ROW(tblVeriB[[#Headers]])),0),"0.00"))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IF($A123="","",TEXT(IFERROR(INDEX(tblVeriA[Tarih],ROW()-ROW(tblVeriA[[#Headers]])),""),"yyyymmdd")&amp;"|"&amp;TEXT(IFERROR(INDEX(tblVeriA[Toplam],ROW()-ROW(tblVeriA[[#Headers]])),0),"0.00"))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IF($I123="","",TEXT(IFERROR(INDEX(tblVeriB[BelgeTarihi],ROW()-ROW(tblVeriB[[#Headers]])),""),"yyyymmdd")&amp;"|"&amp;TEXT(IFERROR(INDEX(tblVeriB[Tutar],ROW()-ROW(tblVeriB[[#Headers]])),0),"0.00"))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IF($A124="","",TEXT(IFERROR(INDEX(tblVeriA[Tarih],ROW()-ROW(tblVeriA[[#Headers]])),""),"yyyymmdd")&amp;"|"&amp;TEXT(IFERROR(INDEX(tblVeriA[Toplam],ROW()-ROW(tblVeriA[[#Headers]])),0),"0.00"))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IF($I124="","",TEXT(IFERROR(INDEX(tblVeriB[BelgeTarihi],ROW()-ROW(tblVeriB[[#Headers]])),""),"yyyymmdd")&amp;"|"&amp;TEXT(IFERROR(INDEX(tblVeriB[Tutar],ROW()-ROW(tblVeriB[[#Headers]])),0),"0.00"))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IF($A125="","",TEXT(IFERROR(INDEX(tblVeriA[Tarih],ROW()-ROW(tblVeriA[[#Headers]])),""),"yyyymmdd")&amp;"|"&amp;TEXT(IFERROR(INDEX(tblVeriA[Toplam],ROW()-ROW(tblVeriA[[#Headers]])),0),"0.00"))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IF($I125="","",TEXT(IFERROR(INDEX(tblVeriB[BelgeTarihi],ROW()-ROW(tblVeriB[[#Headers]])),""),"yyyymmdd")&amp;"|"&amp;TEXT(IFERROR(INDEX(tblVeriB[Tutar],ROW()-ROW(tblVeriB[[#Headers]])),0),"0.00"))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IF($A126="","",TEXT(IFERROR(INDEX(tblVeriA[Tarih],ROW()-ROW(tblVeriA[[#Headers]])),""),"yyyymmdd")&amp;"|"&amp;TEXT(IFERROR(INDEX(tblVeriA[Toplam],ROW()-ROW(tblVeriA[[#Headers]])),0),"0.00"))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IF($I126="","",TEXT(IFERROR(INDEX(tblVeriB[BelgeTarihi],ROW()-ROW(tblVeriB[[#Headers]])),""),"yyyymmdd")&amp;"|"&amp;TEXT(IFERROR(INDEX(tblVeriB[Tutar],ROW()-ROW(tblVeriB[[#Headers]])),0),"0.00"))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IF($A127="","",TEXT(IFERROR(INDEX(tblVeriA[Tarih],ROW()-ROW(tblVeriA[[#Headers]])),""),"yyyymmdd")&amp;"|"&amp;TEXT(IFERROR(INDEX(tblVeriA[Toplam],ROW()-ROW(tblVeriA[[#Headers]])),0),"0.00"))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IF($I127="","",TEXT(IFERROR(INDEX(tblVeriB[BelgeTarihi],ROW()-ROW(tblVeriB[[#Headers]])),""),"yyyymmdd")&amp;"|"&amp;TEXT(IFERROR(INDEX(tblVeriB[Tutar],ROW()-ROW(tblVeriB[[#Headers]])),0),"0.00"))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IF($A128="","",TEXT(IFERROR(INDEX(tblVeriA[Tarih],ROW()-ROW(tblVeriA[[#Headers]])),""),"yyyymmdd")&amp;"|"&amp;TEXT(IFERROR(INDEX(tblVeriA[Toplam],ROW()-ROW(tblVeriA[[#Headers]])),0),"0.00"))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IF($I128="","",TEXT(IFERROR(INDEX(tblVeriB[BelgeTarihi],ROW()-ROW(tblVeriB[[#Headers]])),""),"yyyymmdd")&amp;"|"&amp;TEXT(IFERROR(INDEX(tblVeriB[Tutar],ROW()-ROW(tblVeriB[[#Headers]])),0),"0.00"))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IF($A129="","",TEXT(IFERROR(INDEX(tblVeriA[Tarih],ROW()-ROW(tblVeriA[[#Headers]])),""),"yyyymmdd")&amp;"|"&amp;TEXT(IFERROR(INDEX(tblVeriA[Toplam],ROW()-ROW(tblVeriA[[#Headers]])),0),"0.00"))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IF($I129="","",TEXT(IFERROR(INDEX(tblVeriB[BelgeTarihi],ROW()-ROW(tblVeriB[[#Headers]])),""),"yyyymmdd")&amp;"|"&amp;TEXT(IFERROR(INDEX(tblVeriB[Tutar],ROW()-ROW(tblVeriB[[#Headers]])),0),"0.00"))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IF($A130="","",TEXT(IFERROR(INDEX(tblVeriA[Tarih],ROW()-ROW(tblVeriA[[#Headers]])),""),"yyyymmdd")&amp;"|"&amp;TEXT(IFERROR(INDEX(tblVeriA[Toplam],ROW()-ROW(tblVeriA[[#Headers]])),0),"0.00"))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IF($I130="","",TEXT(IFERROR(INDEX(tblVeriB[BelgeTarihi],ROW()-ROW(tblVeriB[[#Headers]])),""),"yyyymmdd")&amp;"|"&amp;TEXT(IFERROR(INDEX(tblVeriB[Tutar],ROW()-ROW(tblVeriB[[#Headers]])),0),"0.00"))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IF($A131="","",TEXT(IFERROR(INDEX(tblVeriA[Tarih],ROW()-ROW(tblVeriA[[#Headers]])),""),"yyyymmdd")&amp;"|"&amp;TEXT(IFERROR(INDEX(tblVeriA[Toplam],ROW()-ROW(tblVeriA[[#Headers]])),0),"0.00"))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IF($I131="","",TEXT(IFERROR(INDEX(tblVeriB[BelgeTarihi],ROW()-ROW(tblVeriB[[#Headers]])),""),"yyyymmdd")&amp;"|"&amp;TEXT(IFERROR(INDEX(tblVeriB[Tutar],ROW()-ROW(tblVeriB[[#Headers]])),0),"0.00"))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IF($A132="","",TEXT(IFERROR(INDEX(tblVeriA[Tarih],ROW()-ROW(tblVeriA[[#Headers]])),""),"yyyymmdd")&amp;"|"&amp;TEXT(IFERROR(INDEX(tblVeriA[Toplam],ROW()-ROW(tblVeriA[[#Headers]])),0),"0.00"))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IF($I132="","",TEXT(IFERROR(INDEX(tblVeriB[BelgeTarihi],ROW()-ROW(tblVeriB[[#Headers]])),""),"yyyymmdd")&amp;"|"&amp;TEXT(IFERROR(INDEX(tblVeriB[Tutar],ROW()-ROW(tblVeriB[[#Headers]])),0),"0.00"))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IF($A133="","",TEXT(IFERROR(INDEX(tblVeriA[Tarih],ROW()-ROW(tblVeriA[[#Headers]])),""),"yyyymmdd")&amp;"|"&amp;TEXT(IFERROR(INDEX(tblVeriA[Toplam],ROW()-ROW(tblVeriA[[#Headers]])),0),"0.00"))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IF($I133="","",TEXT(IFERROR(INDEX(tblVeriB[BelgeTarihi],ROW()-ROW(tblVeriB[[#Headers]])),""),"yyyymmdd")&amp;"|"&amp;TEXT(IFERROR(INDEX(tblVeriB[Tutar],ROW()-ROW(tblVeriB[[#Headers]])),0),"0.00"))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IF($A134="","",TEXT(IFERROR(INDEX(tblVeriA[Tarih],ROW()-ROW(tblVeriA[[#Headers]])),""),"yyyymmdd")&amp;"|"&amp;TEXT(IFERROR(INDEX(tblVeriA[Toplam],ROW()-ROW(tblVeriA[[#Headers]])),0),"0.00"))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IF($I134="","",TEXT(IFERROR(INDEX(tblVeriB[BelgeTarihi],ROW()-ROW(tblVeriB[[#Headers]])),""),"yyyymmdd")&amp;"|"&amp;TEXT(IFERROR(INDEX(tblVeriB[Tutar],ROW()-ROW(tblVeriB[[#Headers]])),0),"0.00"))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IF($A135="","",TEXT(IFERROR(INDEX(tblVeriA[Tarih],ROW()-ROW(tblVeriA[[#Headers]])),""),"yyyymmdd")&amp;"|"&amp;TEXT(IFERROR(INDEX(tblVeriA[Toplam],ROW()-ROW(tblVeriA[[#Headers]])),0),"0.00"))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IF($I135="","",TEXT(IFERROR(INDEX(tblVeriB[BelgeTarihi],ROW()-ROW(tblVeriB[[#Headers]])),""),"yyyymmdd")&amp;"|"&amp;TEXT(IFERROR(INDEX(tblVeriB[Tutar],ROW()-ROW(tblVeriB[[#Headers]])),0),"0.00"))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IF($A136="","",TEXT(IFERROR(INDEX(tblVeriA[Tarih],ROW()-ROW(tblVeriA[[#Headers]])),""),"yyyymmdd")&amp;"|"&amp;TEXT(IFERROR(INDEX(tblVeriA[Toplam],ROW()-ROW(tblVeriA[[#Headers]])),0),"0.00"))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IF($I136="","",TEXT(IFERROR(INDEX(tblVeriB[BelgeTarihi],ROW()-ROW(tblVeriB[[#Headers]])),""),"yyyymmdd")&amp;"|"&amp;TEXT(IFERROR(INDEX(tblVeriB[Tutar],ROW()-ROW(tblVeriB[[#Headers]])),0),"0.00"))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IF($A137="","",TEXT(IFERROR(INDEX(tblVeriA[Tarih],ROW()-ROW(tblVeriA[[#Headers]])),""),"yyyymmdd")&amp;"|"&amp;TEXT(IFERROR(INDEX(tblVeriA[Toplam],ROW()-ROW(tblVeriA[[#Headers]])),0),"0.00"))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IF($I137="","",TEXT(IFERROR(INDEX(tblVeriB[BelgeTarihi],ROW()-ROW(tblVeriB[[#Headers]])),""),"yyyymmdd")&amp;"|"&amp;TEXT(IFERROR(INDEX(tblVeriB[Tutar],ROW()-ROW(tblVeriB[[#Headers]])),0),"0.00"))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IF($A138="","",TEXT(IFERROR(INDEX(tblVeriA[Tarih],ROW()-ROW(tblVeriA[[#Headers]])),""),"yyyymmdd")&amp;"|"&amp;TEXT(IFERROR(INDEX(tblVeriA[Toplam],ROW()-ROW(tblVeriA[[#Headers]])),0),"0.00"))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IF($I138="","",TEXT(IFERROR(INDEX(tblVeriB[BelgeTarihi],ROW()-ROW(tblVeriB[[#Headers]])),""),"yyyymmdd")&amp;"|"&amp;TEXT(IFERROR(INDEX(tblVeriB[Tutar],ROW()-ROW(tblVeriB[[#Headers]])),0),"0.00"))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IF($A139="","",TEXT(IFERROR(INDEX(tblVeriA[Tarih],ROW()-ROW(tblVeriA[[#Headers]])),""),"yyyymmdd")&amp;"|"&amp;TEXT(IFERROR(INDEX(tblVeriA[Toplam],ROW()-ROW(tblVeriA[[#Headers]])),0),"0.00"))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IF($I139="","",TEXT(IFERROR(INDEX(tblVeriB[BelgeTarihi],ROW()-ROW(tblVeriB[[#Headers]])),""),"yyyymmdd")&amp;"|"&amp;TEXT(IFERROR(INDEX(tblVeriB[Tutar],ROW()-ROW(tblVeriB[[#Headers]])),0),"0.00"))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IF($A140="","",TEXT(IFERROR(INDEX(tblVeriA[Tarih],ROW()-ROW(tblVeriA[[#Headers]])),""),"yyyymmdd")&amp;"|"&amp;TEXT(IFERROR(INDEX(tblVeriA[Toplam],ROW()-ROW(tblVeriA[[#Headers]])),0),"0.00"))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IF($I140="","",TEXT(IFERROR(INDEX(tblVeriB[BelgeTarihi],ROW()-ROW(tblVeriB[[#Headers]])),""),"yyyymmdd")&amp;"|"&amp;TEXT(IFERROR(INDEX(tblVeriB[Tutar],ROW()-ROW(tblVeriB[[#Headers]])),0),"0.00"))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IF($A141="","",TEXT(IFERROR(INDEX(tblVeriA[Tarih],ROW()-ROW(tblVeriA[[#Headers]])),""),"yyyymmdd")&amp;"|"&amp;TEXT(IFERROR(INDEX(tblVeriA[Toplam],ROW()-ROW(tblVeriA[[#Headers]])),0),"0.00"))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IF($I141="","",TEXT(IFERROR(INDEX(tblVeriB[BelgeTarihi],ROW()-ROW(tblVeriB[[#Headers]])),""),"yyyymmdd")&amp;"|"&amp;TEXT(IFERROR(INDEX(tblVeriB[Tutar],ROW()-ROW(tblVeriB[[#Headers]])),0),"0.00"))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IF($A142="","",TEXT(IFERROR(INDEX(tblVeriA[Tarih],ROW()-ROW(tblVeriA[[#Headers]])),""),"yyyymmdd")&amp;"|"&amp;TEXT(IFERROR(INDEX(tblVeriA[Toplam],ROW()-ROW(tblVeriA[[#Headers]])),0),"0.00"))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IF($I142="","",TEXT(IFERROR(INDEX(tblVeriB[BelgeTarihi],ROW()-ROW(tblVeriB[[#Headers]])),""),"yyyymmdd")&amp;"|"&amp;TEXT(IFERROR(INDEX(tblVeriB[Tutar],ROW()-ROW(tblVeriB[[#Headers]])),0),"0.00"))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IF($A143="","",TEXT(IFERROR(INDEX(tblVeriA[Tarih],ROW()-ROW(tblVeriA[[#Headers]])),""),"yyyymmdd")&amp;"|"&amp;TEXT(IFERROR(INDEX(tblVeriA[Toplam],ROW()-ROW(tblVeriA[[#Headers]])),0),"0.00"))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IF($I143="","",TEXT(IFERROR(INDEX(tblVeriB[BelgeTarihi],ROW()-ROW(tblVeriB[[#Headers]])),""),"yyyymmdd")&amp;"|"&amp;TEXT(IFERROR(INDEX(tblVeriB[Tutar],ROW()-ROW(tblVeriB[[#Headers]])),0),"0.00"))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IF($A144="","",TEXT(IFERROR(INDEX(tblVeriA[Tarih],ROW()-ROW(tblVeriA[[#Headers]])),""),"yyyymmdd")&amp;"|"&amp;TEXT(IFERROR(INDEX(tblVeriA[Toplam],ROW()-ROW(tblVeriA[[#Headers]])),0),"0.00"))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IF($I144="","",TEXT(IFERROR(INDEX(tblVeriB[BelgeTarihi],ROW()-ROW(tblVeriB[[#Headers]])),""),"yyyymmdd")&amp;"|"&amp;TEXT(IFERROR(INDEX(tblVeriB[Tutar],ROW()-ROW(tblVeriB[[#Headers]])),0),"0.00"))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IF($A145="","",TEXT(IFERROR(INDEX(tblVeriA[Tarih],ROW()-ROW(tblVeriA[[#Headers]])),""),"yyyymmdd")&amp;"|"&amp;TEXT(IFERROR(INDEX(tblVeriA[Toplam],ROW()-ROW(tblVeriA[[#Headers]])),0),"0.00"))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IF($I145="","",TEXT(IFERROR(INDEX(tblVeriB[BelgeTarihi],ROW()-ROW(tblVeriB[[#Headers]])),""),"yyyymmdd")&amp;"|"&amp;TEXT(IFERROR(INDEX(tblVeriB[Tutar],ROW()-ROW(tblVeriB[[#Headers]])),0),"0.00"))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IF($A146="","",TEXT(IFERROR(INDEX(tblVeriA[Tarih],ROW()-ROW(tblVeriA[[#Headers]])),""),"yyyymmdd")&amp;"|"&amp;TEXT(IFERROR(INDEX(tblVeriA[Toplam],ROW()-ROW(tblVeriA[[#Headers]])),0),"0.00"))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IF($I146="","",TEXT(IFERROR(INDEX(tblVeriB[BelgeTarihi],ROW()-ROW(tblVeriB[[#Headers]])),""),"yyyymmdd")&amp;"|"&amp;TEXT(IFERROR(INDEX(tblVeriB[Tutar],ROW()-ROW(tblVeriB[[#Headers]])),0),"0.00"))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IF($A147="","",TEXT(IFERROR(INDEX(tblVeriA[Tarih],ROW()-ROW(tblVeriA[[#Headers]])),""),"yyyymmdd")&amp;"|"&amp;TEXT(IFERROR(INDEX(tblVeriA[Toplam],ROW()-ROW(tblVeriA[[#Headers]])),0),"0.00"))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IF($I147="","",TEXT(IFERROR(INDEX(tblVeriB[BelgeTarihi],ROW()-ROW(tblVeriB[[#Headers]])),""),"yyyymmdd")&amp;"|"&amp;TEXT(IFERROR(INDEX(tblVeriB[Tutar],ROW()-ROW(tblVeriB[[#Headers]])),0),"0.00"))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IF($A148="","",TEXT(IFERROR(INDEX(tblVeriA[Tarih],ROW()-ROW(tblVeriA[[#Headers]])),""),"yyyymmdd")&amp;"|"&amp;TEXT(IFERROR(INDEX(tblVeriA[Toplam],ROW()-ROW(tblVeriA[[#Headers]])),0),"0.00"))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IF($I148="","",TEXT(IFERROR(INDEX(tblVeriB[BelgeTarihi],ROW()-ROW(tblVeriB[[#Headers]])),""),"yyyymmdd")&amp;"|"&amp;TEXT(IFERROR(INDEX(tblVeriB[Tutar],ROW()-ROW(tblVeriB[[#Headers]])),0),"0.00"))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IF($A149="","",TEXT(IFERROR(INDEX(tblVeriA[Tarih],ROW()-ROW(tblVeriA[[#Headers]])),""),"yyyymmdd")&amp;"|"&amp;TEXT(IFERROR(INDEX(tblVeriA[Toplam],ROW()-ROW(tblVeriA[[#Headers]])),0),"0.00"))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IF($I149="","",TEXT(IFERROR(INDEX(tblVeriB[BelgeTarihi],ROW()-ROW(tblVeriB[[#Headers]])),""),"yyyymmdd")&amp;"|"&amp;TEXT(IFERROR(INDEX(tblVeriB[Tutar],ROW()-ROW(tblVeriB[[#Headers]])),0),"0.00"))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IF($A150="","",TEXT(IFERROR(INDEX(tblVeriA[Tarih],ROW()-ROW(tblVeriA[[#Headers]])),""),"yyyymmdd")&amp;"|"&amp;TEXT(IFERROR(INDEX(tblVeriA[Toplam],ROW()-ROW(tblVeriA[[#Headers]])),0),"0.00"))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IF($I150="","",TEXT(IFERROR(INDEX(tblVeriB[BelgeTarihi],ROW()-ROW(tblVeriB[[#Headers]])),""),"yyyymmdd")&amp;"|"&amp;TEXT(IFERROR(INDEX(tblVeriB[Tutar],ROW()-ROW(tblVeriB[[#Headers]])),0),"0.00"))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IF($A151="","",TEXT(IFERROR(INDEX(tblVeriA[Tarih],ROW()-ROW(tblVeriA[[#Headers]])),""),"yyyymmdd")&amp;"|"&amp;TEXT(IFERROR(INDEX(tblVeriA[Toplam],ROW()-ROW(tblVeriA[[#Headers]])),0),"0.00"))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IF($I151="","",TEXT(IFERROR(INDEX(tblVeriB[BelgeTarihi],ROW()-ROW(tblVeriB[[#Headers]])),""),"yyyymmdd")&amp;"|"&amp;TEXT(IFERROR(INDEX(tblVeriB[Tutar],ROW()-ROW(tblVeriB[[#Headers]])),0),"0.00"))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IF($A152="","",TEXT(IFERROR(INDEX(tblVeriA[Tarih],ROW()-ROW(tblVeriA[[#Headers]])),""),"yyyymmdd")&amp;"|"&amp;TEXT(IFERROR(INDEX(tblVeriA[Toplam],ROW()-ROW(tblVeriA[[#Headers]])),0),"0.00"))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IF($I152="","",TEXT(IFERROR(INDEX(tblVeriB[BelgeTarihi],ROW()-ROW(tblVeriB[[#Headers]])),""),"yyyymmdd")&amp;"|"&amp;TEXT(IFERROR(INDEX(tblVeriB[Tutar],ROW()-ROW(tblVeriB[[#Headers]])),0),"0.00"))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IF($A153="","",TEXT(IFERROR(INDEX(tblVeriA[Tarih],ROW()-ROW(tblVeriA[[#Headers]])),""),"yyyymmdd")&amp;"|"&amp;TEXT(IFERROR(INDEX(tblVeriA[Toplam],ROW()-ROW(tblVeriA[[#Headers]])),0),"0.00"))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IF($I153="","",TEXT(IFERROR(INDEX(tblVeriB[BelgeTarihi],ROW()-ROW(tblVeriB[[#Headers]])),""),"yyyymmdd")&amp;"|"&amp;TEXT(IFERROR(INDEX(tblVeriB[Tutar],ROW()-ROW(tblVeriB[[#Headers]])),0),"0.00"))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IF($A154="","",TEXT(IFERROR(INDEX(tblVeriA[Tarih],ROW()-ROW(tblVeriA[[#Headers]])),""),"yyyymmdd")&amp;"|"&amp;TEXT(IFERROR(INDEX(tblVeriA[Toplam],ROW()-ROW(tblVeriA[[#Headers]])),0),"0.00"))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IF($I154="","",TEXT(IFERROR(INDEX(tblVeriB[BelgeTarihi],ROW()-ROW(tblVeriB[[#Headers]])),""),"yyyymmdd")&amp;"|"&amp;TEXT(IFERROR(INDEX(tblVeriB[Tutar],ROW()-ROW(tblVeriB[[#Headers]])),0),"0.00"))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IF($A155="","",TEXT(IFERROR(INDEX(tblVeriA[Tarih],ROW()-ROW(tblVeriA[[#Headers]])),""),"yyyymmdd")&amp;"|"&amp;TEXT(IFERROR(INDEX(tblVeriA[Toplam],ROW()-ROW(tblVeriA[[#Headers]])),0),"0.00"))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IF($I155="","",TEXT(IFERROR(INDEX(tblVeriB[BelgeTarihi],ROW()-ROW(tblVeriB[[#Headers]])),""),"yyyymmdd")&amp;"|"&amp;TEXT(IFERROR(INDEX(tblVeriB[Tutar],ROW()-ROW(tblVeriB[[#Headers]])),0),"0.00"))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IF($A156="","",TEXT(IFERROR(INDEX(tblVeriA[Tarih],ROW()-ROW(tblVeriA[[#Headers]])),""),"yyyymmdd")&amp;"|"&amp;TEXT(IFERROR(INDEX(tblVeriA[Toplam],ROW()-ROW(tblVeriA[[#Headers]])),0),"0.00"))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IF($I156="","",TEXT(IFERROR(INDEX(tblVeriB[BelgeTarihi],ROW()-ROW(tblVeriB[[#Headers]])),""),"yyyymmdd")&amp;"|"&amp;TEXT(IFERROR(INDEX(tblVeriB[Tutar],ROW()-ROW(tblVeriB[[#Headers]])),0),"0.00"))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IF($A157="","",TEXT(IFERROR(INDEX(tblVeriA[Tarih],ROW()-ROW(tblVeriA[[#Headers]])),""),"yyyymmdd")&amp;"|"&amp;TEXT(IFERROR(INDEX(tblVeriA[Toplam],ROW()-ROW(tblVeriA[[#Headers]])),0),"0.00"))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IF($I157="","",TEXT(IFERROR(INDEX(tblVeriB[BelgeTarihi],ROW()-ROW(tblVeriB[[#Headers]])),""),"yyyymmdd")&amp;"|"&amp;TEXT(IFERROR(INDEX(tblVeriB[Tutar],ROW()-ROW(tblVeriB[[#Headers]])),0),"0.00"))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IF($A158="","",TEXT(IFERROR(INDEX(tblVeriA[Tarih],ROW()-ROW(tblVeriA[[#Headers]])),""),"yyyymmdd")&amp;"|"&amp;TEXT(IFERROR(INDEX(tblVeriA[Toplam],ROW()-ROW(tblVeriA[[#Headers]])),0),"0.00"))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IF($I158="","",TEXT(IFERROR(INDEX(tblVeriB[BelgeTarihi],ROW()-ROW(tblVeriB[[#Headers]])),""),"yyyymmdd")&amp;"|"&amp;TEXT(IFERROR(INDEX(tblVeriB[Tutar],ROW()-ROW(tblVeriB[[#Headers]])),0),"0.00"))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IF($A159="","",TEXT(IFERROR(INDEX(tblVeriA[Tarih],ROW()-ROW(tblVeriA[[#Headers]])),""),"yyyymmdd")&amp;"|"&amp;TEXT(IFERROR(INDEX(tblVeriA[Toplam],ROW()-ROW(tblVeriA[[#Headers]])),0),"0.00"))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IF($I159="","",TEXT(IFERROR(INDEX(tblVeriB[BelgeTarihi],ROW()-ROW(tblVeriB[[#Headers]])),""),"yyyymmdd")&amp;"|"&amp;TEXT(IFERROR(INDEX(tblVeriB[Tutar],ROW()-ROW(tblVeriB[[#Headers]])),0),"0.00"))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IF($A160="","",TEXT(IFERROR(INDEX(tblVeriA[Tarih],ROW()-ROW(tblVeriA[[#Headers]])),""),"yyyymmdd")&amp;"|"&amp;TEXT(IFERROR(INDEX(tblVeriA[Toplam],ROW()-ROW(tblVeriA[[#Headers]])),0),"0.00"))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IF($I160="","",TEXT(IFERROR(INDEX(tblVeriB[BelgeTarihi],ROW()-ROW(tblVeriB[[#Headers]])),""),"yyyymmdd")&amp;"|"&amp;TEXT(IFERROR(INDEX(tblVeriB[Tutar],ROW()-ROW(tblVeriB[[#Headers]])),0),"0.00"))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IF($A161="","",TEXT(IFERROR(INDEX(tblVeriA[Tarih],ROW()-ROW(tblVeriA[[#Headers]])),""),"yyyymmdd")&amp;"|"&amp;TEXT(IFERROR(INDEX(tblVeriA[Toplam],ROW()-ROW(tblVeriA[[#Headers]])),0),"0.00"))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IF($I161="","",TEXT(IFERROR(INDEX(tblVeriB[BelgeTarihi],ROW()-ROW(tblVeriB[[#Headers]])),""),"yyyymmdd")&amp;"|"&amp;TEXT(IFERROR(INDEX(tblVeriB[Tutar],ROW()-ROW(tblVeriB[[#Headers]])),0),"0.00"))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IF($A162="","",TEXT(IFERROR(INDEX(tblVeriA[Tarih],ROW()-ROW(tblVeriA[[#Headers]])),""),"yyyymmdd")&amp;"|"&amp;TEXT(IFERROR(INDEX(tblVeriA[Toplam],ROW()-ROW(tblVeriA[[#Headers]])),0),"0.00"))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IF($I162="","",TEXT(IFERROR(INDEX(tblVeriB[BelgeTarihi],ROW()-ROW(tblVeriB[[#Headers]])),""),"yyyymmdd")&amp;"|"&amp;TEXT(IFERROR(INDEX(tblVeriB[Tutar],ROW()-ROW(tblVeriB[[#Headers]])),0),"0.00"))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IF($A163="","",TEXT(IFERROR(INDEX(tblVeriA[Tarih],ROW()-ROW(tblVeriA[[#Headers]])),""),"yyyymmdd")&amp;"|"&amp;TEXT(IFERROR(INDEX(tblVeriA[Toplam],ROW()-ROW(tblVeriA[[#Headers]])),0),"0.00"))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IF($I163="","",TEXT(IFERROR(INDEX(tblVeriB[BelgeTarihi],ROW()-ROW(tblVeriB[[#Headers]])),""),"yyyymmdd")&amp;"|"&amp;TEXT(IFERROR(INDEX(tblVeriB[Tutar],ROW()-ROW(tblVeriB[[#Headers]])),0),"0.00"))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IF($A164="","",TEXT(IFERROR(INDEX(tblVeriA[Tarih],ROW()-ROW(tblVeriA[[#Headers]])),""),"yyyymmdd")&amp;"|"&amp;TEXT(IFERROR(INDEX(tblVeriA[Toplam],ROW()-ROW(tblVeriA[[#Headers]])),0),"0.00"))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IF($I164="","",TEXT(IFERROR(INDEX(tblVeriB[BelgeTarihi],ROW()-ROW(tblVeriB[[#Headers]])),""),"yyyymmdd")&amp;"|"&amp;TEXT(IFERROR(INDEX(tblVeriB[Tutar],ROW()-ROW(tblVeriB[[#Headers]])),0),"0.00"))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IF($A165="","",TEXT(IFERROR(INDEX(tblVeriA[Tarih],ROW()-ROW(tblVeriA[[#Headers]])),""),"yyyymmdd")&amp;"|"&amp;TEXT(IFERROR(INDEX(tblVeriA[Toplam],ROW()-ROW(tblVeriA[[#Headers]])),0),"0.00"))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IF($I165="","",TEXT(IFERROR(INDEX(tblVeriB[BelgeTarihi],ROW()-ROW(tblVeriB[[#Headers]])),""),"yyyymmdd")&amp;"|"&amp;TEXT(IFERROR(INDEX(tblVeriB[Tutar],ROW()-ROW(tblVeriB[[#Headers]])),0),"0.00"))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IF($A166="","",TEXT(IFERROR(INDEX(tblVeriA[Tarih],ROW()-ROW(tblVeriA[[#Headers]])),""),"yyyymmdd")&amp;"|"&amp;TEXT(IFERROR(INDEX(tblVeriA[Toplam],ROW()-ROW(tblVeriA[[#Headers]])),0),"0.00"))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IF($I166="","",TEXT(IFERROR(INDEX(tblVeriB[BelgeTarihi],ROW()-ROW(tblVeriB[[#Headers]])),""),"yyyymmdd")&amp;"|"&amp;TEXT(IFERROR(INDEX(tblVeriB[Tutar],ROW()-ROW(tblVeriB[[#Headers]])),0),"0.00"))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IF($A167="","",TEXT(IFERROR(INDEX(tblVeriA[Tarih],ROW()-ROW(tblVeriA[[#Headers]])),""),"yyyymmdd")&amp;"|"&amp;TEXT(IFERROR(INDEX(tblVeriA[Toplam],ROW()-ROW(tblVeriA[[#Headers]])),0),"0.00"))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IF($I167="","",TEXT(IFERROR(INDEX(tblVeriB[BelgeTarihi],ROW()-ROW(tblVeriB[[#Headers]])),""),"yyyymmdd")&amp;"|"&amp;TEXT(IFERROR(INDEX(tblVeriB[Tutar],ROW()-ROW(tblVeriB[[#Headers]])),0),"0.00"))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IF($A168="","",TEXT(IFERROR(INDEX(tblVeriA[Tarih],ROW()-ROW(tblVeriA[[#Headers]])),""),"yyyymmdd")&amp;"|"&amp;TEXT(IFERROR(INDEX(tblVeriA[Toplam],ROW()-ROW(tblVeriA[[#Headers]])),0),"0.00"))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IF($I168="","",TEXT(IFERROR(INDEX(tblVeriB[BelgeTarihi],ROW()-ROW(tblVeriB[[#Headers]])),""),"yyyymmdd")&amp;"|"&amp;TEXT(IFERROR(INDEX(tblVeriB[Tutar],ROW()-ROW(tblVeriB[[#Headers]])),0),"0.00"))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IF($A169="","",TEXT(IFERROR(INDEX(tblVeriA[Tarih],ROW()-ROW(tblVeriA[[#Headers]])),""),"yyyymmdd")&amp;"|"&amp;TEXT(IFERROR(INDEX(tblVeriA[Toplam],ROW()-ROW(tblVeriA[[#Headers]])),0),"0.00"))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IF($I169="","",TEXT(IFERROR(INDEX(tblVeriB[BelgeTarihi],ROW()-ROW(tblVeriB[[#Headers]])),""),"yyyymmdd")&amp;"|"&amp;TEXT(IFERROR(INDEX(tblVeriB[Tutar],ROW()-ROW(tblVeriB[[#Headers]])),0),"0.00"))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IF($A170="","",TEXT(IFERROR(INDEX(tblVeriA[Tarih],ROW()-ROW(tblVeriA[[#Headers]])),""),"yyyymmdd")&amp;"|"&amp;TEXT(IFERROR(INDEX(tblVeriA[Toplam],ROW()-ROW(tblVeriA[[#Headers]])),0),"0.00"))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IF($I170="","",TEXT(IFERROR(INDEX(tblVeriB[BelgeTarihi],ROW()-ROW(tblVeriB[[#Headers]])),""),"yyyymmdd")&amp;"|"&amp;TEXT(IFERROR(INDEX(tblVeriB[Tutar],ROW()-ROW(tblVeriB[[#Headers]])),0),"0.00"))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IF($A171="","",TEXT(IFERROR(INDEX(tblVeriA[Tarih],ROW()-ROW(tblVeriA[[#Headers]])),""),"yyyymmdd")&amp;"|"&amp;TEXT(IFERROR(INDEX(tblVeriA[Toplam],ROW()-ROW(tblVeriA[[#Headers]])),0),"0.00"))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IF($I171="","",TEXT(IFERROR(INDEX(tblVeriB[BelgeTarihi],ROW()-ROW(tblVeriB[[#Headers]])),""),"yyyymmdd")&amp;"|"&amp;TEXT(IFERROR(INDEX(tblVeriB[Tutar],ROW()-ROW(tblVeriB[[#Headers]])),0),"0.00"))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IF($A172="","",TEXT(IFERROR(INDEX(tblVeriA[Tarih],ROW()-ROW(tblVeriA[[#Headers]])),""),"yyyymmdd")&amp;"|"&amp;TEXT(IFERROR(INDEX(tblVeriA[Toplam],ROW()-ROW(tblVeriA[[#Headers]])),0),"0.00"))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IF($I172="","",TEXT(IFERROR(INDEX(tblVeriB[BelgeTarihi],ROW()-ROW(tblVeriB[[#Headers]])),""),"yyyymmdd")&amp;"|"&amp;TEXT(IFERROR(INDEX(tblVeriB[Tutar],ROW()-ROW(tblVeriB[[#Headers]])),0),"0.00"))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IF($A173="","",TEXT(IFERROR(INDEX(tblVeriA[Tarih],ROW()-ROW(tblVeriA[[#Headers]])),""),"yyyymmdd")&amp;"|"&amp;TEXT(IFERROR(INDEX(tblVeriA[Toplam],ROW()-ROW(tblVeriA[[#Headers]])),0),"0.00"))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IF($I173="","",TEXT(IFERROR(INDEX(tblVeriB[BelgeTarihi],ROW()-ROW(tblVeriB[[#Headers]])),""),"yyyymmdd")&amp;"|"&amp;TEXT(IFERROR(INDEX(tblVeriB[Tutar],ROW()-ROW(tblVeriB[[#Headers]])),0),"0.00"))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IF($A174="","",TEXT(IFERROR(INDEX(tblVeriA[Tarih],ROW()-ROW(tblVeriA[[#Headers]])),""),"yyyymmdd")&amp;"|"&amp;TEXT(IFERROR(INDEX(tblVeriA[Toplam],ROW()-ROW(tblVeriA[[#Headers]])),0),"0.00"))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IF($I174="","",TEXT(IFERROR(INDEX(tblVeriB[BelgeTarihi],ROW()-ROW(tblVeriB[[#Headers]])),""),"yyyymmdd")&amp;"|"&amp;TEXT(IFERROR(INDEX(tblVeriB[Tutar],ROW()-ROW(tblVeriB[[#Headers]])),0),"0.00"))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IF($A175="","",TEXT(IFERROR(INDEX(tblVeriA[Tarih],ROW()-ROW(tblVeriA[[#Headers]])),""),"yyyymmdd")&amp;"|"&amp;TEXT(IFERROR(INDEX(tblVeriA[Toplam],ROW()-ROW(tblVeriA[[#Headers]])),0),"0.00"))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IF($I175="","",TEXT(IFERROR(INDEX(tblVeriB[BelgeTarihi],ROW()-ROW(tblVeriB[[#Headers]])),""),"yyyymmdd")&amp;"|"&amp;TEXT(IFERROR(INDEX(tblVeriB[Tutar],ROW()-ROW(tblVeriB[[#Headers]])),0),"0.00"))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IF($A176="","",TEXT(IFERROR(INDEX(tblVeriA[Tarih],ROW()-ROW(tblVeriA[[#Headers]])),""),"yyyymmdd")&amp;"|"&amp;TEXT(IFERROR(INDEX(tblVeriA[Toplam],ROW()-ROW(tblVeriA[[#Headers]])),0),"0.00"))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IF($I176="","",TEXT(IFERROR(INDEX(tblVeriB[BelgeTarihi],ROW()-ROW(tblVeriB[[#Headers]])),""),"yyyymmdd")&amp;"|"&amp;TEXT(IFERROR(INDEX(tblVeriB[Tutar],ROW()-ROW(tblVeriB[[#Headers]])),0),"0.00"))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IF($A177="","",TEXT(IFERROR(INDEX(tblVeriA[Tarih],ROW()-ROW(tblVeriA[[#Headers]])),""),"yyyymmdd")&amp;"|"&amp;TEXT(IFERROR(INDEX(tblVeriA[Toplam],ROW()-ROW(tblVeriA[[#Headers]])),0),"0.00"))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IF($I177="","",TEXT(IFERROR(INDEX(tblVeriB[BelgeTarihi],ROW()-ROW(tblVeriB[[#Headers]])),""),"yyyymmdd")&amp;"|"&amp;TEXT(IFERROR(INDEX(tblVeriB[Tutar],ROW()-ROW(tblVeriB[[#Headers]])),0),"0.00"))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IF($A178="","",TEXT(IFERROR(INDEX(tblVeriA[Tarih],ROW()-ROW(tblVeriA[[#Headers]])),""),"yyyymmdd")&amp;"|"&amp;TEXT(IFERROR(INDEX(tblVeriA[Toplam],ROW()-ROW(tblVeriA[[#Headers]])),0),"0.00"))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IF($I178="","",TEXT(IFERROR(INDEX(tblVeriB[BelgeTarihi],ROW()-ROW(tblVeriB[[#Headers]])),""),"yyyymmdd")&amp;"|"&amp;TEXT(IFERROR(INDEX(tblVeriB[Tutar],ROW()-ROW(tblVeriB[[#Headers]])),0),"0.00"))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IF($A179="","",TEXT(IFERROR(INDEX(tblVeriA[Tarih],ROW()-ROW(tblVeriA[[#Headers]])),""),"yyyymmdd")&amp;"|"&amp;TEXT(IFERROR(INDEX(tblVeriA[Toplam],ROW()-ROW(tblVeriA[[#Headers]])),0),"0.00"))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IF($I179="","",TEXT(IFERROR(INDEX(tblVeriB[BelgeTarihi],ROW()-ROW(tblVeriB[[#Headers]])),""),"yyyymmdd")&amp;"|"&amp;TEXT(IFERROR(INDEX(tblVeriB[Tutar],ROW()-ROW(tblVeriB[[#Headers]])),0),"0.00"))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IF($A180="","",TEXT(IFERROR(INDEX(tblVeriA[Tarih],ROW()-ROW(tblVeriA[[#Headers]])),""),"yyyymmdd")&amp;"|"&amp;TEXT(IFERROR(INDEX(tblVeriA[Toplam],ROW()-ROW(tblVeriA[[#Headers]])),0),"0.00"))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IF($I180="","",TEXT(IFERROR(INDEX(tblVeriB[BelgeTarihi],ROW()-ROW(tblVeriB[[#Headers]])),""),"yyyymmdd")&amp;"|"&amp;TEXT(IFERROR(INDEX(tblVeriB[Tutar],ROW()-ROW(tblVeriB[[#Headers]])),0),"0.00"))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IF($A181="","",TEXT(IFERROR(INDEX(tblVeriA[Tarih],ROW()-ROW(tblVeriA[[#Headers]])),""),"yyyymmdd")&amp;"|"&amp;TEXT(IFERROR(INDEX(tblVeriA[Toplam],ROW()-ROW(tblVeriA[[#Headers]])),0),"0.00"))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IF($I181="","",TEXT(IFERROR(INDEX(tblVeriB[BelgeTarihi],ROW()-ROW(tblVeriB[[#Headers]])),""),"yyyymmdd")&amp;"|"&amp;TEXT(IFERROR(INDEX(tblVeriB[Tutar],ROW()-ROW(tblVeriB[[#Headers]])),0),"0.00"))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IF($A182="","",TEXT(IFERROR(INDEX(tblVeriA[Tarih],ROW()-ROW(tblVeriA[[#Headers]])),""),"yyyymmdd")&amp;"|"&amp;TEXT(IFERROR(INDEX(tblVeriA[Toplam],ROW()-ROW(tblVeriA[[#Headers]])),0),"0.00"))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IF($I182="","",TEXT(IFERROR(INDEX(tblVeriB[BelgeTarihi],ROW()-ROW(tblVeriB[[#Headers]])),""),"yyyymmdd")&amp;"|"&amp;TEXT(IFERROR(INDEX(tblVeriB[Tutar],ROW()-ROW(tblVeriB[[#Headers]])),0),"0.00"))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IF($A183="","",TEXT(IFERROR(INDEX(tblVeriA[Tarih],ROW()-ROW(tblVeriA[[#Headers]])),""),"yyyymmdd")&amp;"|"&amp;TEXT(IFERROR(INDEX(tblVeriA[Toplam],ROW()-ROW(tblVeriA[[#Headers]])),0),"0.00"))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IF($I183="","",TEXT(IFERROR(INDEX(tblVeriB[BelgeTarihi],ROW()-ROW(tblVeriB[[#Headers]])),""),"yyyymmdd")&amp;"|"&amp;TEXT(IFERROR(INDEX(tblVeriB[Tutar],ROW()-ROW(tblVeriB[[#Headers]])),0),"0.00"))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IF($A184="","",TEXT(IFERROR(INDEX(tblVeriA[Tarih],ROW()-ROW(tblVeriA[[#Headers]])),""),"yyyymmdd")&amp;"|"&amp;TEXT(IFERROR(INDEX(tblVeriA[Toplam],ROW()-ROW(tblVeriA[[#Headers]])),0),"0.00"))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IF($I184="","",TEXT(IFERROR(INDEX(tblVeriB[BelgeTarihi],ROW()-ROW(tblVeriB[[#Headers]])),""),"yyyymmdd")&amp;"|"&amp;TEXT(IFERROR(INDEX(tblVeriB[Tutar],ROW()-ROW(tblVeriB[[#Headers]])),0),"0.00"))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IF($A185="","",TEXT(IFERROR(INDEX(tblVeriA[Tarih],ROW()-ROW(tblVeriA[[#Headers]])),""),"yyyymmdd")&amp;"|"&amp;TEXT(IFERROR(INDEX(tblVeriA[Toplam],ROW()-ROW(tblVeriA[[#Headers]])),0),"0.00"))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IF($I185="","",TEXT(IFERROR(INDEX(tblVeriB[BelgeTarihi],ROW()-ROW(tblVeriB[[#Headers]])),""),"yyyymmdd")&amp;"|"&amp;TEXT(IFERROR(INDEX(tblVeriB[Tutar],ROW()-ROW(tblVeriB[[#Headers]])),0),"0.00"))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IF($A186="","",TEXT(IFERROR(INDEX(tblVeriA[Tarih],ROW()-ROW(tblVeriA[[#Headers]])),""),"yyyymmdd")&amp;"|"&amp;TEXT(IFERROR(INDEX(tblVeriA[Toplam],ROW()-ROW(tblVeriA[[#Headers]])),0),"0.00"))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IF($I186="","",TEXT(IFERROR(INDEX(tblVeriB[BelgeTarihi],ROW()-ROW(tblVeriB[[#Headers]])),""),"yyyymmdd")&amp;"|"&amp;TEXT(IFERROR(INDEX(tblVeriB[Tutar],ROW()-ROW(tblVeriB[[#Headers]])),0),"0.00"))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IF($A187="","",TEXT(IFERROR(INDEX(tblVeriA[Tarih],ROW()-ROW(tblVeriA[[#Headers]])),""),"yyyymmdd")&amp;"|"&amp;TEXT(IFERROR(INDEX(tblVeriA[Toplam],ROW()-ROW(tblVeriA[[#Headers]])),0),"0.00"))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IF($I187="","",TEXT(IFERROR(INDEX(tblVeriB[BelgeTarihi],ROW()-ROW(tblVeriB[[#Headers]])),""),"yyyymmdd")&amp;"|"&amp;TEXT(IFERROR(INDEX(tblVeriB[Tutar],ROW()-ROW(tblVeriB[[#Headers]])),0),"0.00"))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IF($A188="","",TEXT(IFERROR(INDEX(tblVeriA[Tarih],ROW()-ROW(tblVeriA[[#Headers]])),""),"yyyymmdd")&amp;"|"&amp;TEXT(IFERROR(INDEX(tblVeriA[Toplam],ROW()-ROW(tblVeriA[[#Headers]])),0),"0.00"))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IF($I188="","",TEXT(IFERROR(INDEX(tblVeriB[BelgeTarihi],ROW()-ROW(tblVeriB[[#Headers]])),""),"yyyymmdd")&amp;"|"&amp;TEXT(IFERROR(INDEX(tblVeriB[Tutar],ROW()-ROW(tblVeriB[[#Headers]])),0),"0.00"))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IF($A189="","",TEXT(IFERROR(INDEX(tblVeriA[Tarih],ROW()-ROW(tblVeriA[[#Headers]])),""),"yyyymmdd")&amp;"|"&amp;TEXT(IFERROR(INDEX(tblVeriA[Toplam],ROW()-ROW(tblVeriA[[#Headers]])),0),"0.00"))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IF($I189="","",TEXT(IFERROR(INDEX(tblVeriB[BelgeTarihi],ROW()-ROW(tblVeriB[[#Headers]])),""),"yyyymmdd")&amp;"|"&amp;TEXT(IFERROR(INDEX(tblVeriB[Tutar],ROW()-ROW(tblVeriB[[#Headers]])),0),"0.00"))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IF($A190="","",TEXT(IFERROR(INDEX(tblVeriA[Tarih],ROW()-ROW(tblVeriA[[#Headers]])),""),"yyyymmdd")&amp;"|"&amp;TEXT(IFERROR(INDEX(tblVeriA[Toplam],ROW()-ROW(tblVeriA[[#Headers]])),0),"0.00"))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IF($I190="","",TEXT(IFERROR(INDEX(tblVeriB[BelgeTarihi],ROW()-ROW(tblVeriB[[#Headers]])),""),"yyyymmdd")&amp;"|"&amp;TEXT(IFERROR(INDEX(tblVeriB[Tutar],ROW()-ROW(tblVeriB[[#Headers]])),0),"0.00"))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IF($A191="","",TEXT(IFERROR(INDEX(tblVeriA[Tarih],ROW()-ROW(tblVeriA[[#Headers]])),""),"yyyymmdd")&amp;"|"&amp;TEXT(IFERROR(INDEX(tblVeriA[Toplam],ROW()-ROW(tblVeriA[[#Headers]])),0),"0.00"))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IF($I191="","",TEXT(IFERROR(INDEX(tblVeriB[BelgeTarihi],ROW()-ROW(tblVeriB[[#Headers]])),""),"yyyymmdd")&amp;"|"&amp;TEXT(IFERROR(INDEX(tblVeriB[Tutar],ROW()-ROW(tblVeriB[[#Headers]])),0),"0.00"))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IF($A192="","",TEXT(IFERROR(INDEX(tblVeriA[Tarih],ROW()-ROW(tblVeriA[[#Headers]])),""),"yyyymmdd")&amp;"|"&amp;TEXT(IFERROR(INDEX(tblVeriA[Toplam],ROW()-ROW(tblVeriA[[#Headers]])),0),"0.00"))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IF($I192="","",TEXT(IFERROR(INDEX(tblVeriB[BelgeTarihi],ROW()-ROW(tblVeriB[[#Headers]])),""),"yyyymmdd")&amp;"|"&amp;TEXT(IFERROR(INDEX(tblVeriB[Tutar],ROW()-ROW(tblVeriB[[#Headers]])),0),"0.00"))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IF($A193="","",TEXT(IFERROR(INDEX(tblVeriA[Tarih],ROW()-ROW(tblVeriA[[#Headers]])),""),"yyyymmdd")&amp;"|"&amp;TEXT(IFERROR(INDEX(tblVeriA[Toplam],ROW()-ROW(tblVeriA[[#Headers]])),0),"0.00"))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IF($I193="","",TEXT(IFERROR(INDEX(tblVeriB[BelgeTarihi],ROW()-ROW(tblVeriB[[#Headers]])),""),"yyyymmdd")&amp;"|"&amp;TEXT(IFERROR(INDEX(tblVeriB[Tutar],ROW()-ROW(tblVeriB[[#Headers]])),0),"0.00"))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IF($A194="","",TEXT(IFERROR(INDEX(tblVeriA[Tarih],ROW()-ROW(tblVeriA[[#Headers]])),""),"yyyymmdd")&amp;"|"&amp;TEXT(IFERROR(INDEX(tblVeriA[Toplam],ROW()-ROW(tblVeriA[[#Headers]])),0),"0.00"))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IF($I194="","",TEXT(IFERROR(INDEX(tblVeriB[BelgeTarihi],ROW()-ROW(tblVeriB[[#Headers]])),""),"yyyymmdd")&amp;"|"&amp;TEXT(IFERROR(INDEX(tblVeriB[Tutar],ROW()-ROW(tblVeriB[[#Headers]])),0),"0.00"))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IF($A195="","",TEXT(IFERROR(INDEX(tblVeriA[Tarih],ROW()-ROW(tblVeriA[[#Headers]])),""),"yyyymmdd")&amp;"|"&amp;TEXT(IFERROR(INDEX(tblVeriA[Toplam],ROW()-ROW(tblVeriA[[#Headers]])),0),"0.00"))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IF($I195="","",TEXT(IFERROR(INDEX(tblVeriB[BelgeTarihi],ROW()-ROW(tblVeriB[[#Headers]])),""),"yyyymmdd")&amp;"|"&amp;TEXT(IFERROR(INDEX(tblVeriB[Tutar],ROW()-ROW(tblVeriB[[#Headers]])),0),"0.00"))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IF($A196="","",TEXT(IFERROR(INDEX(tblVeriA[Tarih],ROW()-ROW(tblVeriA[[#Headers]])),""),"yyyymmdd")&amp;"|"&amp;TEXT(IFERROR(INDEX(tblVeriA[Toplam],ROW()-ROW(tblVeriA[[#Headers]])),0),"0.00"))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IF($I196="","",TEXT(IFERROR(INDEX(tblVeriB[BelgeTarihi],ROW()-ROW(tblVeriB[[#Headers]])),""),"yyyymmdd")&amp;"|"&amp;TEXT(IFERROR(INDEX(tblVeriB[Tutar],ROW()-ROW(tblVeriB[[#Headers]])),0),"0.00"))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IF($A197="","",TEXT(IFERROR(INDEX(tblVeriA[Tarih],ROW()-ROW(tblVeriA[[#Headers]])),""),"yyyymmdd")&amp;"|"&amp;TEXT(IFERROR(INDEX(tblVeriA[Toplam],ROW()-ROW(tblVeriA[[#Headers]])),0),"0.00"))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IF($I197="","",TEXT(IFERROR(INDEX(tblVeriB[BelgeTarihi],ROW()-ROW(tblVeriB[[#Headers]])),""),"yyyymmdd")&amp;"|"&amp;TEXT(IFERROR(INDEX(tblVeriB[Tutar],ROW()-ROW(tblVeriB[[#Headers]])),0),"0.00"))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IF($A198="","",TEXT(IFERROR(INDEX(tblVeriA[Tarih],ROW()-ROW(tblVeriA[[#Headers]])),""),"yyyymmdd")&amp;"|"&amp;TEXT(IFERROR(INDEX(tblVeriA[Toplam],ROW()-ROW(tblVeriA[[#Headers]])),0),"0.00"))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IF($I198="","",TEXT(IFERROR(INDEX(tblVeriB[BelgeTarihi],ROW()-ROW(tblVeriB[[#Headers]])),""),"yyyymmdd")&amp;"|"&amp;TEXT(IFERROR(INDEX(tblVeriB[Tutar],ROW()-ROW(tblVeriB[[#Headers]])),0),"0.00"))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IF($A199="","",TEXT(IFERROR(INDEX(tblVeriA[Tarih],ROW()-ROW(tblVeriA[[#Headers]])),""),"yyyymmdd")&amp;"|"&amp;TEXT(IFERROR(INDEX(tblVeriA[Toplam],ROW()-ROW(tblVeriA[[#Headers]])),0),"0.00"))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IF($I199="","",TEXT(IFERROR(INDEX(tblVeriB[BelgeTarihi],ROW()-ROW(tblVeriB[[#Headers]])),""),"yyyymmdd")&amp;"|"&amp;TEXT(IFERROR(INDEX(tblVeriB[Tutar],ROW()-ROW(tblVeriB[[#Headers]])),0),"0.00"))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IF($A200="","",TEXT(IFERROR(INDEX(tblVeriA[Tarih],ROW()-ROW(tblVeriA[[#Headers]])),""),"yyyymmdd")&amp;"|"&amp;TEXT(IFERROR(INDEX(tblVeriA[Toplam],ROW()-ROW(tblVeriA[[#Headers]])),0),"0.00"))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IF($I200="","",TEXT(IFERROR(INDEX(tblVeriB[BelgeTarihi],ROW()-ROW(tblVeriB[[#Headers]])),""),"yyyymmdd")&amp;"|"&amp;TEXT(IFERROR(INDEX(tblVeriB[Tutar],ROW()-ROW(tblVeriB[[#Headers]])),0),"0.00"))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IF($A201="","",TEXT(IFERROR(INDEX(tblVeriA[Tarih],ROW()-ROW(tblVeriA[[#Headers]])),""),"yyyymmdd")&amp;"|"&amp;TEXT(IFERROR(INDEX(tblVeriA[Toplam],ROW()-ROW(tblVeriA[[#Headers]])),0),"0.00"))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IF($I201="","",TEXT(IFERROR(INDEX(tblVeriB[BelgeTarihi],ROW()-ROW(tblVeriB[[#Headers]])),""),"yyyymmdd")&amp;"|"&amp;TEXT(IFERROR(INDEX(tblVeriB[Tutar],ROW()-ROW(tblVeriB[[#Headers]])),0),"0.00"))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IF($A202="","",TEXT(IFERROR(INDEX(tblVeriA[Tarih],ROW()-ROW(tblVeriA[[#Headers]])),""),"yyyymmdd")&amp;"|"&amp;TEXT(IFERROR(INDEX(tblVeriA[Toplam],ROW()-ROW(tblVeriA[[#Headers]])),0),"0.00"))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IF($I202="","",TEXT(IFERROR(INDEX(tblVeriB[BelgeTarihi],ROW()-ROW(tblVeriB[[#Headers]])),""),"yyyymmdd")&amp;"|"&amp;TEXT(IFERROR(INDEX(tblVeriB[Tutar],ROW()-ROW(tblVeriB[[#Headers]])),0),"0.00"))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IF($A203="","",TEXT(IFERROR(INDEX(tblVeriA[Tarih],ROW()-ROW(tblVeriA[[#Headers]])),""),"yyyymmdd")&amp;"|"&amp;TEXT(IFERROR(INDEX(tblVeriA[Toplam],ROW()-ROW(tblVeriA[[#Headers]])),0),"0.00"))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IF($I203="","",TEXT(IFERROR(INDEX(tblVeriB[BelgeTarihi],ROW()-ROW(tblVeriB[[#Headers]])),""),"yyyymmdd")&amp;"|"&amp;TEXT(IFERROR(INDEX(tblVeriB[Tutar],ROW()-ROW(tblVeriB[[#Headers]])),0),"0.00"))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IF($A204="","",TEXT(IFERROR(INDEX(tblVeriA[Tarih],ROW()-ROW(tblVeriA[[#Headers]])),""),"yyyymmdd")&amp;"|"&amp;TEXT(IFERROR(INDEX(tblVeriA[Toplam],ROW()-ROW(tblVeriA[[#Headers]])),0),"0.00"))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IF($I204="","",TEXT(IFERROR(INDEX(tblVeriB[BelgeTarihi],ROW()-ROW(tblVeriB[[#Headers]])),""),"yyyymmdd")&amp;"|"&amp;TEXT(IFERROR(INDEX(tblVeriB[Tutar],ROW()-ROW(tblVeriB[[#Headers]])),0),"0.00"))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IF($A205="","",TEXT(IFERROR(INDEX(tblVeriA[Tarih],ROW()-ROW(tblVeriA[[#Headers]])),""),"yyyymmdd")&amp;"|"&amp;TEXT(IFERROR(INDEX(tblVeriA[Toplam],ROW()-ROW(tblVeriA[[#Headers]])),0),"0.00"))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IF($I205="","",TEXT(IFERROR(INDEX(tblVeriB[BelgeTarihi],ROW()-ROW(tblVeriB[[#Headers]])),""),"yyyymmdd")&amp;"|"&amp;TEXT(IFERROR(INDEX(tblVeriB[Tutar],ROW()-ROW(tblVeriB[[#Headers]])),0),"0.00"))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IF($A206="","",TEXT(IFERROR(INDEX(tblVeriA[Tarih],ROW()-ROW(tblVeriA[[#Headers]])),""),"yyyymmdd")&amp;"|"&amp;TEXT(IFERROR(INDEX(tblVeriA[Toplam],ROW()-ROW(tblVeriA[[#Headers]])),0),"0.00"))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IF($I206="","",TEXT(IFERROR(INDEX(tblVeriB[BelgeTarihi],ROW()-ROW(tblVeriB[[#Headers]])),""),"yyyymmdd")&amp;"|"&amp;TEXT(IFERROR(INDEX(tblVeriB[Tutar],ROW()-ROW(tblVeriB[[#Headers]])),0),"0.00"))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IF($A207="","",TEXT(IFERROR(INDEX(tblVeriA[Tarih],ROW()-ROW(tblVeriA[[#Headers]])),""),"yyyymmdd")&amp;"|"&amp;TEXT(IFERROR(INDEX(tblVeriA[Toplam],ROW()-ROW(tblVeriA[[#Headers]])),0),"0.00"))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IF($I207="","",TEXT(IFERROR(INDEX(tblVeriB[BelgeTarihi],ROW()-ROW(tblVeriB[[#Headers]])),""),"yyyymmdd")&amp;"|"&amp;TEXT(IFERROR(INDEX(tblVeriB[Tutar],ROW()-ROW(tblVeriB[[#Headers]])),0),"0.00"))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IF($A208="","",TEXT(IFERROR(INDEX(tblVeriA[Tarih],ROW()-ROW(tblVeriA[[#Headers]])),""),"yyyymmdd")&amp;"|"&amp;TEXT(IFERROR(INDEX(tblVeriA[Toplam],ROW()-ROW(tblVeriA[[#Headers]])),0),"0.00"))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IF($I208="","",TEXT(IFERROR(INDEX(tblVeriB[BelgeTarihi],ROW()-ROW(tblVeriB[[#Headers]])),""),"yyyymmdd")&amp;"|"&amp;TEXT(IFERROR(INDEX(tblVeriB[Tutar],ROW()-ROW(tblVeriB[[#Headers]])),0),"0.00"))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IF($A209="","",TEXT(IFERROR(INDEX(tblVeriA[Tarih],ROW()-ROW(tblVeriA[[#Headers]])),""),"yyyymmdd")&amp;"|"&amp;TEXT(IFERROR(INDEX(tblVeriA[Toplam],ROW()-ROW(tblVeriA[[#Headers]])),0),"0.00"))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IF($I209="","",TEXT(IFERROR(INDEX(tblVeriB[BelgeTarihi],ROW()-ROW(tblVeriB[[#Headers]])),""),"yyyymmdd")&amp;"|"&amp;TEXT(IFERROR(INDEX(tblVeriB[Tutar],ROW()-ROW(tblVeriB[[#Headers]])),0),"0.00"))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IF($A210="","",TEXT(IFERROR(INDEX(tblVeriA[Tarih],ROW()-ROW(tblVeriA[[#Headers]])),""),"yyyymmdd")&amp;"|"&amp;TEXT(IFERROR(INDEX(tblVeriA[Toplam],ROW()-ROW(tblVeriA[[#Headers]])),0),"0.00"))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IF($I210="","",TEXT(IFERROR(INDEX(tblVeriB[BelgeTarihi],ROW()-ROW(tblVeriB[[#Headers]])),""),"yyyymmdd")&amp;"|"&amp;TEXT(IFERROR(INDEX(tblVeriB[Tutar],ROW()-ROW(tblVeriB[[#Headers]])),0),"0.00"))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IF($A211="","",TEXT(IFERROR(INDEX(tblVeriA[Tarih],ROW()-ROW(tblVeriA[[#Headers]])),""),"yyyymmdd")&amp;"|"&amp;TEXT(IFERROR(INDEX(tblVeriA[Toplam],ROW()-ROW(tblVeriA[[#Headers]])),0),"0.00"))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IF($I211="","",TEXT(IFERROR(INDEX(tblVeriB[BelgeTarihi],ROW()-ROW(tblVeriB[[#Headers]])),""),"yyyymmdd")&amp;"|"&amp;TEXT(IFERROR(INDEX(tblVeriB[Tutar],ROW()-ROW(tblVeriB[[#Headers]])),0),"0.00"))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IF($A212="","",TEXT(IFERROR(INDEX(tblVeriA[Tarih],ROW()-ROW(tblVeriA[[#Headers]])),""),"yyyymmdd")&amp;"|"&amp;TEXT(IFERROR(INDEX(tblVeriA[Toplam],ROW()-ROW(tblVeriA[[#Headers]])),0),"0.00"))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IF($I212="","",TEXT(IFERROR(INDEX(tblVeriB[BelgeTarihi],ROW()-ROW(tblVeriB[[#Headers]])),""),"yyyymmdd")&amp;"|"&amp;TEXT(IFERROR(INDEX(tblVeriB[Tutar],ROW()-ROW(tblVeriB[[#Headers]])),0),"0.00"))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IF($A213="","",TEXT(IFERROR(INDEX(tblVeriA[Tarih],ROW()-ROW(tblVeriA[[#Headers]])),""),"yyyymmdd")&amp;"|"&amp;TEXT(IFERROR(INDEX(tblVeriA[Toplam],ROW()-ROW(tblVeriA[[#Headers]])),0),"0.00"))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IF($I213="","",TEXT(IFERROR(INDEX(tblVeriB[BelgeTarihi],ROW()-ROW(tblVeriB[[#Headers]])),""),"yyyymmdd")&amp;"|"&amp;TEXT(IFERROR(INDEX(tblVeriB[Tutar],ROW()-ROW(tblVeriB[[#Headers]])),0),"0.00"))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IF($A214="","",TEXT(IFERROR(INDEX(tblVeriA[Tarih],ROW()-ROW(tblVeriA[[#Headers]])),""),"yyyymmdd")&amp;"|"&amp;TEXT(IFERROR(INDEX(tblVeriA[Toplam],ROW()-ROW(tblVeriA[[#Headers]])),0),"0.00"))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IF($I214="","",TEXT(IFERROR(INDEX(tblVeriB[BelgeTarihi],ROW()-ROW(tblVeriB[[#Headers]])),""),"yyyymmdd")&amp;"|"&amp;TEXT(IFERROR(INDEX(tblVeriB[Tutar],ROW()-ROW(tblVeriB[[#Headers]])),0),"0.00"))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IF($A215="","",TEXT(IFERROR(INDEX(tblVeriA[Tarih],ROW()-ROW(tblVeriA[[#Headers]])),""),"yyyymmdd")&amp;"|"&amp;TEXT(IFERROR(INDEX(tblVeriA[Toplam],ROW()-ROW(tblVeriA[[#Headers]])),0),"0.00"))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IF($I215="","",TEXT(IFERROR(INDEX(tblVeriB[BelgeTarihi],ROW()-ROW(tblVeriB[[#Headers]])),""),"yyyymmdd")&amp;"|"&amp;TEXT(IFERROR(INDEX(tblVeriB[Tutar],ROW()-ROW(tblVeriB[[#Headers]])),0),"0.00"))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IF($A216="","",TEXT(IFERROR(INDEX(tblVeriA[Tarih],ROW()-ROW(tblVeriA[[#Headers]])),""),"yyyymmdd")&amp;"|"&amp;TEXT(IFERROR(INDEX(tblVeriA[Toplam],ROW()-ROW(tblVeriA[[#Headers]])),0),"0.00"))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IF($I216="","",TEXT(IFERROR(INDEX(tblVeriB[BelgeTarihi],ROW()-ROW(tblVeriB[[#Headers]])),""),"yyyymmdd")&amp;"|"&amp;TEXT(IFERROR(INDEX(tblVeriB[Tutar],ROW()-ROW(tblVeriB[[#Headers]])),0),"0.00"))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IF($A217="","",TEXT(IFERROR(INDEX(tblVeriA[Tarih],ROW()-ROW(tblVeriA[[#Headers]])),""),"yyyymmdd")&amp;"|"&amp;TEXT(IFERROR(INDEX(tblVeriA[Toplam],ROW()-ROW(tblVeriA[[#Headers]])),0),"0.00"))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IF($I217="","",TEXT(IFERROR(INDEX(tblVeriB[BelgeTarihi],ROW()-ROW(tblVeriB[[#Headers]])),""),"yyyymmdd")&amp;"|"&amp;TEXT(IFERROR(INDEX(tblVeriB[Tutar],ROW()-ROW(tblVeriB[[#Headers]])),0),"0.00"))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IF($A218="","",TEXT(IFERROR(INDEX(tblVeriA[Tarih],ROW()-ROW(tblVeriA[[#Headers]])),""),"yyyymmdd")&amp;"|"&amp;TEXT(IFERROR(INDEX(tblVeriA[Toplam],ROW()-ROW(tblVeriA[[#Headers]])),0),"0.00"))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IF($I218="","",TEXT(IFERROR(INDEX(tblVeriB[BelgeTarihi],ROW()-ROW(tblVeriB[[#Headers]])),""),"yyyymmdd")&amp;"|"&amp;TEXT(IFERROR(INDEX(tblVeriB[Tutar],ROW()-ROW(tblVeriB[[#Headers]])),0),"0.00"))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IF($A219="","",TEXT(IFERROR(INDEX(tblVeriA[Tarih],ROW()-ROW(tblVeriA[[#Headers]])),""),"yyyymmdd")&amp;"|"&amp;TEXT(IFERROR(INDEX(tblVeriA[Toplam],ROW()-ROW(tblVeriA[[#Headers]])),0),"0.00"))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IF($I219="","",TEXT(IFERROR(INDEX(tblVeriB[BelgeTarihi],ROW()-ROW(tblVeriB[[#Headers]])),""),"yyyymmdd")&amp;"|"&amp;TEXT(IFERROR(INDEX(tblVeriB[Tutar],ROW()-ROW(tblVeriB[[#Headers]])),0),"0.00"))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IF($A220="","",TEXT(IFERROR(INDEX(tblVeriA[Tarih],ROW()-ROW(tblVeriA[[#Headers]])),""),"yyyymmdd")&amp;"|"&amp;TEXT(IFERROR(INDEX(tblVeriA[Toplam],ROW()-ROW(tblVeriA[[#Headers]])),0),"0.00"))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IF($I220="","",TEXT(IFERROR(INDEX(tblVeriB[BelgeTarihi],ROW()-ROW(tblVeriB[[#Headers]])),""),"yyyymmdd")&amp;"|"&amp;TEXT(IFERROR(INDEX(tblVeriB[Tutar],ROW()-ROW(tblVeriB[[#Headers]])),0),"0.00"))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IF($A221="","",TEXT(IFERROR(INDEX(tblVeriA[Tarih],ROW()-ROW(tblVeriA[[#Headers]])),""),"yyyymmdd")&amp;"|"&amp;TEXT(IFERROR(INDEX(tblVeriA[Toplam],ROW()-ROW(tblVeriA[[#Headers]])),0),"0.00"))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IF($I221="","",TEXT(IFERROR(INDEX(tblVeriB[BelgeTarihi],ROW()-ROW(tblVeriB[[#Headers]])),""),"yyyymmdd")&amp;"|"&amp;TEXT(IFERROR(INDEX(tblVeriB[Tutar],ROW()-ROW(tblVeriB[[#Headers]])),0),"0.00"))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IF($A222="","",TEXT(IFERROR(INDEX(tblVeriA[Tarih],ROW()-ROW(tblVeriA[[#Headers]])),""),"yyyymmdd")&amp;"|"&amp;TEXT(IFERROR(INDEX(tblVeriA[Toplam],ROW()-ROW(tblVeriA[[#Headers]])),0),"0.00"))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IF($I222="","",TEXT(IFERROR(INDEX(tblVeriB[BelgeTarihi],ROW()-ROW(tblVeriB[[#Headers]])),""),"yyyymmdd")&amp;"|"&amp;TEXT(IFERROR(INDEX(tblVeriB[Tutar],ROW()-ROW(tblVeriB[[#Headers]])),0),"0.00"))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IF($A223="","",TEXT(IFERROR(INDEX(tblVeriA[Tarih],ROW()-ROW(tblVeriA[[#Headers]])),""),"yyyymmdd")&amp;"|"&amp;TEXT(IFERROR(INDEX(tblVeriA[Toplam],ROW()-ROW(tblVeriA[[#Headers]])),0),"0.00"))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IF($I223="","",TEXT(IFERROR(INDEX(tblVeriB[BelgeTarihi],ROW()-ROW(tblVeriB[[#Headers]])),""),"yyyymmdd")&amp;"|"&amp;TEXT(IFERROR(INDEX(tblVeriB[Tutar],ROW()-ROW(tblVeriB[[#Headers]])),0),"0.00"))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IF($A224="","",TEXT(IFERROR(INDEX(tblVeriA[Tarih],ROW()-ROW(tblVeriA[[#Headers]])),""),"yyyymmdd")&amp;"|"&amp;TEXT(IFERROR(INDEX(tblVeriA[Toplam],ROW()-ROW(tblVeriA[[#Headers]])),0),"0.00"))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IF($I224="","",TEXT(IFERROR(INDEX(tblVeriB[BelgeTarihi],ROW()-ROW(tblVeriB[[#Headers]])),""),"yyyymmdd")&amp;"|"&amp;TEXT(IFERROR(INDEX(tblVeriB[Tutar],ROW()-ROW(tblVeriB[[#Headers]])),0),"0.00"))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IF($A225="","",TEXT(IFERROR(INDEX(tblVeriA[Tarih],ROW()-ROW(tblVeriA[[#Headers]])),""),"yyyymmdd")&amp;"|"&amp;TEXT(IFERROR(INDEX(tblVeriA[Toplam],ROW()-ROW(tblVeriA[[#Headers]])),0),"0.00"))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IF($I225="","",TEXT(IFERROR(INDEX(tblVeriB[BelgeTarihi],ROW()-ROW(tblVeriB[[#Headers]])),""),"yyyymmdd")&amp;"|"&amp;TEXT(IFERROR(INDEX(tblVeriB[Tutar],ROW()-ROW(tblVeriB[[#Headers]])),0),"0.00"))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IF($A226="","",TEXT(IFERROR(INDEX(tblVeriA[Tarih],ROW()-ROW(tblVeriA[[#Headers]])),""),"yyyymmdd")&amp;"|"&amp;TEXT(IFERROR(INDEX(tblVeriA[Toplam],ROW()-ROW(tblVeriA[[#Headers]])),0),"0.00"))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IF($I226="","",TEXT(IFERROR(INDEX(tblVeriB[BelgeTarihi],ROW()-ROW(tblVeriB[[#Headers]])),""),"yyyymmdd")&amp;"|"&amp;TEXT(IFERROR(INDEX(tblVeriB[Tutar],ROW()-ROW(tblVeriB[[#Headers]])),0),"0.00"))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IF($A227="","",TEXT(IFERROR(INDEX(tblVeriA[Tarih],ROW()-ROW(tblVeriA[[#Headers]])),""),"yyyymmdd")&amp;"|"&amp;TEXT(IFERROR(INDEX(tblVeriA[Toplam],ROW()-ROW(tblVeriA[[#Headers]])),0),"0.00"))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IF($I227="","",TEXT(IFERROR(INDEX(tblVeriB[BelgeTarihi],ROW()-ROW(tblVeriB[[#Headers]])),""),"yyyymmdd")&amp;"|"&amp;TEXT(IFERROR(INDEX(tblVeriB[Tutar],ROW()-ROW(tblVeriB[[#Headers]])),0),"0.00"))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IF($A228="","",TEXT(IFERROR(INDEX(tblVeriA[Tarih],ROW()-ROW(tblVeriA[[#Headers]])),""),"yyyymmdd")&amp;"|"&amp;TEXT(IFERROR(INDEX(tblVeriA[Toplam],ROW()-ROW(tblVeriA[[#Headers]])),0),"0.00"))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IF($I228="","",TEXT(IFERROR(INDEX(tblVeriB[BelgeTarihi],ROW()-ROW(tblVeriB[[#Headers]])),""),"yyyymmdd")&amp;"|"&amp;TEXT(IFERROR(INDEX(tblVeriB[Tutar],ROW()-ROW(tblVeriB[[#Headers]])),0),"0.00"))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IF($A229="","",TEXT(IFERROR(INDEX(tblVeriA[Tarih],ROW()-ROW(tblVeriA[[#Headers]])),""),"yyyymmdd")&amp;"|"&amp;TEXT(IFERROR(INDEX(tblVeriA[Toplam],ROW()-ROW(tblVeriA[[#Headers]])),0),"0.00"))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IF($I229="","",TEXT(IFERROR(INDEX(tblVeriB[BelgeTarihi],ROW()-ROW(tblVeriB[[#Headers]])),""),"yyyymmdd")&amp;"|"&amp;TEXT(IFERROR(INDEX(tblVeriB[Tutar],ROW()-ROW(tblVeriB[[#Headers]])),0),"0.00"))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IF($A230="","",TEXT(IFERROR(INDEX(tblVeriA[Tarih],ROW()-ROW(tblVeriA[[#Headers]])),""),"yyyymmdd")&amp;"|"&amp;TEXT(IFERROR(INDEX(tblVeriA[Toplam],ROW()-ROW(tblVeriA[[#Headers]])),0),"0.00"))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IF($I230="","",TEXT(IFERROR(INDEX(tblVeriB[BelgeTarihi],ROW()-ROW(tblVeriB[[#Headers]])),""),"yyyymmdd")&amp;"|"&amp;TEXT(IFERROR(INDEX(tblVeriB[Tutar],ROW()-ROW(tblVeriB[[#Headers]])),0),"0.00"))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IF($A231="","",TEXT(IFERROR(INDEX(tblVeriA[Tarih],ROW()-ROW(tblVeriA[[#Headers]])),""),"yyyymmdd")&amp;"|"&amp;TEXT(IFERROR(INDEX(tblVeriA[Toplam],ROW()-ROW(tblVeriA[[#Headers]])),0),"0.00"))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IF($I231="","",TEXT(IFERROR(INDEX(tblVeriB[BelgeTarihi],ROW()-ROW(tblVeriB[[#Headers]])),""),"yyyymmdd")&amp;"|"&amp;TEXT(IFERROR(INDEX(tblVeriB[Tutar],ROW()-ROW(tblVeriB[[#Headers]])),0),"0.00"))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IF($A232="","",TEXT(IFERROR(INDEX(tblVeriA[Tarih],ROW()-ROW(tblVeriA[[#Headers]])),""),"yyyymmdd")&amp;"|"&amp;TEXT(IFERROR(INDEX(tblVeriA[Toplam],ROW()-ROW(tblVeriA[[#Headers]])),0),"0.00"))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IF($I232="","",TEXT(IFERROR(INDEX(tblVeriB[BelgeTarihi],ROW()-ROW(tblVeriB[[#Headers]])),""),"yyyymmdd")&amp;"|"&amp;TEXT(IFERROR(INDEX(tblVeriB[Tutar],ROW()-ROW(tblVeriB[[#Headers]])),0),"0.00"))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IF($A233="","",TEXT(IFERROR(INDEX(tblVeriA[Tarih],ROW()-ROW(tblVeriA[[#Headers]])),""),"yyyymmdd")&amp;"|"&amp;TEXT(IFERROR(INDEX(tblVeriA[Toplam],ROW()-ROW(tblVeriA[[#Headers]])),0),"0.00"))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IF($I233="","",TEXT(IFERROR(INDEX(tblVeriB[BelgeTarihi],ROW()-ROW(tblVeriB[[#Headers]])),""),"yyyymmdd")&amp;"|"&amp;TEXT(IFERROR(INDEX(tblVeriB[Tutar],ROW()-ROW(tblVeriB[[#Headers]])),0),"0.00"))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IF($A234="","",TEXT(IFERROR(INDEX(tblVeriA[Tarih],ROW()-ROW(tblVeriA[[#Headers]])),""),"yyyymmdd")&amp;"|"&amp;TEXT(IFERROR(INDEX(tblVeriA[Toplam],ROW()-ROW(tblVeriA[[#Headers]])),0),"0.00"))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IF($I234="","",TEXT(IFERROR(INDEX(tblVeriB[BelgeTarihi],ROW()-ROW(tblVeriB[[#Headers]])),""),"yyyymmdd")&amp;"|"&amp;TEXT(IFERROR(INDEX(tblVeriB[Tutar],ROW()-ROW(tblVeriB[[#Headers]])),0),"0.00"))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IF($A235="","",TEXT(IFERROR(INDEX(tblVeriA[Tarih],ROW()-ROW(tblVeriA[[#Headers]])),""),"yyyymmdd")&amp;"|"&amp;TEXT(IFERROR(INDEX(tblVeriA[Toplam],ROW()-ROW(tblVeriA[[#Headers]])),0),"0.00"))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IF($I235="","",TEXT(IFERROR(INDEX(tblVeriB[BelgeTarihi],ROW()-ROW(tblVeriB[[#Headers]])),""),"yyyymmdd")&amp;"|"&amp;TEXT(IFERROR(INDEX(tblVeriB[Tutar],ROW()-ROW(tblVeriB[[#Headers]])),0),"0.00"))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IF($A236="","",TEXT(IFERROR(INDEX(tblVeriA[Tarih],ROW()-ROW(tblVeriA[[#Headers]])),""),"yyyymmdd")&amp;"|"&amp;TEXT(IFERROR(INDEX(tblVeriA[Toplam],ROW()-ROW(tblVeriA[[#Headers]])),0),"0.00"))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IF($I236="","",TEXT(IFERROR(INDEX(tblVeriB[BelgeTarihi],ROW()-ROW(tblVeriB[[#Headers]])),""),"yyyymmdd")&amp;"|"&amp;TEXT(IFERROR(INDEX(tblVeriB[Tutar],ROW()-ROW(tblVeriB[[#Headers]])),0),"0.00"))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IF($A237="","",TEXT(IFERROR(INDEX(tblVeriA[Tarih],ROW()-ROW(tblVeriA[[#Headers]])),""),"yyyymmdd")&amp;"|"&amp;TEXT(IFERROR(INDEX(tblVeriA[Toplam],ROW()-ROW(tblVeriA[[#Headers]])),0),"0.00"))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IF($I237="","",TEXT(IFERROR(INDEX(tblVeriB[BelgeTarihi],ROW()-ROW(tblVeriB[[#Headers]])),""),"yyyymmdd")&amp;"|"&amp;TEXT(IFERROR(INDEX(tblVeriB[Tutar],ROW()-ROW(tblVeriB[[#Headers]])),0),"0.00"))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IF($A238="","",TEXT(IFERROR(INDEX(tblVeriA[Tarih],ROW()-ROW(tblVeriA[[#Headers]])),""),"yyyymmdd")&amp;"|"&amp;TEXT(IFERROR(INDEX(tblVeriA[Toplam],ROW()-ROW(tblVeriA[[#Headers]])),0),"0.00"))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IF($I238="","",TEXT(IFERROR(INDEX(tblVeriB[BelgeTarihi],ROW()-ROW(tblVeriB[[#Headers]])),""),"yyyymmdd")&amp;"|"&amp;TEXT(IFERROR(INDEX(tblVeriB[Tutar],ROW()-ROW(tblVeriB[[#Headers]])),0),"0.00"))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IF($A239="","",TEXT(IFERROR(INDEX(tblVeriA[Tarih],ROW()-ROW(tblVeriA[[#Headers]])),""),"yyyymmdd")&amp;"|"&amp;TEXT(IFERROR(INDEX(tblVeriA[Toplam],ROW()-ROW(tblVeriA[[#Headers]])),0),"0.00"))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IF($I239="","",TEXT(IFERROR(INDEX(tblVeriB[BelgeTarihi],ROW()-ROW(tblVeriB[[#Headers]])),""),"yyyymmdd")&amp;"|"&amp;TEXT(IFERROR(INDEX(tblVeriB[Tutar],ROW()-ROW(tblVeriB[[#Headers]])),0),"0.00"))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IF($A240="","",TEXT(IFERROR(INDEX(tblVeriA[Tarih],ROW()-ROW(tblVeriA[[#Headers]])),""),"yyyymmdd")&amp;"|"&amp;TEXT(IFERROR(INDEX(tblVeriA[Toplam],ROW()-ROW(tblVeriA[[#Headers]])),0),"0.00"))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IF($I240="","",TEXT(IFERROR(INDEX(tblVeriB[BelgeTarihi],ROW()-ROW(tblVeriB[[#Headers]])),""),"yyyymmdd")&amp;"|"&amp;TEXT(IFERROR(INDEX(tblVeriB[Tutar],ROW()-ROW(tblVeriB[[#Headers]])),0),"0.00"))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IF($A241="","",TEXT(IFERROR(INDEX(tblVeriA[Tarih],ROW()-ROW(tblVeriA[[#Headers]])),""),"yyyymmdd")&amp;"|"&amp;TEXT(IFERROR(INDEX(tblVeriA[Toplam],ROW()-ROW(tblVeriA[[#Headers]])),0),"0.00"))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IF($I241="","",TEXT(IFERROR(INDEX(tblVeriB[BelgeTarihi],ROW()-ROW(tblVeriB[[#Headers]])),""),"yyyymmdd")&amp;"|"&amp;TEXT(IFERROR(INDEX(tblVeriB[Tutar],ROW()-ROW(tblVeriB[[#Headers]])),0),"0.00"))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IF($A242="","",TEXT(IFERROR(INDEX(tblVeriA[Tarih],ROW()-ROW(tblVeriA[[#Headers]])),""),"yyyymmdd")&amp;"|"&amp;TEXT(IFERROR(INDEX(tblVeriA[Toplam],ROW()-ROW(tblVeriA[[#Headers]])),0),"0.00"))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IF($I242="","",TEXT(IFERROR(INDEX(tblVeriB[BelgeTarihi],ROW()-ROW(tblVeriB[[#Headers]])),""),"yyyymmdd")&amp;"|"&amp;TEXT(IFERROR(INDEX(tblVeriB[Tutar],ROW()-ROW(tblVeriB[[#Headers]])),0),"0.00"))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IF($A243="","",TEXT(IFERROR(INDEX(tblVeriA[Tarih],ROW()-ROW(tblVeriA[[#Headers]])),""),"yyyymmdd")&amp;"|"&amp;TEXT(IFERROR(INDEX(tblVeriA[Toplam],ROW()-ROW(tblVeriA[[#Headers]])),0),"0.00"))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IF($I243="","",TEXT(IFERROR(INDEX(tblVeriB[BelgeTarihi],ROW()-ROW(tblVeriB[[#Headers]])),""),"yyyymmdd")&amp;"|"&amp;TEXT(IFERROR(INDEX(tblVeriB[Tutar],ROW()-ROW(tblVeriB[[#Headers]])),0),"0.00"))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IF($A244="","",TEXT(IFERROR(INDEX(tblVeriA[Tarih],ROW()-ROW(tblVeriA[[#Headers]])),""),"yyyymmdd")&amp;"|"&amp;TEXT(IFERROR(INDEX(tblVeriA[Toplam],ROW()-ROW(tblVeriA[[#Headers]])),0),"0.00"))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IF($I244="","",TEXT(IFERROR(INDEX(tblVeriB[BelgeTarihi],ROW()-ROW(tblVeriB[[#Headers]])),""),"yyyymmdd")&amp;"|"&amp;TEXT(IFERROR(INDEX(tblVeriB[Tutar],ROW()-ROW(tblVeriB[[#Headers]])),0),"0.00"))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IF($A245="","",TEXT(IFERROR(INDEX(tblVeriA[Tarih],ROW()-ROW(tblVeriA[[#Headers]])),""),"yyyymmdd")&amp;"|"&amp;TEXT(IFERROR(INDEX(tblVeriA[Toplam],ROW()-ROW(tblVeriA[[#Headers]])),0),"0.00"))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IF($I245="","",TEXT(IFERROR(INDEX(tblVeriB[BelgeTarihi],ROW()-ROW(tblVeriB[[#Headers]])),""),"yyyymmdd")&amp;"|"&amp;TEXT(IFERROR(INDEX(tblVeriB[Tutar],ROW()-ROW(tblVeriB[[#Headers]])),0),"0.00"))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IF($A246="","",TEXT(IFERROR(INDEX(tblVeriA[Tarih],ROW()-ROW(tblVeriA[[#Headers]])),""),"yyyymmdd")&amp;"|"&amp;TEXT(IFERROR(INDEX(tblVeriA[Toplam],ROW()-ROW(tblVeriA[[#Headers]])),0),"0.00"))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IF($I246="","",TEXT(IFERROR(INDEX(tblVeriB[BelgeTarihi],ROW()-ROW(tblVeriB[[#Headers]])),""),"yyyymmdd")&amp;"|"&amp;TEXT(IFERROR(INDEX(tblVeriB[Tutar],ROW()-ROW(tblVeriB[[#Headers]])),0),"0.00"))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IF($A247="","",TEXT(IFERROR(INDEX(tblVeriA[Tarih],ROW()-ROW(tblVeriA[[#Headers]])),""),"yyyymmdd")&amp;"|"&amp;TEXT(IFERROR(INDEX(tblVeriA[Toplam],ROW()-ROW(tblVeriA[[#Headers]])),0),"0.00"))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IF($I247="","",TEXT(IFERROR(INDEX(tblVeriB[BelgeTarihi],ROW()-ROW(tblVeriB[[#Headers]])),""),"yyyymmdd")&amp;"|"&amp;TEXT(IFERROR(INDEX(tblVeriB[Tutar],ROW()-ROW(tblVeriB[[#Headers]])),0),"0.00"))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IF($A248="","",TEXT(IFERROR(INDEX(tblVeriA[Tarih],ROW()-ROW(tblVeriA[[#Headers]])),""),"yyyymmdd")&amp;"|"&amp;TEXT(IFERROR(INDEX(tblVeriA[Toplam],ROW()-ROW(tblVeriA[[#Headers]])),0),"0.00"))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IF($I248="","",TEXT(IFERROR(INDEX(tblVeriB[BelgeTarihi],ROW()-ROW(tblVeriB[[#Headers]])),""),"yyyymmdd")&amp;"|"&amp;TEXT(IFERROR(INDEX(tblVeriB[Tutar],ROW()-ROW(tblVeriB[[#Headers]])),0),"0.00"))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IF($A249="","",TEXT(IFERROR(INDEX(tblVeriA[Tarih],ROW()-ROW(tblVeriA[[#Headers]])),""),"yyyymmdd")&amp;"|"&amp;TEXT(IFERROR(INDEX(tblVeriA[Toplam],ROW()-ROW(tblVeriA[[#Headers]])),0),"0.00"))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IF($I249="","",TEXT(IFERROR(INDEX(tblVeriB[BelgeTarihi],ROW()-ROW(tblVeriB[[#Headers]])),""),"yyyymmdd")&amp;"|"&amp;TEXT(IFERROR(INDEX(tblVeriB[Tutar],ROW()-ROW(tblVeriB[[#Headers]])),0),"0.00"))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IF($A250="","",TEXT(IFERROR(INDEX(tblVeriA[Tarih],ROW()-ROW(tblVeriA[[#Headers]])),""),"yyyymmdd")&amp;"|"&amp;TEXT(IFERROR(INDEX(tblVeriA[Toplam],ROW()-ROW(tblVeriA[[#Headers]])),0),"0.00"))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IF($I250="","",TEXT(IFERROR(INDEX(tblVeriB[BelgeTarihi],ROW()-ROW(tblVeriB[[#Headers]])),""),"yyyymmdd")&amp;"|"&amp;TEXT(IFERROR(INDEX(tblVeriB[Tutar],ROW()-ROW(tblVeriB[[#Headers]])),0),"0.00"))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IF($A251="","",TEXT(IFERROR(INDEX(tblVeriA[Tarih],ROW()-ROW(tblVeriA[[#Headers]])),""),"yyyymmdd")&amp;"|"&amp;TEXT(IFERROR(INDEX(tblVeriA[Toplam],ROW()-ROW(tblVeriA[[#Headers]])),0),"0.00"))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IF($I251="","",TEXT(IFERROR(INDEX(tblVeriB[BelgeTarihi],ROW()-ROW(tblVeriB[[#Headers]])),""),"yyyymmdd")&amp;"|"&amp;TEXT(IFERROR(INDEX(tblVeriB[Tutar],ROW()-ROW(tblVeriB[[#Headers]])),0),"0.00"))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IF($A252="","",TEXT(IFERROR(INDEX(tblVeriA[Tarih],ROW()-ROW(tblVeriA[[#Headers]])),""),"yyyymmdd")&amp;"|"&amp;TEXT(IFERROR(INDEX(tblVeriA[Toplam],ROW()-ROW(tblVeriA[[#Headers]])),0),"0.00"))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IF($I252="","",TEXT(IFERROR(INDEX(tblVeriB[BelgeTarihi],ROW()-ROW(tblVeriB[[#Headers]])),""),"yyyymmdd")&amp;"|"&amp;TEXT(IFERROR(INDEX(tblVeriB[Tutar],ROW()-ROW(tblVeriB[[#Headers]])),0),"0.00"))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IF($A253="","",TEXT(IFERROR(INDEX(tblVeriA[Tarih],ROW()-ROW(tblVeriA[[#Headers]])),""),"yyyymmdd")&amp;"|"&amp;TEXT(IFERROR(INDEX(tblVeriA[Toplam],ROW()-ROW(tblVeriA[[#Headers]])),0),"0.00"))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IF($I253="","",TEXT(IFERROR(INDEX(tblVeriB[BelgeTarihi],ROW()-ROW(tblVeriB[[#Headers]])),""),"yyyymmdd")&amp;"|"&amp;TEXT(IFERROR(INDEX(tblVeriB[Tutar],ROW()-ROW(tblVeriB[[#Headers]])),0),"0.00"))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IF($A254="","",TEXT(IFERROR(INDEX(tblVeriA[Tarih],ROW()-ROW(tblVeriA[[#Headers]])),""),"yyyymmdd")&amp;"|"&amp;TEXT(IFERROR(INDEX(tblVeriA[Toplam],ROW()-ROW(tblVeriA[[#Headers]])),0),"0.00"))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IF($I254="","",TEXT(IFERROR(INDEX(tblVeriB[BelgeTarihi],ROW()-ROW(tblVeriB[[#Headers]])),""),"yyyymmdd")&amp;"|"&amp;TEXT(IFERROR(INDEX(tblVeriB[Tutar],ROW()-ROW(tblVeriB[[#Headers]])),0),"0.00"))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IF($A255="","",TEXT(IFERROR(INDEX(tblVeriA[Tarih],ROW()-ROW(tblVeriA[[#Headers]])),""),"yyyymmdd")&amp;"|"&amp;TEXT(IFERROR(INDEX(tblVeriA[Toplam],ROW()-ROW(tblVeriA[[#Headers]])),0),"0.00"))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IF($I255="","",TEXT(IFERROR(INDEX(tblVeriB[BelgeTarihi],ROW()-ROW(tblVeriB[[#Headers]])),""),"yyyymmdd")&amp;"|"&amp;TEXT(IFERROR(INDEX(tblVeriB[Tutar],ROW()-ROW(tblVeriB[[#Headers]])),0),"0.00"))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IF($A256="","",TEXT(IFERROR(INDEX(tblVeriA[Tarih],ROW()-ROW(tblVeriA[[#Headers]])),""),"yyyymmdd")&amp;"|"&amp;TEXT(IFERROR(INDEX(tblVeriA[Toplam],ROW()-ROW(tblVeriA[[#Headers]])),0),"0.00"))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IF($I256="","",TEXT(IFERROR(INDEX(tblVeriB[BelgeTarihi],ROW()-ROW(tblVeriB[[#Headers]])),""),"yyyymmdd")&amp;"|"&amp;TEXT(IFERROR(INDEX(tblVeriB[Tutar],ROW()-ROW(tblVeriB[[#Headers]])),0),"0.00"))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IF($A257="","",TEXT(IFERROR(INDEX(tblVeriA[Tarih],ROW()-ROW(tblVeriA[[#Headers]])),""),"yyyymmdd")&amp;"|"&amp;TEXT(IFERROR(INDEX(tblVeriA[Toplam],ROW()-ROW(tblVeriA[[#Headers]])),0),"0.00"))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IF($I257="","",TEXT(IFERROR(INDEX(tblVeriB[BelgeTarihi],ROW()-ROW(tblVeriB[[#Headers]])),""),"yyyymmdd")&amp;"|"&amp;TEXT(IFERROR(INDEX(tblVeriB[Tutar],ROW()-ROW(tblVeriB[[#Headers]])),0),"0.00"))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IF($A258="","",TEXT(IFERROR(INDEX(tblVeriA[Tarih],ROW()-ROW(tblVeriA[[#Headers]])),""),"yyyymmdd")&amp;"|"&amp;TEXT(IFERROR(INDEX(tblVeriA[Toplam],ROW()-ROW(tblVeriA[[#Headers]])),0),"0.00"))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IF($I258="","",TEXT(IFERROR(INDEX(tblVeriB[BelgeTarihi],ROW()-ROW(tblVeriB[[#Headers]])),""),"yyyymmdd")&amp;"|"&amp;TEXT(IFERROR(INDEX(tblVeriB[Tutar],ROW()-ROW(tblVeriB[[#Headers]])),0),"0.00"))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IF($A259="","",TEXT(IFERROR(INDEX(tblVeriA[Tarih],ROW()-ROW(tblVeriA[[#Headers]])),""),"yyyymmdd")&amp;"|"&amp;TEXT(IFERROR(INDEX(tblVeriA[Toplam],ROW()-ROW(tblVeriA[[#Headers]])),0),"0.00"))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IF($I259="","",TEXT(IFERROR(INDEX(tblVeriB[BelgeTarihi],ROW()-ROW(tblVeriB[[#Headers]])),""),"yyyymmdd")&amp;"|"&amp;TEXT(IFERROR(INDEX(tblVeriB[Tutar],ROW()-ROW(tblVeriB[[#Headers]])),0),"0.00"))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IF($A260="","",TEXT(IFERROR(INDEX(tblVeriA[Tarih],ROW()-ROW(tblVeriA[[#Headers]])),""),"yyyymmdd")&amp;"|"&amp;TEXT(IFERROR(INDEX(tblVeriA[Toplam],ROW()-ROW(tblVeriA[[#Headers]])),0),"0.00"))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IF($I260="","",TEXT(IFERROR(INDEX(tblVeriB[BelgeTarihi],ROW()-ROW(tblVeriB[[#Headers]])),""),"yyyymmdd")&amp;"|"&amp;TEXT(IFERROR(INDEX(tblVeriB[Tutar],ROW()-ROW(tblVeriB[[#Headers]])),0),"0.00"))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IF($A261="","",TEXT(IFERROR(INDEX(tblVeriA[Tarih],ROW()-ROW(tblVeriA[[#Headers]])),""),"yyyymmdd")&amp;"|"&amp;TEXT(IFERROR(INDEX(tblVeriA[Toplam],ROW()-ROW(tblVeriA[[#Headers]])),0),"0.00"))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IF($I261="","",TEXT(IFERROR(INDEX(tblVeriB[BelgeTarihi],ROW()-ROW(tblVeriB[[#Headers]])),""),"yyyymmdd")&amp;"|"&amp;TEXT(IFERROR(INDEX(tblVeriB[Tutar],ROW()-ROW(tblVeriB[[#Headers]])),0),"0.00"))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IF($A262="","",TEXT(IFERROR(INDEX(tblVeriA[Tarih],ROW()-ROW(tblVeriA[[#Headers]])),""),"yyyymmdd")&amp;"|"&amp;TEXT(IFERROR(INDEX(tblVeriA[Toplam],ROW()-ROW(tblVeriA[[#Headers]])),0),"0.00"))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IF($I262="","",TEXT(IFERROR(INDEX(tblVeriB[BelgeTarihi],ROW()-ROW(tblVeriB[[#Headers]])),""),"yyyymmdd")&amp;"|"&amp;TEXT(IFERROR(INDEX(tblVeriB[Tutar],ROW()-ROW(tblVeriB[[#Headers]])),0),"0.00"))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IF($A263="","",TEXT(IFERROR(INDEX(tblVeriA[Tarih],ROW()-ROW(tblVeriA[[#Headers]])),""),"yyyymmdd")&amp;"|"&amp;TEXT(IFERROR(INDEX(tblVeriA[Toplam],ROW()-ROW(tblVeriA[[#Headers]])),0),"0.00"))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IF($I263="","",TEXT(IFERROR(INDEX(tblVeriB[BelgeTarihi],ROW()-ROW(tblVeriB[[#Headers]])),""),"yyyymmdd")&amp;"|"&amp;TEXT(IFERROR(INDEX(tblVeriB[Tutar],ROW()-ROW(tblVeriB[[#Headers]])),0),"0.00"))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IF($A264="","",TEXT(IFERROR(INDEX(tblVeriA[Tarih],ROW()-ROW(tblVeriA[[#Headers]])),""),"yyyymmdd")&amp;"|"&amp;TEXT(IFERROR(INDEX(tblVeriA[Toplam],ROW()-ROW(tblVeriA[[#Headers]])),0),"0.00"))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IF($I264="","",TEXT(IFERROR(INDEX(tblVeriB[BelgeTarihi],ROW()-ROW(tblVeriB[[#Headers]])),""),"yyyymmdd")&amp;"|"&amp;TEXT(IFERROR(INDEX(tblVeriB[Tutar],ROW()-ROW(tblVeriB[[#Headers]])),0),"0.00"))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IF($A265="","",TEXT(IFERROR(INDEX(tblVeriA[Tarih],ROW()-ROW(tblVeriA[[#Headers]])),""),"yyyymmdd")&amp;"|"&amp;TEXT(IFERROR(INDEX(tblVeriA[Toplam],ROW()-ROW(tblVeriA[[#Headers]])),0),"0.00"))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IF($I265="","",TEXT(IFERROR(INDEX(tblVeriB[BelgeTarihi],ROW()-ROW(tblVeriB[[#Headers]])),""),"yyyymmdd")&amp;"|"&amp;TEXT(IFERROR(INDEX(tblVeriB[Tutar],ROW()-ROW(tblVeriB[[#Headers]])),0),"0.00"))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IF($A266="","",TEXT(IFERROR(INDEX(tblVeriA[Tarih],ROW()-ROW(tblVeriA[[#Headers]])),""),"yyyymmdd")&amp;"|"&amp;TEXT(IFERROR(INDEX(tblVeriA[Toplam],ROW()-ROW(tblVeriA[[#Headers]])),0),"0.00"))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IF($I266="","",TEXT(IFERROR(INDEX(tblVeriB[BelgeTarihi],ROW()-ROW(tblVeriB[[#Headers]])),""),"yyyymmdd")&amp;"|"&amp;TEXT(IFERROR(INDEX(tblVeriB[Tutar],ROW()-ROW(tblVeriB[[#Headers]])),0),"0.00"))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IF($A267="","",TEXT(IFERROR(INDEX(tblVeriA[Tarih],ROW()-ROW(tblVeriA[[#Headers]])),""),"yyyymmdd")&amp;"|"&amp;TEXT(IFERROR(INDEX(tblVeriA[Toplam],ROW()-ROW(tblVeriA[[#Headers]])),0),"0.00"))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IF($I267="","",TEXT(IFERROR(INDEX(tblVeriB[BelgeTarihi],ROW()-ROW(tblVeriB[[#Headers]])),""),"yyyymmdd")&amp;"|"&amp;TEXT(IFERROR(INDEX(tblVeriB[Tutar],ROW()-ROW(tblVeriB[[#Headers]])),0),"0.00"))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IF($A268="","",TEXT(IFERROR(INDEX(tblVeriA[Tarih],ROW()-ROW(tblVeriA[[#Headers]])),""),"yyyymmdd")&amp;"|"&amp;TEXT(IFERROR(INDEX(tblVeriA[Toplam],ROW()-ROW(tblVeriA[[#Headers]])),0),"0.00"))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IF($I268="","",TEXT(IFERROR(INDEX(tblVeriB[BelgeTarihi],ROW()-ROW(tblVeriB[[#Headers]])),""),"yyyymmdd")&amp;"|"&amp;TEXT(IFERROR(INDEX(tblVeriB[Tutar],ROW()-ROW(tblVeriB[[#Headers]])),0),"0.00"))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IF($A269="","",TEXT(IFERROR(INDEX(tblVeriA[Tarih],ROW()-ROW(tblVeriA[[#Headers]])),""),"yyyymmdd")&amp;"|"&amp;TEXT(IFERROR(INDEX(tblVeriA[Toplam],ROW()-ROW(tblVeriA[[#Headers]])),0),"0.00"))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IF($I269="","",TEXT(IFERROR(INDEX(tblVeriB[BelgeTarihi],ROW()-ROW(tblVeriB[[#Headers]])),""),"yyyymmdd")&amp;"|"&amp;TEXT(IFERROR(INDEX(tblVeriB[Tutar],ROW()-ROW(tblVeriB[[#Headers]])),0),"0.00"))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IF($A270="","",TEXT(IFERROR(INDEX(tblVeriA[Tarih],ROW()-ROW(tblVeriA[[#Headers]])),""),"yyyymmdd")&amp;"|"&amp;TEXT(IFERROR(INDEX(tblVeriA[Toplam],ROW()-ROW(tblVeriA[[#Headers]])),0),"0.00"))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IF($I270="","",TEXT(IFERROR(INDEX(tblVeriB[BelgeTarihi],ROW()-ROW(tblVeriB[[#Headers]])),""),"yyyymmdd")&amp;"|"&amp;TEXT(IFERROR(INDEX(tblVeriB[Tutar],ROW()-ROW(tblVeriB[[#Headers]])),0),"0.00"))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IF($A271="","",TEXT(IFERROR(INDEX(tblVeriA[Tarih],ROW()-ROW(tblVeriA[[#Headers]])),""),"yyyymmdd")&amp;"|"&amp;TEXT(IFERROR(INDEX(tblVeriA[Toplam],ROW()-ROW(tblVeriA[[#Headers]])),0),"0.00"))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IF($I271="","",TEXT(IFERROR(INDEX(tblVeriB[BelgeTarihi],ROW()-ROW(tblVeriB[[#Headers]])),""),"yyyymmdd")&amp;"|"&amp;TEXT(IFERROR(INDEX(tblVeriB[Tutar],ROW()-ROW(tblVeriB[[#Headers]])),0),"0.00"))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IF($A272="","",TEXT(IFERROR(INDEX(tblVeriA[Tarih],ROW()-ROW(tblVeriA[[#Headers]])),""),"yyyymmdd")&amp;"|"&amp;TEXT(IFERROR(INDEX(tblVeriA[Toplam],ROW()-ROW(tblVeriA[[#Headers]])),0),"0.00"))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IF($I272="","",TEXT(IFERROR(INDEX(tblVeriB[BelgeTarihi],ROW()-ROW(tblVeriB[[#Headers]])),""),"yyyymmdd")&amp;"|"&amp;TEXT(IFERROR(INDEX(tblVeriB[Tutar],ROW()-ROW(tblVeriB[[#Headers]])),0),"0.00"))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IF($A273="","",TEXT(IFERROR(INDEX(tblVeriA[Tarih],ROW()-ROW(tblVeriA[[#Headers]])),""),"yyyymmdd")&amp;"|"&amp;TEXT(IFERROR(INDEX(tblVeriA[Toplam],ROW()-ROW(tblVeriA[[#Headers]])),0),"0.00"))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IF($I273="","",TEXT(IFERROR(INDEX(tblVeriB[BelgeTarihi],ROW()-ROW(tblVeriB[[#Headers]])),""),"yyyymmdd")&amp;"|"&amp;TEXT(IFERROR(INDEX(tblVeriB[Tutar],ROW()-ROW(tblVeriB[[#Headers]])),0),"0.00"))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IF($A274="","",TEXT(IFERROR(INDEX(tblVeriA[Tarih],ROW()-ROW(tblVeriA[[#Headers]])),""),"yyyymmdd")&amp;"|"&amp;TEXT(IFERROR(INDEX(tblVeriA[Toplam],ROW()-ROW(tblVeriA[[#Headers]])),0),"0.00"))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IF($I274="","",TEXT(IFERROR(INDEX(tblVeriB[BelgeTarihi],ROW()-ROW(tblVeriB[[#Headers]])),""),"yyyymmdd")&amp;"|"&amp;TEXT(IFERROR(INDEX(tblVeriB[Tutar],ROW()-ROW(tblVeriB[[#Headers]])),0),"0.00"))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IF($A275="","",TEXT(IFERROR(INDEX(tblVeriA[Tarih],ROW()-ROW(tblVeriA[[#Headers]])),""),"yyyymmdd")&amp;"|"&amp;TEXT(IFERROR(INDEX(tblVeriA[Toplam],ROW()-ROW(tblVeriA[[#Headers]])),0),"0.00"))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IF($I275="","",TEXT(IFERROR(INDEX(tblVeriB[BelgeTarihi],ROW()-ROW(tblVeriB[[#Headers]])),""),"yyyymmdd")&amp;"|"&amp;TEXT(IFERROR(INDEX(tblVeriB[Tutar],ROW()-ROW(tblVeriB[[#Headers]])),0),"0.00"))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IF($A276="","",TEXT(IFERROR(INDEX(tblVeriA[Tarih],ROW()-ROW(tblVeriA[[#Headers]])),""),"yyyymmdd")&amp;"|"&amp;TEXT(IFERROR(INDEX(tblVeriA[Toplam],ROW()-ROW(tblVeriA[[#Headers]])),0),"0.00"))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IF($I276="","",TEXT(IFERROR(INDEX(tblVeriB[BelgeTarihi],ROW()-ROW(tblVeriB[[#Headers]])),""),"yyyymmdd")&amp;"|"&amp;TEXT(IFERROR(INDEX(tblVeriB[Tutar],ROW()-ROW(tblVeriB[[#Headers]])),0),"0.00"))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IF($A277="","",TEXT(IFERROR(INDEX(tblVeriA[Tarih],ROW()-ROW(tblVeriA[[#Headers]])),""),"yyyymmdd")&amp;"|"&amp;TEXT(IFERROR(INDEX(tblVeriA[Toplam],ROW()-ROW(tblVeriA[[#Headers]])),0),"0.00"))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IF($I277="","",TEXT(IFERROR(INDEX(tblVeriB[BelgeTarihi],ROW()-ROW(tblVeriB[[#Headers]])),""),"yyyymmdd")&amp;"|"&amp;TEXT(IFERROR(INDEX(tblVeriB[Tutar],ROW()-ROW(tblVeriB[[#Headers]])),0),"0.00"))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IF($A278="","",TEXT(IFERROR(INDEX(tblVeriA[Tarih],ROW()-ROW(tblVeriA[[#Headers]])),""),"yyyymmdd")&amp;"|"&amp;TEXT(IFERROR(INDEX(tblVeriA[Toplam],ROW()-ROW(tblVeriA[[#Headers]])),0),"0.00"))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IF($I278="","",TEXT(IFERROR(INDEX(tblVeriB[BelgeTarihi],ROW()-ROW(tblVeriB[[#Headers]])),""),"yyyymmdd")&amp;"|"&amp;TEXT(IFERROR(INDEX(tblVeriB[Tutar],ROW()-ROW(tblVeriB[[#Headers]])),0),"0.00"))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IF($A279="","",TEXT(IFERROR(INDEX(tblVeriA[Tarih],ROW()-ROW(tblVeriA[[#Headers]])),""),"yyyymmdd")&amp;"|"&amp;TEXT(IFERROR(INDEX(tblVeriA[Toplam],ROW()-ROW(tblVeriA[[#Headers]])),0),"0.00"))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IF($I279="","",TEXT(IFERROR(INDEX(tblVeriB[BelgeTarihi],ROW()-ROW(tblVeriB[[#Headers]])),""),"yyyymmdd")&amp;"|"&amp;TEXT(IFERROR(INDEX(tblVeriB[Tutar],ROW()-ROW(tblVeriB[[#Headers]])),0),"0.00"))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IF($A280="","",TEXT(IFERROR(INDEX(tblVeriA[Tarih],ROW()-ROW(tblVeriA[[#Headers]])),""),"yyyymmdd")&amp;"|"&amp;TEXT(IFERROR(INDEX(tblVeriA[Toplam],ROW()-ROW(tblVeriA[[#Headers]])),0),"0.00"))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IF($I280="","",TEXT(IFERROR(INDEX(tblVeriB[BelgeTarihi],ROW()-ROW(tblVeriB[[#Headers]])),""),"yyyymmdd")&amp;"|"&amp;TEXT(IFERROR(INDEX(tblVeriB[Tutar],ROW()-ROW(tblVeriB[[#Headers]])),0),"0.00"))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IF($A281="","",TEXT(IFERROR(INDEX(tblVeriA[Tarih],ROW()-ROW(tblVeriA[[#Headers]])),""),"yyyymmdd")&amp;"|"&amp;TEXT(IFERROR(INDEX(tblVeriA[Toplam],ROW()-ROW(tblVeriA[[#Headers]])),0),"0.00"))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IF($I281="","",TEXT(IFERROR(INDEX(tblVeriB[BelgeTarihi],ROW()-ROW(tblVeriB[[#Headers]])),""),"yyyymmdd")&amp;"|"&amp;TEXT(IFERROR(INDEX(tblVeriB[Tutar],ROW()-ROW(tblVeriB[[#Headers]])),0),"0.00"))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IF($A282="","",TEXT(IFERROR(INDEX(tblVeriA[Tarih],ROW()-ROW(tblVeriA[[#Headers]])),""),"yyyymmdd")&amp;"|"&amp;TEXT(IFERROR(INDEX(tblVeriA[Toplam],ROW()-ROW(tblVeriA[[#Headers]])),0),"0.00"))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IF($I282="","",TEXT(IFERROR(INDEX(tblVeriB[BelgeTarihi],ROW()-ROW(tblVeriB[[#Headers]])),""),"yyyymmdd")&amp;"|"&amp;TEXT(IFERROR(INDEX(tblVeriB[Tutar],ROW()-ROW(tblVeriB[[#Headers]])),0),"0.00"))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IF($A283="","",TEXT(IFERROR(INDEX(tblVeriA[Tarih],ROW()-ROW(tblVeriA[[#Headers]])),""),"yyyymmdd")&amp;"|"&amp;TEXT(IFERROR(INDEX(tblVeriA[Toplam],ROW()-ROW(tblVeriA[[#Headers]])),0),"0.00"))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IF($I283="","",TEXT(IFERROR(INDEX(tblVeriB[BelgeTarihi],ROW()-ROW(tblVeriB[[#Headers]])),""),"yyyymmdd")&amp;"|"&amp;TEXT(IFERROR(INDEX(tblVeriB[Tutar],ROW()-ROW(tblVeriB[[#Headers]])),0),"0.00"))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IF($A284="","",TEXT(IFERROR(INDEX(tblVeriA[Tarih],ROW()-ROW(tblVeriA[[#Headers]])),""),"yyyymmdd")&amp;"|"&amp;TEXT(IFERROR(INDEX(tblVeriA[Toplam],ROW()-ROW(tblVeriA[[#Headers]])),0),"0.00"))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IF($I284="","",TEXT(IFERROR(INDEX(tblVeriB[BelgeTarihi],ROW()-ROW(tblVeriB[[#Headers]])),""),"yyyymmdd")&amp;"|"&amp;TEXT(IFERROR(INDEX(tblVeriB[Tutar],ROW()-ROW(tblVeriB[[#Headers]])),0),"0.00"))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IF($A285="","",TEXT(IFERROR(INDEX(tblVeriA[Tarih],ROW()-ROW(tblVeriA[[#Headers]])),""),"yyyymmdd")&amp;"|"&amp;TEXT(IFERROR(INDEX(tblVeriA[Toplam],ROW()-ROW(tblVeriA[[#Headers]])),0),"0.00"))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IF($I285="","",TEXT(IFERROR(INDEX(tblVeriB[BelgeTarihi],ROW()-ROW(tblVeriB[[#Headers]])),""),"yyyymmdd")&amp;"|"&amp;TEXT(IFERROR(INDEX(tblVeriB[Tutar],ROW()-ROW(tblVeriB[[#Headers]])),0),"0.00"))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IF($A286="","",TEXT(IFERROR(INDEX(tblVeriA[Tarih],ROW()-ROW(tblVeriA[[#Headers]])),""),"yyyymmdd")&amp;"|"&amp;TEXT(IFERROR(INDEX(tblVeriA[Toplam],ROW()-ROW(tblVeriA[[#Headers]])),0),"0.00"))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IF($I286="","",TEXT(IFERROR(INDEX(tblVeriB[BelgeTarihi],ROW()-ROW(tblVeriB[[#Headers]])),""),"yyyymmdd")&amp;"|"&amp;TEXT(IFERROR(INDEX(tblVeriB[Tutar],ROW()-ROW(tblVeriB[[#Headers]])),0),"0.00"))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IF($A287="","",TEXT(IFERROR(INDEX(tblVeriA[Tarih],ROW()-ROW(tblVeriA[[#Headers]])),""),"yyyymmdd")&amp;"|"&amp;TEXT(IFERROR(INDEX(tblVeriA[Toplam],ROW()-ROW(tblVeriA[[#Headers]])),0),"0.00"))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IF($I287="","",TEXT(IFERROR(INDEX(tblVeriB[BelgeTarihi],ROW()-ROW(tblVeriB[[#Headers]])),""),"yyyymmdd")&amp;"|"&amp;TEXT(IFERROR(INDEX(tblVeriB[Tutar],ROW()-ROW(tblVeriB[[#Headers]])),0),"0.00"))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IF($A288="","",TEXT(IFERROR(INDEX(tblVeriA[Tarih],ROW()-ROW(tblVeriA[[#Headers]])),""),"yyyymmdd")&amp;"|"&amp;TEXT(IFERROR(INDEX(tblVeriA[Toplam],ROW()-ROW(tblVeriA[[#Headers]])),0),"0.00"))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IF($I288="","",TEXT(IFERROR(INDEX(tblVeriB[BelgeTarihi],ROW()-ROW(tblVeriB[[#Headers]])),""),"yyyymmdd")&amp;"|"&amp;TEXT(IFERROR(INDEX(tblVeriB[Tutar],ROW()-ROW(tblVeriB[[#Headers]])),0),"0.00"))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IF($A289="","",TEXT(IFERROR(INDEX(tblVeriA[Tarih],ROW()-ROW(tblVeriA[[#Headers]])),""),"yyyymmdd")&amp;"|"&amp;TEXT(IFERROR(INDEX(tblVeriA[Toplam],ROW()-ROW(tblVeriA[[#Headers]])),0),"0.00"))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IF($I289="","",TEXT(IFERROR(INDEX(tblVeriB[BelgeTarihi],ROW()-ROW(tblVeriB[[#Headers]])),""),"yyyymmdd")&amp;"|"&amp;TEXT(IFERROR(INDEX(tblVeriB[Tutar],ROW()-ROW(tblVeriB[[#Headers]])),0),"0.00"))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IF($A290="","",TEXT(IFERROR(INDEX(tblVeriA[Tarih],ROW()-ROW(tblVeriA[[#Headers]])),""),"yyyymmdd")&amp;"|"&amp;TEXT(IFERROR(INDEX(tblVeriA[Toplam],ROW()-ROW(tblVeriA[[#Headers]])),0),"0.00"))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IF($I290="","",TEXT(IFERROR(INDEX(tblVeriB[BelgeTarihi],ROW()-ROW(tblVeriB[[#Headers]])),""),"yyyymmdd")&amp;"|"&amp;TEXT(IFERROR(INDEX(tblVeriB[Tutar],ROW()-ROW(tblVeriB[[#Headers]])),0),"0.00"))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IF($A291="","",TEXT(IFERROR(INDEX(tblVeriA[Tarih],ROW()-ROW(tblVeriA[[#Headers]])),""),"yyyymmdd")&amp;"|"&amp;TEXT(IFERROR(INDEX(tblVeriA[Toplam],ROW()-ROW(tblVeriA[[#Headers]])),0),"0.00"))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IF($I291="","",TEXT(IFERROR(INDEX(tblVeriB[BelgeTarihi],ROW()-ROW(tblVeriB[[#Headers]])),""),"yyyymmdd")&amp;"|"&amp;TEXT(IFERROR(INDEX(tblVeriB[Tutar],ROW()-ROW(tblVeriB[[#Headers]])),0),"0.00"))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IF($A292="","",TEXT(IFERROR(INDEX(tblVeriA[Tarih],ROW()-ROW(tblVeriA[[#Headers]])),""),"yyyymmdd")&amp;"|"&amp;TEXT(IFERROR(INDEX(tblVeriA[Toplam],ROW()-ROW(tblVeriA[[#Headers]])),0),"0.00"))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IF($I292="","",TEXT(IFERROR(INDEX(tblVeriB[BelgeTarihi],ROW()-ROW(tblVeriB[[#Headers]])),""),"yyyymmdd")&amp;"|"&amp;TEXT(IFERROR(INDEX(tblVeriB[Tutar],ROW()-ROW(tblVeriB[[#Headers]])),0),"0.00"))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IF($A293="","",TEXT(IFERROR(INDEX(tblVeriA[Tarih],ROW()-ROW(tblVeriA[[#Headers]])),""),"yyyymmdd")&amp;"|"&amp;TEXT(IFERROR(INDEX(tblVeriA[Toplam],ROW()-ROW(tblVeriA[[#Headers]])),0),"0.00"))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IF($I293="","",TEXT(IFERROR(INDEX(tblVeriB[BelgeTarihi],ROW()-ROW(tblVeriB[[#Headers]])),""),"yyyymmdd")&amp;"|"&amp;TEXT(IFERROR(INDEX(tblVeriB[Tutar],ROW()-ROW(tblVeriB[[#Headers]])),0),"0.00"))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IF($A294="","",TEXT(IFERROR(INDEX(tblVeriA[Tarih],ROW()-ROW(tblVeriA[[#Headers]])),""),"yyyymmdd")&amp;"|"&amp;TEXT(IFERROR(INDEX(tblVeriA[Toplam],ROW()-ROW(tblVeriA[[#Headers]])),0),"0.00"))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IF($I294="","",TEXT(IFERROR(INDEX(tblVeriB[BelgeTarihi],ROW()-ROW(tblVeriB[[#Headers]])),""),"yyyymmdd")&amp;"|"&amp;TEXT(IFERROR(INDEX(tblVeriB[Tutar],ROW()-ROW(tblVeriB[[#Headers]])),0),"0.00"))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IF($A295="","",TEXT(IFERROR(INDEX(tblVeriA[Tarih],ROW()-ROW(tblVeriA[[#Headers]])),""),"yyyymmdd")&amp;"|"&amp;TEXT(IFERROR(INDEX(tblVeriA[Toplam],ROW()-ROW(tblVeriA[[#Headers]])),0),"0.00"))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IF($I295="","",TEXT(IFERROR(INDEX(tblVeriB[BelgeTarihi],ROW()-ROW(tblVeriB[[#Headers]])),""),"yyyymmdd")&amp;"|"&amp;TEXT(IFERROR(INDEX(tblVeriB[Tutar],ROW()-ROW(tblVeriB[[#Headers]])),0),"0.00"))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IF($A296="","",TEXT(IFERROR(INDEX(tblVeriA[Tarih],ROW()-ROW(tblVeriA[[#Headers]])),""),"yyyymmdd")&amp;"|"&amp;TEXT(IFERROR(INDEX(tblVeriA[Toplam],ROW()-ROW(tblVeriA[[#Headers]])),0),"0.00"))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IF($I296="","",TEXT(IFERROR(INDEX(tblVeriB[BelgeTarihi],ROW()-ROW(tblVeriB[[#Headers]])),""),"yyyymmdd")&amp;"|"&amp;TEXT(IFERROR(INDEX(tblVeriB[Tutar],ROW()-ROW(tblVeriB[[#Headers]])),0),"0.00"))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IF($A297="","",TEXT(IFERROR(INDEX(tblVeriA[Tarih],ROW()-ROW(tblVeriA[[#Headers]])),""),"yyyymmdd")&amp;"|"&amp;TEXT(IFERROR(INDEX(tblVeriA[Toplam],ROW()-ROW(tblVeriA[[#Headers]])),0),"0.00"))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IF($I297="","",TEXT(IFERROR(INDEX(tblVeriB[BelgeTarihi],ROW()-ROW(tblVeriB[[#Headers]])),""),"yyyymmdd")&amp;"|"&amp;TEXT(IFERROR(INDEX(tblVeriB[Tutar],ROW()-ROW(tblVeriB[[#Headers]])),0),"0.00"))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IF($A298="","",TEXT(IFERROR(INDEX(tblVeriA[Tarih],ROW()-ROW(tblVeriA[[#Headers]])),""),"yyyymmdd")&amp;"|"&amp;TEXT(IFERROR(INDEX(tblVeriA[Toplam],ROW()-ROW(tblVeriA[[#Headers]])),0),"0.00"))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IF($I298="","",TEXT(IFERROR(INDEX(tblVeriB[BelgeTarihi],ROW()-ROW(tblVeriB[[#Headers]])),""),"yyyymmdd")&amp;"|"&amp;TEXT(IFERROR(INDEX(tblVeriB[Tutar],ROW()-ROW(tblVeriB[[#Headers]])),0),"0.00"))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IF($A299="","",TEXT(IFERROR(INDEX(tblVeriA[Tarih],ROW()-ROW(tblVeriA[[#Headers]])),""),"yyyymmdd")&amp;"|"&amp;TEXT(IFERROR(INDEX(tblVeriA[Toplam],ROW()-ROW(tblVeriA[[#Headers]])),0),"0.00"))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IF($I299="","",TEXT(IFERROR(INDEX(tblVeriB[BelgeTarihi],ROW()-ROW(tblVeriB[[#Headers]])),""),"yyyymmdd")&amp;"|"&amp;TEXT(IFERROR(INDEX(tblVeriB[Tutar],ROW()-ROW(tblVeriB[[#Headers]])),0),"0.00"))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IF($A300="","",TEXT(IFERROR(INDEX(tblVeriA[Tarih],ROW()-ROW(tblVeriA[[#Headers]])),""),"yyyymmdd")&amp;"|"&amp;TEXT(IFERROR(INDEX(tblVeriA[Toplam],ROW()-ROW(tblVeriA[[#Headers]])),0),"0.00"))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IF($I300="","",TEXT(IFERROR(INDEX(tblVeriB[BelgeTarihi],ROW()-ROW(tblVeriB[[#Headers]])),""),"yyyymmdd")&amp;"|"&amp;TEXT(IFERROR(INDEX(tblVeriB[Tutar],ROW()-ROW(tblVeriB[[#Headers]])),0),"0.00"))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IF($A301="","",TEXT(IFERROR(INDEX(tblVeriA[Tarih],ROW()-ROW(tblVeriA[[#Headers]])),""),"yyyymmdd")&amp;"|"&amp;TEXT(IFERROR(INDEX(tblVeriA[Toplam],ROW()-ROW(tblVeriA[[#Headers]])),0),"0.00"))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IF($I301="","",TEXT(IFERROR(INDEX(tblVeriB[BelgeTarihi],ROW()-ROW(tblVeriB[[#Headers]])),""),"yyyymmdd")&amp;"|"&amp;TEXT(IFERROR(INDEX(tblVeriB[Tutar],ROW()-ROW(tblVeriB[[#Headers]])),0),"0.00"))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IF($A302="","",TEXT(IFERROR(INDEX(tblVeriA[Tarih],ROW()-ROW(tblVeriA[[#Headers]])),""),"yyyymmdd")&amp;"|"&amp;TEXT(IFERROR(INDEX(tblVeriA[Toplam],ROW()-ROW(tblVeriA[[#Headers]])),0),"0.00"))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IF($I302="","",TEXT(IFERROR(INDEX(tblVeriB[BelgeTarihi],ROW()-ROW(tblVeriB[[#Headers]])),""),"yyyymmdd")&amp;"|"&amp;TEXT(IFERROR(INDEX(tblVeriB[Tutar],ROW()-ROW(tblVeriB[[#Headers]])),0),"0.00"))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IF($A303="","",TEXT(IFERROR(INDEX(tblVeriA[Tarih],ROW()-ROW(tblVeriA[[#Headers]])),""),"yyyymmdd")&amp;"|"&amp;TEXT(IFERROR(INDEX(tblVeriA[Toplam],ROW()-ROW(tblVeriA[[#Headers]])),0),"0.00"))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IF($I303="","",TEXT(IFERROR(INDEX(tblVeriB[BelgeTarihi],ROW()-ROW(tblVeriB[[#Headers]])),""),"yyyymmdd")&amp;"|"&amp;TEXT(IFERROR(INDEX(tblVeriB[Tutar],ROW()-ROW(tblVeriB[[#Headers]])),0),"0.00"))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IF($A304="","",TEXT(IFERROR(INDEX(tblVeriA[Tarih],ROW()-ROW(tblVeriA[[#Headers]])),""),"yyyymmdd")&amp;"|"&amp;TEXT(IFERROR(INDEX(tblVeriA[Toplam],ROW()-ROW(tblVeriA[[#Headers]])),0),"0.00"))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IF($I304="","",TEXT(IFERROR(INDEX(tblVeriB[BelgeTarihi],ROW()-ROW(tblVeriB[[#Headers]])),""),"yyyymmdd")&amp;"|"&amp;TEXT(IFERROR(INDEX(tblVeriB[Tutar],ROW()-ROW(tblVeriB[[#Headers]])),0),"0.00"))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IF($A305="","",TEXT(IFERROR(INDEX(tblVeriA[Tarih],ROW()-ROW(tblVeriA[[#Headers]])),""),"yyyymmdd")&amp;"|"&amp;TEXT(IFERROR(INDEX(tblVeriA[Toplam],ROW()-ROW(tblVeriA[[#Headers]])),0),"0.00"))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IF($I305="","",TEXT(IFERROR(INDEX(tblVeriB[BelgeTarihi],ROW()-ROW(tblVeriB[[#Headers]])),""),"yyyymmdd")&amp;"|"&amp;TEXT(IFERROR(INDEX(tblVeriB[Tutar],ROW()-ROW(tblVeriB[[#Headers]])),0),"0.00"))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IF($A306="","",TEXT(IFERROR(INDEX(tblVeriA[Tarih],ROW()-ROW(tblVeriA[[#Headers]])),""),"yyyymmdd")&amp;"|"&amp;TEXT(IFERROR(INDEX(tblVeriA[Toplam],ROW()-ROW(tblVeriA[[#Headers]])),0),"0.00"))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IF($I306="","",TEXT(IFERROR(INDEX(tblVeriB[BelgeTarihi],ROW()-ROW(tblVeriB[[#Headers]])),""),"yyyymmdd")&amp;"|"&amp;TEXT(IFERROR(INDEX(tblVeriB[Tutar],ROW()-ROW(tblVeriB[[#Headers]])),0),"0.00"))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IF($A307="","",TEXT(IFERROR(INDEX(tblVeriA[Tarih],ROW()-ROW(tblVeriA[[#Headers]])),""),"yyyymmdd")&amp;"|"&amp;TEXT(IFERROR(INDEX(tblVeriA[Toplam],ROW()-ROW(tblVeriA[[#Headers]])),0),"0.00"))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IF($I307="","",TEXT(IFERROR(INDEX(tblVeriB[BelgeTarihi],ROW()-ROW(tblVeriB[[#Headers]])),""),"yyyymmdd")&amp;"|"&amp;TEXT(IFERROR(INDEX(tblVeriB[Tutar],ROW()-ROW(tblVeriB[[#Headers]])),0),"0.00"))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IF($A308="","",TEXT(IFERROR(INDEX(tblVeriA[Tarih],ROW()-ROW(tblVeriA[[#Headers]])),""),"yyyymmdd")&amp;"|"&amp;TEXT(IFERROR(INDEX(tblVeriA[Toplam],ROW()-ROW(tblVeriA[[#Headers]])),0),"0.00"))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IF($I308="","",TEXT(IFERROR(INDEX(tblVeriB[BelgeTarihi],ROW()-ROW(tblVeriB[[#Headers]])),""),"yyyymmdd")&amp;"|"&amp;TEXT(IFERROR(INDEX(tblVeriB[Tutar],ROW()-ROW(tblVeriB[[#Headers]])),0),"0.00"))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IF($A309="","",TEXT(IFERROR(INDEX(tblVeriA[Tarih],ROW()-ROW(tblVeriA[[#Headers]])),""),"yyyymmdd")&amp;"|"&amp;TEXT(IFERROR(INDEX(tblVeriA[Toplam],ROW()-ROW(tblVeriA[[#Headers]])),0),"0.00"))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IF($I309="","",TEXT(IFERROR(INDEX(tblVeriB[BelgeTarihi],ROW()-ROW(tblVeriB[[#Headers]])),""),"yyyymmdd")&amp;"|"&amp;TEXT(IFERROR(INDEX(tblVeriB[Tutar],ROW()-ROW(tblVeriB[[#Headers]])),0),"0.00"))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IF($A310="","",TEXT(IFERROR(INDEX(tblVeriA[Tarih],ROW()-ROW(tblVeriA[[#Headers]])),""),"yyyymmdd")&amp;"|"&amp;TEXT(IFERROR(INDEX(tblVeriA[Toplam],ROW()-ROW(tblVeriA[[#Headers]])),0),"0.00"))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IF($I310="","",TEXT(IFERROR(INDEX(tblVeriB[BelgeTarihi],ROW()-ROW(tblVeriB[[#Headers]])),""),"yyyymmdd")&amp;"|"&amp;TEXT(IFERROR(INDEX(tblVeriB[Tutar],ROW()-ROW(tblVeriB[[#Headers]])),0),"0.00"))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IF($A311="","",TEXT(IFERROR(INDEX(tblVeriA[Tarih],ROW()-ROW(tblVeriA[[#Headers]])),""),"yyyymmdd")&amp;"|"&amp;TEXT(IFERROR(INDEX(tblVeriA[Toplam],ROW()-ROW(tblVeriA[[#Headers]])),0),"0.00"))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IF($I311="","",TEXT(IFERROR(INDEX(tblVeriB[BelgeTarihi],ROW()-ROW(tblVeriB[[#Headers]])),""),"yyyymmdd")&amp;"|"&amp;TEXT(IFERROR(INDEX(tblVeriB[Tutar],ROW()-ROW(tblVeriB[[#Headers]])),0),"0.00"))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IF($A312="","",TEXT(IFERROR(INDEX(tblVeriA[Tarih],ROW()-ROW(tblVeriA[[#Headers]])),""),"yyyymmdd")&amp;"|"&amp;TEXT(IFERROR(INDEX(tblVeriA[Toplam],ROW()-ROW(tblVeriA[[#Headers]])),0),"0.00"))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IF($I312="","",TEXT(IFERROR(INDEX(tblVeriB[BelgeTarihi],ROW()-ROW(tblVeriB[[#Headers]])),""),"yyyymmdd")&amp;"|"&amp;TEXT(IFERROR(INDEX(tblVeriB[Tutar],ROW()-ROW(tblVeriB[[#Headers]])),0),"0.00"))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IF($A313="","",TEXT(IFERROR(INDEX(tblVeriA[Tarih],ROW()-ROW(tblVeriA[[#Headers]])),""),"yyyymmdd")&amp;"|"&amp;TEXT(IFERROR(INDEX(tblVeriA[Toplam],ROW()-ROW(tblVeriA[[#Headers]])),0),"0.00"))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IF($I313="","",TEXT(IFERROR(INDEX(tblVeriB[BelgeTarihi],ROW()-ROW(tblVeriB[[#Headers]])),""),"yyyymmdd")&amp;"|"&amp;TEXT(IFERROR(INDEX(tblVeriB[Tutar],ROW()-ROW(tblVeriB[[#Headers]])),0),"0.00"))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IF($A314="","",TEXT(IFERROR(INDEX(tblVeriA[Tarih],ROW()-ROW(tblVeriA[[#Headers]])),""),"yyyymmdd")&amp;"|"&amp;TEXT(IFERROR(INDEX(tblVeriA[Toplam],ROW()-ROW(tblVeriA[[#Headers]])),0),"0.00"))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IF($I314="","",TEXT(IFERROR(INDEX(tblVeriB[BelgeTarihi],ROW()-ROW(tblVeriB[[#Headers]])),""),"yyyymmdd")&amp;"|"&amp;TEXT(IFERROR(INDEX(tblVeriB[Tutar],ROW()-ROW(tblVeriB[[#Headers]])),0),"0.00"))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IF($A315="","",TEXT(IFERROR(INDEX(tblVeriA[Tarih],ROW()-ROW(tblVeriA[[#Headers]])),""),"yyyymmdd")&amp;"|"&amp;TEXT(IFERROR(INDEX(tblVeriA[Toplam],ROW()-ROW(tblVeriA[[#Headers]])),0),"0.00"))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IF($I315="","",TEXT(IFERROR(INDEX(tblVeriB[BelgeTarihi],ROW()-ROW(tblVeriB[[#Headers]])),""),"yyyymmdd")&amp;"|"&amp;TEXT(IFERROR(INDEX(tblVeriB[Tutar],ROW()-ROW(tblVeriB[[#Headers]])),0),"0.00"))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IF($A316="","",TEXT(IFERROR(INDEX(tblVeriA[Tarih],ROW()-ROW(tblVeriA[[#Headers]])),""),"yyyymmdd")&amp;"|"&amp;TEXT(IFERROR(INDEX(tblVeriA[Toplam],ROW()-ROW(tblVeriA[[#Headers]])),0),"0.00"))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IF($I316="","",TEXT(IFERROR(INDEX(tblVeriB[BelgeTarihi],ROW()-ROW(tblVeriB[[#Headers]])),""),"yyyymmdd")&amp;"|"&amp;TEXT(IFERROR(INDEX(tblVeriB[Tutar],ROW()-ROW(tblVeriB[[#Headers]])),0),"0.00"))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IF($A317="","",TEXT(IFERROR(INDEX(tblVeriA[Tarih],ROW()-ROW(tblVeriA[[#Headers]])),""),"yyyymmdd")&amp;"|"&amp;TEXT(IFERROR(INDEX(tblVeriA[Toplam],ROW()-ROW(tblVeriA[[#Headers]])),0),"0.00"))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IF($I317="","",TEXT(IFERROR(INDEX(tblVeriB[BelgeTarihi],ROW()-ROW(tblVeriB[[#Headers]])),""),"yyyymmdd")&amp;"|"&amp;TEXT(IFERROR(INDEX(tblVeriB[Tutar],ROW()-ROW(tblVeriB[[#Headers]])),0),"0.00"))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IF($A318="","",TEXT(IFERROR(INDEX(tblVeriA[Tarih],ROW()-ROW(tblVeriA[[#Headers]])),""),"yyyymmdd")&amp;"|"&amp;TEXT(IFERROR(INDEX(tblVeriA[Toplam],ROW()-ROW(tblVeriA[[#Headers]])),0),"0.00"))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IF($I318="","",TEXT(IFERROR(INDEX(tblVeriB[BelgeTarihi],ROW()-ROW(tblVeriB[[#Headers]])),""),"yyyymmdd")&amp;"|"&amp;TEXT(IFERROR(INDEX(tblVeriB[Tutar],ROW()-ROW(tblVeriB[[#Headers]])),0),"0.00"))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IF($A319="","",TEXT(IFERROR(INDEX(tblVeriA[Tarih],ROW()-ROW(tblVeriA[[#Headers]])),""),"yyyymmdd")&amp;"|"&amp;TEXT(IFERROR(INDEX(tblVeriA[Toplam],ROW()-ROW(tblVeriA[[#Headers]])),0),"0.00"))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IF($I319="","",TEXT(IFERROR(INDEX(tblVeriB[BelgeTarihi],ROW()-ROW(tblVeriB[[#Headers]])),""),"yyyymmdd")&amp;"|"&amp;TEXT(IFERROR(INDEX(tblVeriB[Tutar],ROW()-ROW(tblVeriB[[#Headers]])),0),"0.00"))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IF($A320="","",TEXT(IFERROR(INDEX(tblVeriA[Tarih],ROW()-ROW(tblVeriA[[#Headers]])),""),"yyyymmdd")&amp;"|"&amp;TEXT(IFERROR(INDEX(tblVeriA[Toplam],ROW()-ROW(tblVeriA[[#Headers]])),0),"0.00"))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IF($I320="","",TEXT(IFERROR(INDEX(tblVeriB[BelgeTarihi],ROW()-ROW(tblVeriB[[#Headers]])),""),"yyyymmdd")&amp;"|"&amp;TEXT(IFERROR(INDEX(tblVeriB[Tutar],ROW()-ROW(tblVeriB[[#Headers]])),0),"0.00"))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IF($A321="","",TEXT(IFERROR(INDEX(tblVeriA[Tarih],ROW()-ROW(tblVeriA[[#Headers]])),""),"yyyymmdd")&amp;"|"&amp;TEXT(IFERROR(INDEX(tblVeriA[Toplam],ROW()-ROW(tblVeriA[[#Headers]])),0),"0.00"))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IF($I321="","",TEXT(IFERROR(INDEX(tblVeriB[BelgeTarihi],ROW()-ROW(tblVeriB[[#Headers]])),""),"yyyymmdd")&amp;"|"&amp;TEXT(IFERROR(INDEX(tblVeriB[Tutar],ROW()-ROW(tblVeriB[[#Headers]])),0),"0.00"))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IF($A322="","",TEXT(IFERROR(INDEX(tblVeriA[Tarih],ROW()-ROW(tblVeriA[[#Headers]])),""),"yyyymmdd")&amp;"|"&amp;TEXT(IFERROR(INDEX(tblVeriA[Toplam],ROW()-ROW(tblVeriA[[#Headers]])),0),"0.00"))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IF($I322="","",TEXT(IFERROR(INDEX(tblVeriB[BelgeTarihi],ROW()-ROW(tblVeriB[[#Headers]])),""),"yyyymmdd")&amp;"|"&amp;TEXT(IFERROR(INDEX(tblVeriB[Tutar],ROW()-ROW(tblVeriB[[#Headers]])),0),"0.00"))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IF($A323="","",TEXT(IFERROR(INDEX(tblVeriA[Tarih],ROW()-ROW(tblVeriA[[#Headers]])),""),"yyyymmdd")&amp;"|"&amp;TEXT(IFERROR(INDEX(tblVeriA[Toplam],ROW()-ROW(tblVeriA[[#Headers]])),0),"0.00"))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IF($I323="","",TEXT(IFERROR(INDEX(tblVeriB[BelgeTarihi],ROW()-ROW(tblVeriB[[#Headers]])),""),"yyyymmdd")&amp;"|"&amp;TEXT(IFERROR(INDEX(tblVeriB[Tutar],ROW()-ROW(tblVeriB[[#Headers]])),0),"0.00"))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IF($A324="","",TEXT(IFERROR(INDEX(tblVeriA[Tarih],ROW()-ROW(tblVeriA[[#Headers]])),""),"yyyymmdd")&amp;"|"&amp;TEXT(IFERROR(INDEX(tblVeriA[Toplam],ROW()-ROW(tblVeriA[[#Headers]])),0),"0.00"))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IF($I324="","",TEXT(IFERROR(INDEX(tblVeriB[BelgeTarihi],ROW()-ROW(tblVeriB[[#Headers]])),""),"yyyymmdd")&amp;"|"&amp;TEXT(IFERROR(INDEX(tblVeriB[Tutar],ROW()-ROW(tblVeriB[[#Headers]])),0),"0.00"))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IF($A325="","",TEXT(IFERROR(INDEX(tblVeriA[Tarih],ROW()-ROW(tblVeriA[[#Headers]])),""),"yyyymmdd")&amp;"|"&amp;TEXT(IFERROR(INDEX(tblVeriA[Toplam],ROW()-ROW(tblVeriA[[#Headers]])),0),"0.00"))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IF($I325="","",TEXT(IFERROR(INDEX(tblVeriB[BelgeTarihi],ROW()-ROW(tblVeriB[[#Headers]])),""),"yyyymmdd")&amp;"|"&amp;TEXT(IFERROR(INDEX(tblVeriB[Tutar],ROW()-ROW(tblVeriB[[#Headers]])),0),"0.00"))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IF($A326="","",TEXT(IFERROR(INDEX(tblVeriA[Tarih],ROW()-ROW(tblVeriA[[#Headers]])),""),"yyyymmdd")&amp;"|"&amp;TEXT(IFERROR(INDEX(tblVeriA[Toplam],ROW()-ROW(tblVeriA[[#Headers]])),0),"0.00"))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IF($I326="","",TEXT(IFERROR(INDEX(tblVeriB[BelgeTarihi],ROW()-ROW(tblVeriB[[#Headers]])),""),"yyyymmdd")&amp;"|"&amp;TEXT(IFERROR(INDEX(tblVeriB[Tutar],ROW()-ROW(tblVeriB[[#Headers]])),0),"0.00"))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IF($A327="","",TEXT(IFERROR(INDEX(tblVeriA[Tarih],ROW()-ROW(tblVeriA[[#Headers]])),""),"yyyymmdd")&amp;"|"&amp;TEXT(IFERROR(INDEX(tblVeriA[Toplam],ROW()-ROW(tblVeriA[[#Headers]])),0),"0.00"))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IF($I327="","",TEXT(IFERROR(INDEX(tblVeriB[BelgeTarihi],ROW()-ROW(tblVeriB[[#Headers]])),""),"yyyymmdd")&amp;"|"&amp;TEXT(IFERROR(INDEX(tblVeriB[Tutar],ROW()-ROW(tblVeriB[[#Headers]])),0),"0.00"))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IF($A328="","",TEXT(IFERROR(INDEX(tblVeriA[Tarih],ROW()-ROW(tblVeriA[[#Headers]])),""),"yyyymmdd")&amp;"|"&amp;TEXT(IFERROR(INDEX(tblVeriA[Toplam],ROW()-ROW(tblVeriA[[#Headers]])),0),"0.00"))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IF($I328="","",TEXT(IFERROR(INDEX(tblVeriB[BelgeTarihi],ROW()-ROW(tblVeriB[[#Headers]])),""),"yyyymmdd")&amp;"|"&amp;TEXT(IFERROR(INDEX(tblVeriB[Tutar],ROW()-ROW(tblVeriB[[#Headers]])),0),"0.00"))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IF($A329="","",TEXT(IFERROR(INDEX(tblVeriA[Tarih],ROW()-ROW(tblVeriA[[#Headers]])),""),"yyyymmdd")&amp;"|"&amp;TEXT(IFERROR(INDEX(tblVeriA[Toplam],ROW()-ROW(tblVeriA[[#Headers]])),0),"0.00"))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IF($I329="","",TEXT(IFERROR(INDEX(tblVeriB[BelgeTarihi],ROW()-ROW(tblVeriB[[#Headers]])),""),"yyyymmdd")&amp;"|"&amp;TEXT(IFERROR(INDEX(tblVeriB[Tutar],ROW()-ROW(tblVeriB[[#Headers]])),0),"0.00"))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IF($A330="","",TEXT(IFERROR(INDEX(tblVeriA[Tarih],ROW()-ROW(tblVeriA[[#Headers]])),""),"yyyymmdd")&amp;"|"&amp;TEXT(IFERROR(INDEX(tblVeriA[Toplam],ROW()-ROW(tblVeriA[[#Headers]])),0),"0.00"))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IF($I330="","",TEXT(IFERROR(INDEX(tblVeriB[BelgeTarihi],ROW()-ROW(tblVeriB[[#Headers]])),""),"yyyymmdd")&amp;"|"&amp;TEXT(IFERROR(INDEX(tblVeriB[Tutar],ROW()-ROW(tblVeriB[[#Headers]])),0),"0.00"))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IF($A331="","",TEXT(IFERROR(INDEX(tblVeriA[Tarih],ROW()-ROW(tblVeriA[[#Headers]])),""),"yyyymmdd")&amp;"|"&amp;TEXT(IFERROR(INDEX(tblVeriA[Toplam],ROW()-ROW(tblVeriA[[#Headers]])),0),"0.00"))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IF($I331="","",TEXT(IFERROR(INDEX(tblVeriB[BelgeTarihi],ROW()-ROW(tblVeriB[[#Headers]])),""),"yyyymmdd")&amp;"|"&amp;TEXT(IFERROR(INDEX(tblVeriB[Tutar],ROW()-ROW(tblVeriB[[#Headers]])),0),"0.00"))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IF($A332="","",TEXT(IFERROR(INDEX(tblVeriA[Tarih],ROW()-ROW(tblVeriA[[#Headers]])),""),"yyyymmdd")&amp;"|"&amp;TEXT(IFERROR(INDEX(tblVeriA[Toplam],ROW()-ROW(tblVeriA[[#Headers]])),0),"0.00"))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IF($I332="","",TEXT(IFERROR(INDEX(tblVeriB[BelgeTarihi],ROW()-ROW(tblVeriB[[#Headers]])),""),"yyyymmdd")&amp;"|"&amp;TEXT(IFERROR(INDEX(tblVeriB[Tutar],ROW()-ROW(tblVeriB[[#Headers]])),0),"0.00"))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IF($A333="","",TEXT(IFERROR(INDEX(tblVeriA[Tarih],ROW()-ROW(tblVeriA[[#Headers]])),""),"yyyymmdd")&amp;"|"&amp;TEXT(IFERROR(INDEX(tblVeriA[Toplam],ROW()-ROW(tblVeriA[[#Headers]])),0),"0.00"))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IF($I333="","",TEXT(IFERROR(INDEX(tblVeriB[BelgeTarihi],ROW()-ROW(tblVeriB[[#Headers]])),""),"yyyymmdd")&amp;"|"&amp;TEXT(IFERROR(INDEX(tblVeriB[Tutar],ROW()-ROW(tblVeriB[[#Headers]])),0),"0.00"))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IF($A334="","",TEXT(IFERROR(INDEX(tblVeriA[Tarih],ROW()-ROW(tblVeriA[[#Headers]])),""),"yyyymmdd")&amp;"|"&amp;TEXT(IFERROR(INDEX(tblVeriA[Toplam],ROW()-ROW(tblVeriA[[#Headers]])),0),"0.00"))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IF($I334="","",TEXT(IFERROR(INDEX(tblVeriB[BelgeTarihi],ROW()-ROW(tblVeriB[[#Headers]])),""),"yyyymmdd")&amp;"|"&amp;TEXT(IFERROR(INDEX(tblVeriB[Tutar],ROW()-ROW(tblVeriB[[#Headers]])),0),"0.00"))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IF($A335="","",TEXT(IFERROR(INDEX(tblVeriA[Tarih],ROW()-ROW(tblVeriA[[#Headers]])),""),"yyyymmdd")&amp;"|"&amp;TEXT(IFERROR(INDEX(tblVeriA[Toplam],ROW()-ROW(tblVeriA[[#Headers]])),0),"0.00"))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IF($I335="","",TEXT(IFERROR(INDEX(tblVeriB[BelgeTarihi],ROW()-ROW(tblVeriB[[#Headers]])),""),"yyyymmdd")&amp;"|"&amp;TEXT(IFERROR(INDEX(tblVeriB[Tutar],ROW()-ROW(tblVeriB[[#Headers]])),0),"0.00"))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IF($A336="","",TEXT(IFERROR(INDEX(tblVeriA[Tarih],ROW()-ROW(tblVeriA[[#Headers]])),""),"yyyymmdd")&amp;"|"&amp;TEXT(IFERROR(INDEX(tblVeriA[Toplam],ROW()-ROW(tblVeriA[[#Headers]])),0),"0.00"))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IF($I336="","",TEXT(IFERROR(INDEX(tblVeriB[BelgeTarihi],ROW()-ROW(tblVeriB[[#Headers]])),""),"yyyymmdd")&amp;"|"&amp;TEXT(IFERROR(INDEX(tblVeriB[Tutar],ROW()-ROW(tblVeriB[[#Headers]])),0),"0.00"))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IF($A337="","",TEXT(IFERROR(INDEX(tblVeriA[Tarih],ROW()-ROW(tblVeriA[[#Headers]])),""),"yyyymmdd")&amp;"|"&amp;TEXT(IFERROR(INDEX(tblVeriA[Toplam],ROW()-ROW(tblVeriA[[#Headers]])),0),"0.00"))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IF($I337="","",TEXT(IFERROR(INDEX(tblVeriB[BelgeTarihi],ROW()-ROW(tblVeriB[[#Headers]])),""),"yyyymmdd")&amp;"|"&amp;TEXT(IFERROR(INDEX(tblVeriB[Tutar],ROW()-ROW(tblVeriB[[#Headers]])),0),"0.00"))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IF($A338="","",TEXT(IFERROR(INDEX(tblVeriA[Tarih],ROW()-ROW(tblVeriA[[#Headers]])),""),"yyyymmdd")&amp;"|"&amp;TEXT(IFERROR(INDEX(tblVeriA[Toplam],ROW()-ROW(tblVeriA[[#Headers]])),0),"0.00"))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IF($I338="","",TEXT(IFERROR(INDEX(tblVeriB[BelgeTarihi],ROW()-ROW(tblVeriB[[#Headers]])),""),"yyyymmdd")&amp;"|"&amp;TEXT(IFERROR(INDEX(tblVeriB[Tutar],ROW()-ROW(tblVeriB[[#Headers]])),0),"0.00"))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IF($A339="","",TEXT(IFERROR(INDEX(tblVeriA[Tarih],ROW()-ROW(tblVeriA[[#Headers]])),""),"yyyymmdd")&amp;"|"&amp;TEXT(IFERROR(INDEX(tblVeriA[Toplam],ROW()-ROW(tblVeriA[[#Headers]])),0),"0.00"))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IF($I339="","",TEXT(IFERROR(INDEX(tblVeriB[BelgeTarihi],ROW()-ROW(tblVeriB[[#Headers]])),""),"yyyymmdd")&amp;"|"&amp;TEXT(IFERROR(INDEX(tblVeriB[Tutar],ROW()-ROW(tblVeriB[[#Headers]])),0),"0.00"))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IF($A340="","",TEXT(IFERROR(INDEX(tblVeriA[Tarih],ROW()-ROW(tblVeriA[[#Headers]])),""),"yyyymmdd")&amp;"|"&amp;TEXT(IFERROR(INDEX(tblVeriA[Toplam],ROW()-ROW(tblVeriA[[#Headers]])),0),"0.00"))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IF($I340="","",TEXT(IFERROR(INDEX(tblVeriB[BelgeTarihi],ROW()-ROW(tblVeriB[[#Headers]])),""),"yyyymmdd")&amp;"|"&amp;TEXT(IFERROR(INDEX(tblVeriB[Tutar],ROW()-ROW(tblVeriB[[#Headers]])),0),"0.00"))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IF($A341="","",TEXT(IFERROR(INDEX(tblVeriA[Tarih],ROW()-ROW(tblVeriA[[#Headers]])),""),"yyyymmdd")&amp;"|"&amp;TEXT(IFERROR(INDEX(tblVeriA[Toplam],ROW()-ROW(tblVeriA[[#Headers]])),0),"0.00"))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IF($I341="","",TEXT(IFERROR(INDEX(tblVeriB[BelgeTarihi],ROW()-ROW(tblVeriB[[#Headers]])),""),"yyyymmdd")&amp;"|"&amp;TEXT(IFERROR(INDEX(tblVeriB[Tutar],ROW()-ROW(tblVeriB[[#Headers]])),0),"0.00"))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IF($A342="","",TEXT(IFERROR(INDEX(tblVeriA[Tarih],ROW()-ROW(tblVeriA[[#Headers]])),""),"yyyymmdd")&amp;"|"&amp;TEXT(IFERROR(INDEX(tblVeriA[Toplam],ROW()-ROW(tblVeriA[[#Headers]])),0),"0.00"))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IF($I342="","",TEXT(IFERROR(INDEX(tblVeriB[BelgeTarihi],ROW()-ROW(tblVeriB[[#Headers]])),""),"yyyymmdd")&amp;"|"&amp;TEXT(IFERROR(INDEX(tblVeriB[Tutar],ROW()-ROW(tblVeriB[[#Headers]])),0),"0.00"))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IF($A343="","",TEXT(IFERROR(INDEX(tblVeriA[Tarih],ROW()-ROW(tblVeriA[[#Headers]])),""),"yyyymmdd")&amp;"|"&amp;TEXT(IFERROR(INDEX(tblVeriA[Toplam],ROW()-ROW(tblVeriA[[#Headers]])),0),"0.00"))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IF($I343="","",TEXT(IFERROR(INDEX(tblVeriB[BelgeTarihi],ROW()-ROW(tblVeriB[[#Headers]])),""),"yyyymmdd")&amp;"|"&amp;TEXT(IFERROR(INDEX(tblVeriB[Tutar],ROW()-ROW(tblVeriB[[#Headers]])),0),"0.00"))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IF($A344="","",TEXT(IFERROR(INDEX(tblVeriA[Tarih],ROW()-ROW(tblVeriA[[#Headers]])),""),"yyyymmdd")&amp;"|"&amp;TEXT(IFERROR(INDEX(tblVeriA[Toplam],ROW()-ROW(tblVeriA[[#Headers]])),0),"0.00"))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IF($I344="","",TEXT(IFERROR(INDEX(tblVeriB[BelgeTarihi],ROW()-ROW(tblVeriB[[#Headers]])),""),"yyyymmdd")&amp;"|"&amp;TEXT(IFERROR(INDEX(tblVeriB[Tutar],ROW()-ROW(tblVeriB[[#Headers]])),0),"0.00"))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IF($A345="","",TEXT(IFERROR(INDEX(tblVeriA[Tarih],ROW()-ROW(tblVeriA[[#Headers]])),""),"yyyymmdd")&amp;"|"&amp;TEXT(IFERROR(INDEX(tblVeriA[Toplam],ROW()-ROW(tblVeriA[[#Headers]])),0),"0.00"))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IF($I345="","",TEXT(IFERROR(INDEX(tblVeriB[BelgeTarihi],ROW()-ROW(tblVeriB[[#Headers]])),""),"yyyymmdd")&amp;"|"&amp;TEXT(IFERROR(INDEX(tblVeriB[Tutar],ROW()-ROW(tblVeriB[[#Headers]])),0),"0.00"))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IF($A346="","",TEXT(IFERROR(INDEX(tblVeriA[Tarih],ROW()-ROW(tblVeriA[[#Headers]])),""),"yyyymmdd")&amp;"|"&amp;TEXT(IFERROR(INDEX(tblVeriA[Toplam],ROW()-ROW(tblVeriA[[#Headers]])),0),"0.00"))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IF($I346="","",TEXT(IFERROR(INDEX(tblVeriB[BelgeTarihi],ROW()-ROW(tblVeriB[[#Headers]])),""),"yyyymmdd")&amp;"|"&amp;TEXT(IFERROR(INDEX(tblVeriB[Tutar],ROW()-ROW(tblVeriB[[#Headers]])),0),"0.00"))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IF($A347="","",TEXT(IFERROR(INDEX(tblVeriA[Tarih],ROW()-ROW(tblVeriA[[#Headers]])),""),"yyyymmdd")&amp;"|"&amp;TEXT(IFERROR(INDEX(tblVeriA[Toplam],ROW()-ROW(tblVeriA[[#Headers]])),0),"0.00"))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IF($I347="","",TEXT(IFERROR(INDEX(tblVeriB[BelgeTarihi],ROW()-ROW(tblVeriB[[#Headers]])),""),"yyyymmdd")&amp;"|"&amp;TEXT(IFERROR(INDEX(tblVeriB[Tutar],ROW()-ROW(tblVeriB[[#Headers]])),0),"0.00"))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IF($A348="","",TEXT(IFERROR(INDEX(tblVeriA[Tarih],ROW()-ROW(tblVeriA[[#Headers]])),""),"yyyymmdd")&amp;"|"&amp;TEXT(IFERROR(INDEX(tblVeriA[Toplam],ROW()-ROW(tblVeriA[[#Headers]])),0),"0.00"))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IF($I348="","",TEXT(IFERROR(INDEX(tblVeriB[BelgeTarihi],ROW()-ROW(tblVeriB[[#Headers]])),""),"yyyymmdd")&amp;"|"&amp;TEXT(IFERROR(INDEX(tblVeriB[Tutar],ROW()-ROW(tblVeriB[[#Headers]])),0),"0.00"))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IF($A349="","",TEXT(IFERROR(INDEX(tblVeriA[Tarih],ROW()-ROW(tblVeriA[[#Headers]])),""),"yyyymmdd")&amp;"|"&amp;TEXT(IFERROR(INDEX(tblVeriA[Toplam],ROW()-ROW(tblVeriA[[#Headers]])),0),"0.00"))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IF($I349="","",TEXT(IFERROR(INDEX(tblVeriB[BelgeTarihi],ROW()-ROW(tblVeriB[[#Headers]])),""),"yyyymmdd")&amp;"|"&amp;TEXT(IFERROR(INDEX(tblVeriB[Tutar],ROW()-ROW(tblVeriB[[#Headers]])),0),"0.00"))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IF($A350="","",TEXT(IFERROR(INDEX(tblVeriA[Tarih],ROW()-ROW(tblVeriA[[#Headers]])),""),"yyyymmdd")&amp;"|"&amp;TEXT(IFERROR(INDEX(tblVeriA[Toplam],ROW()-ROW(tblVeriA[[#Headers]])),0),"0.00"))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IF($I350="","",TEXT(IFERROR(INDEX(tblVeriB[BelgeTarihi],ROW()-ROW(tblVeriB[[#Headers]])),""),"yyyymmdd")&amp;"|"&amp;TEXT(IFERROR(INDEX(tblVeriB[Tutar],ROW()-ROW(tblVeriB[[#Headers]])),0),"0.00"))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IF($A351="","",TEXT(IFERROR(INDEX(tblVeriA[Tarih],ROW()-ROW(tblVeriA[[#Headers]])),""),"yyyymmdd")&amp;"|"&amp;TEXT(IFERROR(INDEX(tblVeriA[Toplam],ROW()-ROW(tblVeriA[[#Headers]])),0),"0.00"))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IF($I351="","",TEXT(IFERROR(INDEX(tblVeriB[BelgeTarihi],ROW()-ROW(tblVeriB[[#Headers]])),""),"yyyymmdd")&amp;"|"&amp;TEXT(IFERROR(INDEX(tblVeriB[Tutar],ROW()-ROW(tblVeriB[[#Headers]])),0),"0.00"))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IF($A352="","",TEXT(IFERROR(INDEX(tblVeriA[Tarih],ROW()-ROW(tblVeriA[[#Headers]])),""),"yyyymmdd")&amp;"|"&amp;TEXT(IFERROR(INDEX(tblVeriA[Toplam],ROW()-ROW(tblVeriA[[#Headers]])),0),"0.00"))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IF($I352="","",TEXT(IFERROR(INDEX(tblVeriB[BelgeTarihi],ROW()-ROW(tblVeriB[[#Headers]])),""),"yyyymmdd")&amp;"|"&amp;TEXT(IFERROR(INDEX(tblVeriB[Tutar],ROW()-ROW(tblVeriB[[#Headers]])),0),"0.00"))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IF($A353="","",TEXT(IFERROR(INDEX(tblVeriA[Tarih],ROW()-ROW(tblVeriA[[#Headers]])),""),"yyyymmdd")&amp;"|"&amp;TEXT(IFERROR(INDEX(tblVeriA[Toplam],ROW()-ROW(tblVeriA[[#Headers]])),0),"0.00"))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IF($I353="","",TEXT(IFERROR(INDEX(tblVeriB[BelgeTarihi],ROW()-ROW(tblVeriB[[#Headers]])),""),"yyyymmdd")&amp;"|"&amp;TEXT(IFERROR(INDEX(tblVeriB[Tutar],ROW()-ROW(tblVeriB[[#Headers]])),0),"0.00"))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IF($A354="","",TEXT(IFERROR(INDEX(tblVeriA[Tarih],ROW()-ROW(tblVeriA[[#Headers]])),""),"yyyymmdd")&amp;"|"&amp;TEXT(IFERROR(INDEX(tblVeriA[Toplam],ROW()-ROW(tblVeriA[[#Headers]])),0),"0.00"))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IF($I354="","",TEXT(IFERROR(INDEX(tblVeriB[BelgeTarihi],ROW()-ROW(tblVeriB[[#Headers]])),""),"yyyymmdd")&amp;"|"&amp;TEXT(IFERROR(INDEX(tblVeriB[Tutar],ROW()-ROW(tblVeriB[[#Headers]])),0),"0.00"))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IF($A355="","",TEXT(IFERROR(INDEX(tblVeriA[Tarih],ROW()-ROW(tblVeriA[[#Headers]])),""),"yyyymmdd")&amp;"|"&amp;TEXT(IFERROR(INDEX(tblVeriA[Toplam],ROW()-ROW(tblVeriA[[#Headers]])),0),"0.00"))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IF($I355="","",TEXT(IFERROR(INDEX(tblVeriB[BelgeTarihi],ROW()-ROW(tblVeriB[[#Headers]])),""),"yyyymmdd")&amp;"|"&amp;TEXT(IFERROR(INDEX(tblVeriB[Tutar],ROW()-ROW(tblVeriB[[#Headers]])),0),"0.00"))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IF($A356="","",TEXT(IFERROR(INDEX(tblVeriA[Tarih],ROW()-ROW(tblVeriA[[#Headers]])),""),"yyyymmdd")&amp;"|"&amp;TEXT(IFERROR(INDEX(tblVeriA[Toplam],ROW()-ROW(tblVeriA[[#Headers]])),0),"0.00"))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IF($I356="","",TEXT(IFERROR(INDEX(tblVeriB[BelgeTarihi],ROW()-ROW(tblVeriB[[#Headers]])),""),"yyyymmdd")&amp;"|"&amp;TEXT(IFERROR(INDEX(tblVeriB[Tutar],ROW()-ROW(tblVeriB[[#Headers]])),0),"0.00"))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IF($A357="","",TEXT(IFERROR(INDEX(tblVeriA[Tarih],ROW()-ROW(tblVeriA[[#Headers]])),""),"yyyymmdd")&amp;"|"&amp;TEXT(IFERROR(INDEX(tblVeriA[Toplam],ROW()-ROW(tblVeriA[[#Headers]])),0),"0.00"))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IF($I357="","",TEXT(IFERROR(INDEX(tblVeriB[BelgeTarihi],ROW()-ROW(tblVeriB[[#Headers]])),""),"yyyymmdd")&amp;"|"&amp;TEXT(IFERROR(INDEX(tblVeriB[Tutar],ROW()-ROW(tblVeriB[[#Headers]])),0),"0.00"))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IF($A358="","",TEXT(IFERROR(INDEX(tblVeriA[Tarih],ROW()-ROW(tblVeriA[[#Headers]])),""),"yyyymmdd")&amp;"|"&amp;TEXT(IFERROR(INDEX(tblVeriA[Toplam],ROW()-ROW(tblVeriA[[#Headers]])),0),"0.00"))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IF($I358="","",TEXT(IFERROR(INDEX(tblVeriB[BelgeTarihi],ROW()-ROW(tblVeriB[[#Headers]])),""),"yyyymmdd")&amp;"|"&amp;TEXT(IFERROR(INDEX(tblVeriB[Tutar],ROW()-ROW(tblVeriB[[#Headers]])),0),"0.00"))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IF($A359="","",TEXT(IFERROR(INDEX(tblVeriA[Tarih],ROW()-ROW(tblVeriA[[#Headers]])),""),"yyyymmdd")&amp;"|"&amp;TEXT(IFERROR(INDEX(tblVeriA[Toplam],ROW()-ROW(tblVeriA[[#Headers]])),0),"0.00"))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IF($I359="","",TEXT(IFERROR(INDEX(tblVeriB[BelgeTarihi],ROW()-ROW(tblVeriB[[#Headers]])),""),"yyyymmdd")&amp;"|"&amp;TEXT(IFERROR(INDEX(tblVeriB[Tutar],ROW()-ROW(tblVeriB[[#Headers]])),0),"0.00"))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IF($A360="","",TEXT(IFERROR(INDEX(tblVeriA[Tarih],ROW()-ROW(tblVeriA[[#Headers]])),""),"yyyymmdd")&amp;"|"&amp;TEXT(IFERROR(INDEX(tblVeriA[Toplam],ROW()-ROW(tblVeriA[[#Headers]])),0),"0.00"))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IF($I360="","",TEXT(IFERROR(INDEX(tblVeriB[BelgeTarihi],ROW()-ROW(tblVeriB[[#Headers]])),""),"yyyymmdd")&amp;"|"&amp;TEXT(IFERROR(INDEX(tblVeriB[Tutar],ROW()-ROW(tblVeriB[[#Headers]])),0),"0.00"))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IF($A361="","",TEXT(IFERROR(INDEX(tblVeriA[Tarih],ROW()-ROW(tblVeriA[[#Headers]])),""),"yyyymmdd")&amp;"|"&amp;TEXT(IFERROR(INDEX(tblVeriA[Toplam],ROW()-ROW(tblVeriA[[#Headers]])),0),"0.00"))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IF($I361="","",TEXT(IFERROR(INDEX(tblVeriB[BelgeTarihi],ROW()-ROW(tblVeriB[[#Headers]])),""),"yyyymmdd")&amp;"|"&amp;TEXT(IFERROR(INDEX(tblVeriB[Tutar],ROW()-ROW(tblVeriB[[#Headers]])),0),"0.00"))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IF($A362="","",TEXT(IFERROR(INDEX(tblVeriA[Tarih],ROW()-ROW(tblVeriA[[#Headers]])),""),"yyyymmdd")&amp;"|"&amp;TEXT(IFERROR(INDEX(tblVeriA[Toplam],ROW()-ROW(tblVeriA[[#Headers]])),0),"0.00"))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IF($I362="","",TEXT(IFERROR(INDEX(tblVeriB[BelgeTarihi],ROW()-ROW(tblVeriB[[#Headers]])),""),"yyyymmdd")&amp;"|"&amp;TEXT(IFERROR(INDEX(tblVeriB[Tutar],ROW()-ROW(tblVeriB[[#Headers]])),0),"0.00"))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IF($A363="","",TEXT(IFERROR(INDEX(tblVeriA[Tarih],ROW()-ROW(tblVeriA[[#Headers]])),""),"yyyymmdd")&amp;"|"&amp;TEXT(IFERROR(INDEX(tblVeriA[Toplam],ROW()-ROW(tblVeriA[[#Headers]])),0),"0.00"))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IF($I363="","",TEXT(IFERROR(INDEX(tblVeriB[BelgeTarihi],ROW()-ROW(tblVeriB[[#Headers]])),""),"yyyymmdd")&amp;"|"&amp;TEXT(IFERROR(INDEX(tblVeriB[Tutar],ROW()-ROW(tblVeriB[[#Headers]])),0),"0.00"))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IF($A364="","",TEXT(IFERROR(INDEX(tblVeriA[Tarih],ROW()-ROW(tblVeriA[[#Headers]])),""),"yyyymmdd")&amp;"|"&amp;TEXT(IFERROR(INDEX(tblVeriA[Toplam],ROW()-ROW(tblVeriA[[#Headers]])),0),"0.00"))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IF($I364="","",TEXT(IFERROR(INDEX(tblVeriB[BelgeTarihi],ROW()-ROW(tblVeriB[[#Headers]])),""),"yyyymmdd")&amp;"|"&amp;TEXT(IFERROR(INDEX(tblVeriB[Tutar],ROW()-ROW(tblVeriB[[#Headers]])),0),"0.00"))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IF($A365="","",TEXT(IFERROR(INDEX(tblVeriA[Tarih],ROW()-ROW(tblVeriA[[#Headers]])),""),"yyyymmdd")&amp;"|"&amp;TEXT(IFERROR(INDEX(tblVeriA[Toplam],ROW()-ROW(tblVeriA[[#Headers]])),0),"0.00"))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IF($I365="","",TEXT(IFERROR(INDEX(tblVeriB[BelgeTarihi],ROW()-ROW(tblVeriB[[#Headers]])),""),"yyyymmdd")&amp;"|"&amp;TEXT(IFERROR(INDEX(tblVeriB[Tutar],ROW()-ROW(tblVeriB[[#Headers]])),0),"0.00"))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IF($A366="","",TEXT(IFERROR(INDEX(tblVeriA[Tarih],ROW()-ROW(tblVeriA[[#Headers]])),""),"yyyymmdd")&amp;"|"&amp;TEXT(IFERROR(INDEX(tblVeriA[Toplam],ROW()-ROW(tblVeriA[[#Headers]])),0),"0.00"))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IF($I366="","",TEXT(IFERROR(INDEX(tblVeriB[BelgeTarihi],ROW()-ROW(tblVeriB[[#Headers]])),""),"yyyymmdd")&amp;"|"&amp;TEXT(IFERROR(INDEX(tblVeriB[Tutar],ROW()-ROW(tblVeriB[[#Headers]])),0),"0.00"))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IF($A367="","",TEXT(IFERROR(INDEX(tblVeriA[Tarih],ROW()-ROW(tblVeriA[[#Headers]])),""),"yyyymmdd")&amp;"|"&amp;TEXT(IFERROR(INDEX(tblVeriA[Toplam],ROW()-ROW(tblVeriA[[#Headers]])),0),"0.00"))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IF($I367="","",TEXT(IFERROR(INDEX(tblVeriB[BelgeTarihi],ROW()-ROW(tblVeriB[[#Headers]])),""),"yyyymmdd")&amp;"|"&amp;TEXT(IFERROR(INDEX(tblVeriB[Tutar],ROW()-ROW(tblVeriB[[#Headers]])),0),"0.00"))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IF($A368="","",TEXT(IFERROR(INDEX(tblVeriA[Tarih],ROW()-ROW(tblVeriA[[#Headers]])),""),"yyyymmdd")&amp;"|"&amp;TEXT(IFERROR(INDEX(tblVeriA[Toplam],ROW()-ROW(tblVeriA[[#Headers]])),0),"0.00"))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IF($I368="","",TEXT(IFERROR(INDEX(tblVeriB[BelgeTarihi],ROW()-ROW(tblVeriB[[#Headers]])),""),"yyyymmdd")&amp;"|"&amp;TEXT(IFERROR(INDEX(tblVeriB[Tutar],ROW()-ROW(tblVeriB[[#Headers]])),0),"0.00"))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IF($A369="","",TEXT(IFERROR(INDEX(tblVeriA[Tarih],ROW()-ROW(tblVeriA[[#Headers]])),""),"yyyymmdd")&amp;"|"&amp;TEXT(IFERROR(INDEX(tblVeriA[Toplam],ROW()-ROW(tblVeriA[[#Headers]])),0),"0.00"))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IF($I369="","",TEXT(IFERROR(INDEX(tblVeriB[BelgeTarihi],ROW()-ROW(tblVeriB[[#Headers]])),""),"yyyymmdd")&amp;"|"&amp;TEXT(IFERROR(INDEX(tblVeriB[Tutar],ROW()-ROW(tblVeriB[[#Headers]])),0),"0.00"))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IF($A370="","",TEXT(IFERROR(INDEX(tblVeriA[Tarih],ROW()-ROW(tblVeriA[[#Headers]])),""),"yyyymmdd")&amp;"|"&amp;TEXT(IFERROR(INDEX(tblVeriA[Toplam],ROW()-ROW(tblVeriA[[#Headers]])),0),"0.00"))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IF($I370="","",TEXT(IFERROR(INDEX(tblVeriB[BelgeTarihi],ROW()-ROW(tblVeriB[[#Headers]])),""),"yyyymmdd")&amp;"|"&amp;TEXT(IFERROR(INDEX(tblVeriB[Tutar],ROW()-ROW(tblVeriB[[#Headers]])),0),"0.00"))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IF($A371="","",TEXT(IFERROR(INDEX(tblVeriA[Tarih],ROW()-ROW(tblVeriA[[#Headers]])),""),"yyyymmdd")&amp;"|"&amp;TEXT(IFERROR(INDEX(tblVeriA[Toplam],ROW()-ROW(tblVeriA[[#Headers]])),0),"0.00"))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IF($I371="","",TEXT(IFERROR(INDEX(tblVeriB[BelgeTarihi],ROW()-ROW(tblVeriB[[#Headers]])),""),"yyyymmdd")&amp;"|"&amp;TEXT(IFERROR(INDEX(tblVeriB[Tutar],ROW()-ROW(tblVeriB[[#Headers]])),0),"0.00"))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IF($A372="","",TEXT(IFERROR(INDEX(tblVeriA[Tarih],ROW()-ROW(tblVeriA[[#Headers]])),""),"yyyymmdd")&amp;"|"&amp;TEXT(IFERROR(INDEX(tblVeriA[Toplam],ROW()-ROW(tblVeriA[[#Headers]])),0),"0.00"))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IF($I372="","",TEXT(IFERROR(INDEX(tblVeriB[BelgeTarihi],ROW()-ROW(tblVeriB[[#Headers]])),""),"yyyymmdd")&amp;"|"&amp;TEXT(IFERROR(INDEX(tblVeriB[Tutar],ROW()-ROW(tblVeriB[[#Headers]])),0),"0.00"))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IF($A373="","",TEXT(IFERROR(INDEX(tblVeriA[Tarih],ROW()-ROW(tblVeriA[[#Headers]])),""),"yyyymmdd")&amp;"|"&amp;TEXT(IFERROR(INDEX(tblVeriA[Toplam],ROW()-ROW(tblVeriA[[#Headers]])),0),"0.00"))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IF($I373="","",TEXT(IFERROR(INDEX(tblVeriB[BelgeTarihi],ROW()-ROW(tblVeriB[[#Headers]])),""),"yyyymmdd")&amp;"|"&amp;TEXT(IFERROR(INDEX(tblVeriB[Tutar],ROW()-ROW(tblVeriB[[#Headers]])),0),"0.00"))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IF($A374="","",TEXT(IFERROR(INDEX(tblVeriA[Tarih],ROW()-ROW(tblVeriA[[#Headers]])),""),"yyyymmdd")&amp;"|"&amp;TEXT(IFERROR(INDEX(tblVeriA[Toplam],ROW()-ROW(tblVeriA[[#Headers]])),0),"0.00"))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IF($I374="","",TEXT(IFERROR(INDEX(tblVeriB[BelgeTarihi],ROW()-ROW(tblVeriB[[#Headers]])),""),"yyyymmdd")&amp;"|"&amp;TEXT(IFERROR(INDEX(tblVeriB[Tutar],ROW()-ROW(tblVeriB[[#Headers]])),0),"0.00"))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IF($A375="","",TEXT(IFERROR(INDEX(tblVeriA[Tarih],ROW()-ROW(tblVeriA[[#Headers]])),""),"yyyymmdd")&amp;"|"&amp;TEXT(IFERROR(INDEX(tblVeriA[Toplam],ROW()-ROW(tblVeriA[[#Headers]])),0),"0.00"))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IF($I375="","",TEXT(IFERROR(INDEX(tblVeriB[BelgeTarihi],ROW()-ROW(tblVeriB[[#Headers]])),""),"yyyymmdd")&amp;"|"&amp;TEXT(IFERROR(INDEX(tblVeriB[Tutar],ROW()-ROW(tblVeriB[[#Headers]])),0),"0.00"))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IF($A376="","",TEXT(IFERROR(INDEX(tblVeriA[Tarih],ROW()-ROW(tblVeriA[[#Headers]])),""),"yyyymmdd")&amp;"|"&amp;TEXT(IFERROR(INDEX(tblVeriA[Toplam],ROW()-ROW(tblVeriA[[#Headers]])),0),"0.00"))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IF($I376="","",TEXT(IFERROR(INDEX(tblVeriB[BelgeTarihi],ROW()-ROW(tblVeriB[[#Headers]])),""),"yyyymmdd")&amp;"|"&amp;TEXT(IFERROR(INDEX(tblVeriB[Tutar],ROW()-ROW(tblVeriB[[#Headers]])),0),"0.00"))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IF($A377="","",TEXT(IFERROR(INDEX(tblVeriA[Tarih],ROW()-ROW(tblVeriA[[#Headers]])),""),"yyyymmdd")&amp;"|"&amp;TEXT(IFERROR(INDEX(tblVeriA[Toplam],ROW()-ROW(tblVeriA[[#Headers]])),0),"0.00"))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IF($I377="","",TEXT(IFERROR(INDEX(tblVeriB[BelgeTarihi],ROW()-ROW(tblVeriB[[#Headers]])),""),"yyyymmdd")&amp;"|"&amp;TEXT(IFERROR(INDEX(tblVeriB[Tutar],ROW()-ROW(tblVeriB[[#Headers]])),0),"0.00"))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IF($A378="","",TEXT(IFERROR(INDEX(tblVeriA[Tarih],ROW()-ROW(tblVeriA[[#Headers]])),""),"yyyymmdd")&amp;"|"&amp;TEXT(IFERROR(INDEX(tblVeriA[Toplam],ROW()-ROW(tblVeriA[[#Headers]])),0),"0.00"))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IF($I378="","",TEXT(IFERROR(INDEX(tblVeriB[BelgeTarihi],ROW()-ROW(tblVeriB[[#Headers]])),""),"yyyymmdd")&amp;"|"&amp;TEXT(IFERROR(INDEX(tblVeriB[Tutar],ROW()-ROW(tblVeriB[[#Headers]])),0),"0.00"))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IF($A379="","",TEXT(IFERROR(INDEX(tblVeriA[Tarih],ROW()-ROW(tblVeriA[[#Headers]])),""),"yyyymmdd")&amp;"|"&amp;TEXT(IFERROR(INDEX(tblVeriA[Toplam],ROW()-ROW(tblVeriA[[#Headers]])),0),"0.00"))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IF($I379="","",TEXT(IFERROR(INDEX(tblVeriB[BelgeTarihi],ROW()-ROW(tblVeriB[[#Headers]])),""),"yyyymmdd")&amp;"|"&amp;TEXT(IFERROR(INDEX(tblVeriB[Tutar],ROW()-ROW(tblVeriB[[#Headers]])),0),"0.00"))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IF($A380="","",TEXT(IFERROR(INDEX(tblVeriA[Tarih],ROW()-ROW(tblVeriA[[#Headers]])),""),"yyyymmdd")&amp;"|"&amp;TEXT(IFERROR(INDEX(tblVeriA[Toplam],ROW()-ROW(tblVeriA[[#Headers]])),0),"0.00"))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IF($I380="","",TEXT(IFERROR(INDEX(tblVeriB[BelgeTarihi],ROW()-ROW(tblVeriB[[#Headers]])),""),"yyyymmdd")&amp;"|"&amp;TEXT(IFERROR(INDEX(tblVeriB[Tutar],ROW()-ROW(tblVeriB[[#Headers]])),0),"0.00"))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IF($A381="","",TEXT(IFERROR(INDEX(tblVeriA[Tarih],ROW()-ROW(tblVeriA[[#Headers]])),""),"yyyymmdd")&amp;"|"&amp;TEXT(IFERROR(INDEX(tblVeriA[Toplam],ROW()-ROW(tblVeriA[[#Headers]])),0),"0.00"))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IF($I381="","",TEXT(IFERROR(INDEX(tblVeriB[BelgeTarihi],ROW()-ROW(tblVeriB[[#Headers]])),""),"yyyymmdd")&amp;"|"&amp;TEXT(IFERROR(INDEX(tblVeriB[Tutar],ROW()-ROW(tblVeriB[[#Headers]])),0),"0.00"))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IF($A382="","",TEXT(IFERROR(INDEX(tblVeriA[Tarih],ROW()-ROW(tblVeriA[[#Headers]])),""),"yyyymmdd")&amp;"|"&amp;TEXT(IFERROR(INDEX(tblVeriA[Toplam],ROW()-ROW(tblVeriA[[#Headers]])),0),"0.00"))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IF($I382="","",TEXT(IFERROR(INDEX(tblVeriB[BelgeTarihi],ROW()-ROW(tblVeriB[[#Headers]])),""),"yyyymmdd")&amp;"|"&amp;TEXT(IFERROR(INDEX(tblVeriB[Tutar],ROW()-ROW(tblVeriB[[#Headers]])),0),"0.00"))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IF($A383="","",TEXT(IFERROR(INDEX(tblVeriA[Tarih],ROW()-ROW(tblVeriA[[#Headers]])),""),"yyyymmdd")&amp;"|"&amp;TEXT(IFERROR(INDEX(tblVeriA[Toplam],ROW()-ROW(tblVeriA[[#Headers]])),0),"0.00"))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IF($I383="","",TEXT(IFERROR(INDEX(tblVeriB[BelgeTarihi],ROW()-ROW(tblVeriB[[#Headers]])),""),"yyyymmdd")&amp;"|"&amp;TEXT(IFERROR(INDEX(tblVeriB[Tutar],ROW()-ROW(tblVeriB[[#Headers]])),0),"0.00"))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IF($A384="","",TEXT(IFERROR(INDEX(tblVeriA[Tarih],ROW()-ROW(tblVeriA[[#Headers]])),""),"yyyymmdd")&amp;"|"&amp;TEXT(IFERROR(INDEX(tblVeriA[Toplam],ROW()-ROW(tblVeriA[[#Headers]])),0),"0.00"))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IF($I384="","",TEXT(IFERROR(INDEX(tblVeriB[BelgeTarihi],ROW()-ROW(tblVeriB[[#Headers]])),""),"yyyymmdd")&amp;"|"&amp;TEXT(IFERROR(INDEX(tblVeriB[Tutar],ROW()-ROW(tblVeriB[[#Headers]])),0),"0.00"))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IF($A385="","",TEXT(IFERROR(INDEX(tblVeriA[Tarih],ROW()-ROW(tblVeriA[[#Headers]])),""),"yyyymmdd")&amp;"|"&amp;TEXT(IFERROR(INDEX(tblVeriA[Toplam],ROW()-ROW(tblVeriA[[#Headers]])),0),"0.00"))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IF($I385="","",TEXT(IFERROR(INDEX(tblVeriB[BelgeTarihi],ROW()-ROW(tblVeriB[[#Headers]])),""),"yyyymmdd")&amp;"|"&amp;TEXT(IFERROR(INDEX(tblVeriB[Tutar],ROW()-ROW(tblVeriB[[#Headers]])),0),"0.00"))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IF($A386="","",TEXT(IFERROR(INDEX(tblVeriA[Tarih],ROW()-ROW(tblVeriA[[#Headers]])),""),"yyyymmdd")&amp;"|"&amp;TEXT(IFERROR(INDEX(tblVeriA[Toplam],ROW()-ROW(tblVeriA[[#Headers]])),0),"0.00"))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IF($I386="","",TEXT(IFERROR(INDEX(tblVeriB[BelgeTarihi],ROW()-ROW(tblVeriB[[#Headers]])),""),"yyyymmdd")&amp;"|"&amp;TEXT(IFERROR(INDEX(tblVeriB[Tutar],ROW()-ROW(tblVeriB[[#Headers]])),0),"0.00"))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IF($A387="","",TEXT(IFERROR(INDEX(tblVeriA[Tarih],ROW()-ROW(tblVeriA[[#Headers]])),""),"yyyymmdd")&amp;"|"&amp;TEXT(IFERROR(INDEX(tblVeriA[Toplam],ROW()-ROW(tblVeriA[[#Headers]])),0),"0.00"))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IF($I387="","",TEXT(IFERROR(INDEX(tblVeriB[BelgeTarihi],ROW()-ROW(tblVeriB[[#Headers]])),""),"yyyymmdd")&amp;"|"&amp;TEXT(IFERROR(INDEX(tblVeriB[Tutar],ROW()-ROW(tblVeriB[[#Headers]])),0),"0.00"))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IF($A388="","",TEXT(IFERROR(INDEX(tblVeriA[Tarih],ROW()-ROW(tblVeriA[[#Headers]])),""),"yyyymmdd")&amp;"|"&amp;TEXT(IFERROR(INDEX(tblVeriA[Toplam],ROW()-ROW(tblVeriA[[#Headers]])),0),"0.00"))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IF($I388="","",TEXT(IFERROR(INDEX(tblVeriB[BelgeTarihi],ROW()-ROW(tblVeriB[[#Headers]])),""),"yyyymmdd")&amp;"|"&amp;TEXT(IFERROR(INDEX(tblVeriB[Tutar],ROW()-ROW(tblVeriB[[#Headers]])),0),"0.00"))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IF($A389="","",TEXT(IFERROR(INDEX(tblVeriA[Tarih],ROW()-ROW(tblVeriA[[#Headers]])),""),"yyyymmdd")&amp;"|"&amp;TEXT(IFERROR(INDEX(tblVeriA[Toplam],ROW()-ROW(tblVeriA[[#Headers]])),0),"0.00"))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IF($I389="","",TEXT(IFERROR(INDEX(tblVeriB[BelgeTarihi],ROW()-ROW(tblVeriB[[#Headers]])),""),"yyyymmdd")&amp;"|"&amp;TEXT(IFERROR(INDEX(tblVeriB[Tutar],ROW()-ROW(tblVeriB[[#Headers]])),0),"0.00"))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IF($A390="","",TEXT(IFERROR(INDEX(tblVeriA[Tarih],ROW()-ROW(tblVeriA[[#Headers]])),""),"yyyymmdd")&amp;"|"&amp;TEXT(IFERROR(INDEX(tblVeriA[Toplam],ROW()-ROW(tblVeriA[[#Headers]])),0),"0.00"))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IF($I390="","",TEXT(IFERROR(INDEX(tblVeriB[BelgeTarihi],ROW()-ROW(tblVeriB[[#Headers]])),""),"yyyymmdd")&amp;"|"&amp;TEXT(IFERROR(INDEX(tblVeriB[Tutar],ROW()-ROW(tblVeriB[[#Headers]])),0),"0.00"))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IF($A391="","",TEXT(IFERROR(INDEX(tblVeriA[Tarih],ROW()-ROW(tblVeriA[[#Headers]])),""),"yyyymmdd")&amp;"|"&amp;TEXT(IFERROR(INDEX(tblVeriA[Toplam],ROW()-ROW(tblVeriA[[#Headers]])),0),"0.00"))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IF($I391="","",TEXT(IFERROR(INDEX(tblVeriB[BelgeTarihi],ROW()-ROW(tblVeriB[[#Headers]])),""),"yyyymmdd")&amp;"|"&amp;TEXT(IFERROR(INDEX(tblVeriB[Tutar],ROW()-ROW(tblVeriB[[#Headers]])),0),"0.00"))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IF($A392="","",TEXT(IFERROR(INDEX(tblVeriA[Tarih],ROW()-ROW(tblVeriA[[#Headers]])),""),"yyyymmdd")&amp;"|"&amp;TEXT(IFERROR(INDEX(tblVeriA[Toplam],ROW()-ROW(tblVeriA[[#Headers]])),0),"0.00"))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IF($I392="","",TEXT(IFERROR(INDEX(tblVeriB[BelgeTarihi],ROW()-ROW(tblVeriB[[#Headers]])),""),"yyyymmdd")&amp;"|"&amp;TEXT(IFERROR(INDEX(tblVeriB[Tutar],ROW()-ROW(tblVeriB[[#Headers]])),0),"0.00"))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IF($A393="","",TEXT(IFERROR(INDEX(tblVeriA[Tarih],ROW()-ROW(tblVeriA[[#Headers]])),""),"yyyymmdd")&amp;"|"&amp;TEXT(IFERROR(INDEX(tblVeriA[Toplam],ROW()-ROW(tblVeriA[[#Headers]])),0),"0.00"))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IF($I393="","",TEXT(IFERROR(INDEX(tblVeriB[BelgeTarihi],ROW()-ROW(tblVeriB[[#Headers]])),""),"yyyymmdd")&amp;"|"&amp;TEXT(IFERROR(INDEX(tblVeriB[Tutar],ROW()-ROW(tblVeriB[[#Headers]])),0),"0.00"))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IF($A394="","",TEXT(IFERROR(INDEX(tblVeriA[Tarih],ROW()-ROW(tblVeriA[[#Headers]])),""),"yyyymmdd")&amp;"|"&amp;TEXT(IFERROR(INDEX(tblVeriA[Toplam],ROW()-ROW(tblVeriA[[#Headers]])),0),"0.00"))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IF($I394="","",TEXT(IFERROR(INDEX(tblVeriB[BelgeTarihi],ROW()-ROW(tblVeriB[[#Headers]])),""),"yyyymmdd")&amp;"|"&amp;TEXT(IFERROR(INDEX(tblVeriB[Tutar],ROW()-ROW(tblVeriB[[#Headers]])),0),"0.00"))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IF($A395="","",TEXT(IFERROR(INDEX(tblVeriA[Tarih],ROW()-ROW(tblVeriA[[#Headers]])),""),"yyyymmdd")&amp;"|"&amp;TEXT(IFERROR(INDEX(tblVeriA[Toplam],ROW()-ROW(tblVeriA[[#Headers]])),0),"0.00"))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IF($I395="","",TEXT(IFERROR(INDEX(tblVeriB[BelgeTarihi],ROW()-ROW(tblVeriB[[#Headers]])),""),"yyyymmdd")&amp;"|"&amp;TEXT(IFERROR(INDEX(tblVeriB[Tutar],ROW()-ROW(tblVeriB[[#Headers]])),0),"0.00"))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IF($A396="","",TEXT(IFERROR(INDEX(tblVeriA[Tarih],ROW()-ROW(tblVeriA[[#Headers]])),""),"yyyymmdd")&amp;"|"&amp;TEXT(IFERROR(INDEX(tblVeriA[Toplam],ROW()-ROW(tblVeriA[[#Headers]])),0),"0.00"))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IF($I396="","",TEXT(IFERROR(INDEX(tblVeriB[BelgeTarihi],ROW()-ROW(tblVeriB[[#Headers]])),""),"yyyymmdd")&amp;"|"&amp;TEXT(IFERROR(INDEX(tblVeriB[Tutar],ROW()-ROW(tblVeriB[[#Headers]])),0),"0.00"))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IF($A397="","",TEXT(IFERROR(INDEX(tblVeriA[Tarih],ROW()-ROW(tblVeriA[[#Headers]])),""),"yyyymmdd")&amp;"|"&amp;TEXT(IFERROR(INDEX(tblVeriA[Toplam],ROW()-ROW(tblVeriA[[#Headers]])),0),"0.00"))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IF($I397="","",TEXT(IFERROR(INDEX(tblVeriB[BelgeTarihi],ROW()-ROW(tblVeriB[[#Headers]])),""),"yyyymmdd")&amp;"|"&amp;TEXT(IFERROR(INDEX(tblVeriB[Tutar],ROW()-ROW(tblVeriB[[#Headers]])),0),"0.00"))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IF($A398="","",TEXT(IFERROR(INDEX(tblVeriA[Tarih],ROW()-ROW(tblVeriA[[#Headers]])),""),"yyyymmdd")&amp;"|"&amp;TEXT(IFERROR(INDEX(tblVeriA[Toplam],ROW()-ROW(tblVeriA[[#Headers]])),0),"0.00"))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IF($I398="","",TEXT(IFERROR(INDEX(tblVeriB[BelgeTarihi],ROW()-ROW(tblVeriB[[#Headers]])),""),"yyyymmdd")&amp;"|"&amp;TEXT(IFERROR(INDEX(tblVeriB[Tutar],ROW()-ROW(tblVeriB[[#Headers]])),0),"0.00"))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IF($A399="","",TEXT(IFERROR(INDEX(tblVeriA[Tarih],ROW()-ROW(tblVeriA[[#Headers]])),""),"yyyymmdd")&amp;"|"&amp;TEXT(IFERROR(INDEX(tblVeriA[Toplam],ROW()-ROW(tblVeriA[[#Headers]])),0),"0.00"))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IF($I399="","",TEXT(IFERROR(INDEX(tblVeriB[BelgeTarihi],ROW()-ROW(tblVeriB[[#Headers]])),""),"yyyymmdd")&amp;"|"&amp;TEXT(IFERROR(INDEX(tblVeriB[Tutar],ROW()-ROW(tblVeriB[[#Headers]])),0),"0.00"))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IF($A400="","",TEXT(IFERROR(INDEX(tblVeriA[Tarih],ROW()-ROW(tblVeriA[[#Headers]])),""),"yyyymmdd")&amp;"|"&amp;TEXT(IFERROR(INDEX(tblVeriA[Toplam],ROW()-ROW(tblVeriA[[#Headers]])),0),"0.00"))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IF($I400="","",TEXT(IFERROR(INDEX(tblVeriB[BelgeTarihi],ROW()-ROW(tblVeriB[[#Headers]])),""),"yyyymmdd")&amp;"|"&amp;TEXT(IFERROR(INDEX(tblVeriB[Tutar],ROW()-ROW(tblVeriB[[#Headers]])),0),"0.00"))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IF($A401="","",TEXT(IFERROR(INDEX(tblVeriA[Tarih],ROW()-ROW(tblVeriA[[#Headers]])),""),"yyyymmdd")&amp;"|"&amp;TEXT(IFERROR(INDEX(tblVeriA[Toplam],ROW()-ROW(tblVeriA[[#Headers]])),0),"0.00"))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IF($I401="","",TEXT(IFERROR(INDEX(tblVeriB[BelgeTarihi],ROW()-ROW(tblVeriB[[#Headers]])),""),"yyyymmdd")&amp;"|"&amp;TEXT(IFERROR(INDEX(tblVeriB[Tutar],ROW()-ROW(tblVeriB[[#Headers]])),0),"0.00"))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IF($A402="","",TEXT(IFERROR(INDEX(tblVeriA[Tarih],ROW()-ROW(tblVeriA[[#Headers]])),""),"yyyymmdd")&amp;"|"&amp;TEXT(IFERROR(INDEX(tblVeriA[Toplam],ROW()-ROW(tblVeriA[[#Headers]])),0),"0.00"))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IF($I402="","",TEXT(IFERROR(INDEX(tblVeriB[BelgeTarihi],ROW()-ROW(tblVeriB[[#Headers]])),""),"yyyymmdd")&amp;"|"&amp;TEXT(IFERROR(INDEX(tblVeriB[Tutar],ROW()-ROW(tblVeriB[[#Headers]])),0),"0.00"))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IF($A403="","",TEXT(IFERROR(INDEX(tblVeriA[Tarih],ROW()-ROW(tblVeriA[[#Headers]])),""),"yyyymmdd")&amp;"|"&amp;TEXT(IFERROR(INDEX(tblVeriA[Toplam],ROW()-ROW(tblVeriA[[#Headers]])),0),"0.00"))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IF($I403="","",TEXT(IFERROR(INDEX(tblVeriB[BelgeTarihi],ROW()-ROW(tblVeriB[[#Headers]])),""),"yyyymmdd")&amp;"|"&amp;TEXT(IFERROR(INDEX(tblVeriB[Tutar],ROW()-ROW(tblVeriB[[#Headers]])),0),"0.00"))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IF($A404="","",TEXT(IFERROR(INDEX(tblVeriA[Tarih],ROW()-ROW(tblVeriA[[#Headers]])),""),"yyyymmdd")&amp;"|"&amp;TEXT(IFERROR(INDEX(tblVeriA[Toplam],ROW()-ROW(tblVeriA[[#Headers]])),0),"0.00"))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IF($I404="","",TEXT(IFERROR(INDEX(tblVeriB[BelgeTarihi],ROW()-ROW(tblVeriB[[#Headers]])),""),"yyyymmdd")&amp;"|"&amp;TEXT(IFERROR(INDEX(tblVeriB[Tutar],ROW()-ROW(tblVeriB[[#Headers]])),0),"0.00"))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IF($A405="","",TEXT(IFERROR(INDEX(tblVeriA[Tarih],ROW()-ROW(tblVeriA[[#Headers]])),""),"yyyymmdd")&amp;"|"&amp;TEXT(IFERROR(INDEX(tblVeriA[Toplam],ROW()-ROW(tblVeriA[[#Headers]])),0),"0.00"))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IF($I405="","",TEXT(IFERROR(INDEX(tblVeriB[BelgeTarihi],ROW()-ROW(tblVeriB[[#Headers]])),""),"yyyymmdd")&amp;"|"&amp;TEXT(IFERROR(INDEX(tblVeriB[Tutar],ROW()-ROW(tblVeriB[[#Headers]])),0),"0.00"))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IF($A406="","",TEXT(IFERROR(INDEX(tblVeriA[Tarih],ROW()-ROW(tblVeriA[[#Headers]])),""),"yyyymmdd")&amp;"|"&amp;TEXT(IFERROR(INDEX(tblVeriA[Toplam],ROW()-ROW(tblVeriA[[#Headers]])),0),"0.00"))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IF($I406="","",TEXT(IFERROR(INDEX(tblVeriB[BelgeTarihi],ROW()-ROW(tblVeriB[[#Headers]])),""),"yyyymmdd")&amp;"|"&amp;TEXT(IFERROR(INDEX(tblVeriB[Tutar],ROW()-ROW(tblVeriB[[#Headers]])),0),"0.00"))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IF($A407="","",TEXT(IFERROR(INDEX(tblVeriA[Tarih],ROW()-ROW(tblVeriA[[#Headers]])),""),"yyyymmdd")&amp;"|"&amp;TEXT(IFERROR(INDEX(tblVeriA[Toplam],ROW()-ROW(tblVeriA[[#Headers]])),0),"0.00"))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IF($I407="","",TEXT(IFERROR(INDEX(tblVeriB[BelgeTarihi],ROW()-ROW(tblVeriB[[#Headers]])),""),"yyyymmdd")&amp;"|"&amp;TEXT(IFERROR(INDEX(tblVeriB[Tutar],ROW()-ROW(tblVeriB[[#Headers]])),0),"0.00"))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IF($A408="","",TEXT(IFERROR(INDEX(tblVeriA[Tarih],ROW()-ROW(tblVeriA[[#Headers]])),""),"yyyymmdd")&amp;"|"&amp;TEXT(IFERROR(INDEX(tblVeriA[Toplam],ROW()-ROW(tblVeriA[[#Headers]])),0),"0.00"))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IF($I408="","",TEXT(IFERROR(INDEX(tblVeriB[BelgeTarihi],ROW()-ROW(tblVeriB[[#Headers]])),""),"yyyymmdd")&amp;"|"&amp;TEXT(IFERROR(INDEX(tblVeriB[Tutar],ROW()-ROW(tblVeriB[[#Headers]])),0),"0.00"))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IF($A409="","",TEXT(IFERROR(INDEX(tblVeriA[Tarih],ROW()-ROW(tblVeriA[[#Headers]])),""),"yyyymmdd")&amp;"|"&amp;TEXT(IFERROR(INDEX(tblVeriA[Toplam],ROW()-ROW(tblVeriA[[#Headers]])),0),"0.00"))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IF($I409="","",TEXT(IFERROR(INDEX(tblVeriB[BelgeTarihi],ROW()-ROW(tblVeriB[[#Headers]])),""),"yyyymmdd")&amp;"|"&amp;TEXT(IFERROR(INDEX(tblVeriB[Tutar],ROW()-ROW(tblVeriB[[#Headers]])),0),"0.00"))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IF($A410="","",TEXT(IFERROR(INDEX(tblVeriA[Tarih],ROW()-ROW(tblVeriA[[#Headers]])),""),"yyyymmdd")&amp;"|"&amp;TEXT(IFERROR(INDEX(tblVeriA[Toplam],ROW()-ROW(tblVeriA[[#Headers]])),0),"0.00"))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IF($I410="","",TEXT(IFERROR(INDEX(tblVeriB[BelgeTarihi],ROW()-ROW(tblVeriB[[#Headers]])),""),"yyyymmdd")&amp;"|"&amp;TEXT(IFERROR(INDEX(tblVeriB[Tutar],ROW()-ROW(tblVeriB[[#Headers]])),0),"0.00"))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IF($A411="","",TEXT(IFERROR(INDEX(tblVeriA[Tarih],ROW()-ROW(tblVeriA[[#Headers]])),""),"yyyymmdd")&amp;"|"&amp;TEXT(IFERROR(INDEX(tblVeriA[Toplam],ROW()-ROW(tblVeriA[[#Headers]])),0),"0.00"))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IF($I411="","",TEXT(IFERROR(INDEX(tblVeriB[BelgeTarihi],ROW()-ROW(tblVeriB[[#Headers]])),""),"yyyymmdd")&amp;"|"&amp;TEXT(IFERROR(INDEX(tblVeriB[Tutar],ROW()-ROW(tblVeriB[[#Headers]])),0),"0.00"))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IF($A412="","",TEXT(IFERROR(INDEX(tblVeriA[Tarih],ROW()-ROW(tblVeriA[[#Headers]])),""),"yyyymmdd")&amp;"|"&amp;TEXT(IFERROR(INDEX(tblVeriA[Toplam],ROW()-ROW(tblVeriA[[#Headers]])),0),"0.00"))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IF($I412="","",TEXT(IFERROR(INDEX(tblVeriB[BelgeTarihi],ROW()-ROW(tblVeriB[[#Headers]])),""),"yyyymmdd")&amp;"|"&amp;TEXT(IFERROR(INDEX(tblVeriB[Tutar],ROW()-ROW(tblVeriB[[#Headers]])),0),"0.00"))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IF($A413="","",TEXT(IFERROR(INDEX(tblVeriA[Tarih],ROW()-ROW(tblVeriA[[#Headers]])),""),"yyyymmdd")&amp;"|"&amp;TEXT(IFERROR(INDEX(tblVeriA[Toplam],ROW()-ROW(tblVeriA[[#Headers]])),0),"0.00"))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IF($I413="","",TEXT(IFERROR(INDEX(tblVeriB[BelgeTarihi],ROW()-ROW(tblVeriB[[#Headers]])),""),"yyyymmdd")&amp;"|"&amp;TEXT(IFERROR(INDEX(tblVeriB[Tutar],ROW()-ROW(tblVeriB[[#Headers]])),0),"0.00"))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IF($A414="","",TEXT(IFERROR(INDEX(tblVeriA[Tarih],ROW()-ROW(tblVeriA[[#Headers]])),""),"yyyymmdd")&amp;"|"&amp;TEXT(IFERROR(INDEX(tblVeriA[Toplam],ROW()-ROW(tblVeriA[[#Headers]])),0),"0.00"))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IF($I414="","",TEXT(IFERROR(INDEX(tblVeriB[BelgeTarihi],ROW()-ROW(tblVeriB[[#Headers]])),""),"yyyymmdd")&amp;"|"&amp;TEXT(IFERROR(INDEX(tblVeriB[Tutar],ROW()-ROW(tblVeriB[[#Headers]])),0),"0.00"))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IF($A415="","",TEXT(IFERROR(INDEX(tblVeriA[Tarih],ROW()-ROW(tblVeriA[[#Headers]])),""),"yyyymmdd")&amp;"|"&amp;TEXT(IFERROR(INDEX(tblVeriA[Toplam],ROW()-ROW(tblVeriA[[#Headers]])),0),"0.00"))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IF($I415="","",TEXT(IFERROR(INDEX(tblVeriB[BelgeTarihi],ROW()-ROW(tblVeriB[[#Headers]])),""),"yyyymmdd")&amp;"|"&amp;TEXT(IFERROR(INDEX(tblVeriB[Tutar],ROW()-ROW(tblVeriB[[#Headers]])),0),"0.00"))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IF($A416="","",TEXT(IFERROR(INDEX(tblVeriA[Tarih],ROW()-ROW(tblVeriA[[#Headers]])),""),"yyyymmdd")&amp;"|"&amp;TEXT(IFERROR(INDEX(tblVeriA[Toplam],ROW()-ROW(tblVeriA[[#Headers]])),0),"0.00"))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IF($I416="","",TEXT(IFERROR(INDEX(tblVeriB[BelgeTarihi],ROW()-ROW(tblVeriB[[#Headers]])),""),"yyyymmdd")&amp;"|"&amp;TEXT(IFERROR(INDEX(tblVeriB[Tutar],ROW()-ROW(tblVeriB[[#Headers]])),0),"0.00"))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IF($A417="","",TEXT(IFERROR(INDEX(tblVeriA[Tarih],ROW()-ROW(tblVeriA[[#Headers]])),""),"yyyymmdd")&amp;"|"&amp;TEXT(IFERROR(INDEX(tblVeriA[Toplam],ROW()-ROW(tblVeriA[[#Headers]])),0),"0.00"))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IF($I417="","",TEXT(IFERROR(INDEX(tblVeriB[BelgeTarihi],ROW()-ROW(tblVeriB[[#Headers]])),""),"yyyymmdd")&amp;"|"&amp;TEXT(IFERROR(INDEX(tblVeriB[Tutar],ROW()-ROW(tblVeriB[[#Headers]])),0),"0.00"))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IF($A418="","",TEXT(IFERROR(INDEX(tblVeriA[Tarih],ROW()-ROW(tblVeriA[[#Headers]])),""),"yyyymmdd")&amp;"|"&amp;TEXT(IFERROR(INDEX(tblVeriA[Toplam],ROW()-ROW(tblVeriA[[#Headers]])),0),"0.00"))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IF($I418="","",TEXT(IFERROR(INDEX(tblVeriB[BelgeTarihi],ROW()-ROW(tblVeriB[[#Headers]])),""),"yyyymmdd")&amp;"|"&amp;TEXT(IFERROR(INDEX(tblVeriB[Tutar],ROW()-ROW(tblVeriB[[#Headers]])),0),"0.00"))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IF($A419="","",TEXT(IFERROR(INDEX(tblVeriA[Tarih],ROW()-ROW(tblVeriA[[#Headers]])),""),"yyyymmdd")&amp;"|"&amp;TEXT(IFERROR(INDEX(tblVeriA[Toplam],ROW()-ROW(tblVeriA[[#Headers]])),0),"0.00"))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IF($I419="","",TEXT(IFERROR(INDEX(tblVeriB[BelgeTarihi],ROW()-ROW(tblVeriB[[#Headers]])),""),"yyyymmdd")&amp;"|"&amp;TEXT(IFERROR(INDEX(tblVeriB[Tutar],ROW()-ROW(tblVeriB[[#Headers]])),0),"0.00"))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IF($A420="","",TEXT(IFERROR(INDEX(tblVeriA[Tarih],ROW()-ROW(tblVeriA[[#Headers]])),""),"yyyymmdd")&amp;"|"&amp;TEXT(IFERROR(INDEX(tblVeriA[Toplam],ROW()-ROW(tblVeriA[[#Headers]])),0),"0.00"))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IF($I420="","",TEXT(IFERROR(INDEX(tblVeriB[BelgeTarihi],ROW()-ROW(tblVeriB[[#Headers]])),""),"yyyymmdd")&amp;"|"&amp;TEXT(IFERROR(INDEX(tblVeriB[Tutar],ROW()-ROW(tblVeriB[[#Headers]])),0),"0.00"))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IF($A421="","",TEXT(IFERROR(INDEX(tblVeriA[Tarih],ROW()-ROW(tblVeriA[[#Headers]])),""),"yyyymmdd")&amp;"|"&amp;TEXT(IFERROR(INDEX(tblVeriA[Toplam],ROW()-ROW(tblVeriA[[#Headers]])),0),"0.00"))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IF($I421="","",TEXT(IFERROR(INDEX(tblVeriB[BelgeTarihi],ROW()-ROW(tblVeriB[[#Headers]])),""),"yyyymmdd")&amp;"|"&amp;TEXT(IFERROR(INDEX(tblVeriB[Tutar],ROW()-ROW(tblVeriB[[#Headers]])),0),"0.00"))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IF($A422="","",TEXT(IFERROR(INDEX(tblVeriA[Tarih],ROW()-ROW(tblVeriA[[#Headers]])),""),"yyyymmdd")&amp;"|"&amp;TEXT(IFERROR(INDEX(tblVeriA[Toplam],ROW()-ROW(tblVeriA[[#Headers]])),0),"0.00"))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IF($I422="","",TEXT(IFERROR(INDEX(tblVeriB[BelgeTarihi],ROW()-ROW(tblVeriB[[#Headers]])),""),"yyyymmdd")&amp;"|"&amp;TEXT(IFERROR(INDEX(tblVeriB[Tutar],ROW()-ROW(tblVeriB[[#Headers]])),0),"0.00"))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IF($A423="","",TEXT(IFERROR(INDEX(tblVeriA[Tarih],ROW()-ROW(tblVeriA[[#Headers]])),""),"yyyymmdd")&amp;"|"&amp;TEXT(IFERROR(INDEX(tblVeriA[Toplam],ROW()-ROW(tblVeriA[[#Headers]])),0),"0.00"))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IF($I423="","",TEXT(IFERROR(INDEX(tblVeriB[BelgeTarihi],ROW()-ROW(tblVeriB[[#Headers]])),""),"yyyymmdd")&amp;"|"&amp;TEXT(IFERROR(INDEX(tblVeriB[Tutar],ROW()-ROW(tblVeriB[[#Headers]])),0),"0.00"))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IF($A424="","",TEXT(IFERROR(INDEX(tblVeriA[Tarih],ROW()-ROW(tblVeriA[[#Headers]])),""),"yyyymmdd")&amp;"|"&amp;TEXT(IFERROR(INDEX(tblVeriA[Toplam],ROW()-ROW(tblVeriA[[#Headers]])),0),"0.00"))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IF($I424="","",TEXT(IFERROR(INDEX(tblVeriB[BelgeTarihi],ROW()-ROW(tblVeriB[[#Headers]])),""),"yyyymmdd")&amp;"|"&amp;TEXT(IFERROR(INDEX(tblVeriB[Tutar],ROW()-ROW(tblVeriB[[#Headers]])),0),"0.00"))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IF($A425="","",TEXT(IFERROR(INDEX(tblVeriA[Tarih],ROW()-ROW(tblVeriA[[#Headers]])),""),"yyyymmdd")&amp;"|"&amp;TEXT(IFERROR(INDEX(tblVeriA[Toplam],ROW()-ROW(tblVeriA[[#Headers]])),0),"0.00"))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IF($I425="","",TEXT(IFERROR(INDEX(tblVeriB[BelgeTarihi],ROW()-ROW(tblVeriB[[#Headers]])),""),"yyyymmdd")&amp;"|"&amp;TEXT(IFERROR(INDEX(tblVeriB[Tutar],ROW()-ROW(tblVeriB[[#Headers]])),0),"0.00"))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IF($A426="","",TEXT(IFERROR(INDEX(tblVeriA[Tarih],ROW()-ROW(tblVeriA[[#Headers]])),""),"yyyymmdd")&amp;"|"&amp;TEXT(IFERROR(INDEX(tblVeriA[Toplam],ROW()-ROW(tblVeriA[[#Headers]])),0),"0.00"))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IF($I426="","",TEXT(IFERROR(INDEX(tblVeriB[BelgeTarihi],ROW()-ROW(tblVeriB[[#Headers]])),""),"yyyymmdd")&amp;"|"&amp;TEXT(IFERROR(INDEX(tblVeriB[Tutar],ROW()-ROW(tblVeriB[[#Headers]])),0),"0.00"))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IF($A427="","",TEXT(IFERROR(INDEX(tblVeriA[Tarih],ROW()-ROW(tblVeriA[[#Headers]])),""),"yyyymmdd")&amp;"|"&amp;TEXT(IFERROR(INDEX(tblVeriA[Toplam],ROW()-ROW(tblVeriA[[#Headers]])),0),"0.00"))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IF($I427="","",TEXT(IFERROR(INDEX(tblVeriB[BelgeTarihi],ROW()-ROW(tblVeriB[[#Headers]])),""),"yyyymmdd")&amp;"|"&amp;TEXT(IFERROR(INDEX(tblVeriB[Tutar],ROW()-ROW(tblVeriB[[#Headers]])),0),"0.00"))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IF($A428="","",TEXT(IFERROR(INDEX(tblVeriA[Tarih],ROW()-ROW(tblVeriA[[#Headers]])),""),"yyyymmdd")&amp;"|"&amp;TEXT(IFERROR(INDEX(tblVeriA[Toplam],ROW()-ROW(tblVeriA[[#Headers]])),0),"0.00"))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IF($I428="","",TEXT(IFERROR(INDEX(tblVeriB[BelgeTarihi],ROW()-ROW(tblVeriB[[#Headers]])),""),"yyyymmdd")&amp;"|"&amp;TEXT(IFERROR(INDEX(tblVeriB[Tutar],ROW()-ROW(tblVeriB[[#Headers]])),0),"0.00"))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IF($A429="","",TEXT(IFERROR(INDEX(tblVeriA[Tarih],ROW()-ROW(tblVeriA[[#Headers]])),""),"yyyymmdd")&amp;"|"&amp;TEXT(IFERROR(INDEX(tblVeriA[Toplam],ROW()-ROW(tblVeriA[[#Headers]])),0),"0.00"))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IF($I429="","",TEXT(IFERROR(INDEX(tblVeriB[BelgeTarihi],ROW()-ROW(tblVeriB[[#Headers]])),""),"yyyymmdd")&amp;"|"&amp;TEXT(IFERROR(INDEX(tblVeriB[Tutar],ROW()-ROW(tblVeriB[[#Headers]])),0),"0.00"))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IF($A430="","",TEXT(IFERROR(INDEX(tblVeriA[Tarih],ROW()-ROW(tblVeriA[[#Headers]])),""),"yyyymmdd")&amp;"|"&amp;TEXT(IFERROR(INDEX(tblVeriA[Toplam],ROW()-ROW(tblVeriA[[#Headers]])),0),"0.00"))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IF($I430="","",TEXT(IFERROR(INDEX(tblVeriB[BelgeTarihi],ROW()-ROW(tblVeriB[[#Headers]])),""),"yyyymmdd")&amp;"|"&amp;TEXT(IFERROR(INDEX(tblVeriB[Tutar],ROW()-ROW(tblVeriB[[#Headers]])),0),"0.00"))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IF($A431="","",TEXT(IFERROR(INDEX(tblVeriA[Tarih],ROW()-ROW(tblVeriA[[#Headers]])),""),"yyyymmdd")&amp;"|"&amp;TEXT(IFERROR(INDEX(tblVeriA[Toplam],ROW()-ROW(tblVeriA[[#Headers]])),0),"0.00"))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IF($I431="","",TEXT(IFERROR(INDEX(tblVeriB[BelgeTarihi],ROW()-ROW(tblVeriB[[#Headers]])),""),"yyyymmdd")&amp;"|"&amp;TEXT(IFERROR(INDEX(tblVeriB[Tutar],ROW()-ROW(tblVeriB[[#Headers]])),0),"0.00"))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IF($A432="","",TEXT(IFERROR(INDEX(tblVeriA[Tarih],ROW()-ROW(tblVeriA[[#Headers]])),""),"yyyymmdd")&amp;"|"&amp;TEXT(IFERROR(INDEX(tblVeriA[Toplam],ROW()-ROW(tblVeriA[[#Headers]])),0),"0.00"))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IF($I432="","",TEXT(IFERROR(INDEX(tblVeriB[BelgeTarihi],ROW()-ROW(tblVeriB[[#Headers]])),""),"yyyymmdd")&amp;"|"&amp;TEXT(IFERROR(INDEX(tblVeriB[Tutar],ROW()-ROW(tblVeriB[[#Headers]])),0),"0.00"))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IF($A433="","",TEXT(IFERROR(INDEX(tblVeriA[Tarih],ROW()-ROW(tblVeriA[[#Headers]])),""),"yyyymmdd")&amp;"|"&amp;TEXT(IFERROR(INDEX(tblVeriA[Toplam],ROW()-ROW(tblVeriA[[#Headers]])),0),"0.00"))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IF($I433="","",TEXT(IFERROR(INDEX(tblVeriB[BelgeTarihi],ROW()-ROW(tblVeriB[[#Headers]])),""),"yyyymmdd")&amp;"|"&amp;TEXT(IFERROR(INDEX(tblVeriB[Tutar],ROW()-ROW(tblVeriB[[#Headers]])),0),"0.00"))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IF($A434="","",TEXT(IFERROR(INDEX(tblVeriA[Tarih],ROW()-ROW(tblVeriA[[#Headers]])),""),"yyyymmdd")&amp;"|"&amp;TEXT(IFERROR(INDEX(tblVeriA[Toplam],ROW()-ROW(tblVeriA[[#Headers]])),0),"0.00"))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IF($I434="","",TEXT(IFERROR(INDEX(tblVeriB[BelgeTarihi],ROW()-ROW(tblVeriB[[#Headers]])),""),"yyyymmdd")&amp;"|"&amp;TEXT(IFERROR(INDEX(tblVeriB[Tutar],ROW()-ROW(tblVeriB[[#Headers]])),0),"0.00"))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IF($A435="","",TEXT(IFERROR(INDEX(tblVeriA[Tarih],ROW()-ROW(tblVeriA[[#Headers]])),""),"yyyymmdd")&amp;"|"&amp;TEXT(IFERROR(INDEX(tblVeriA[Toplam],ROW()-ROW(tblVeriA[[#Headers]])),0),"0.00"))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IF($I435="","",TEXT(IFERROR(INDEX(tblVeriB[BelgeTarihi],ROW()-ROW(tblVeriB[[#Headers]])),""),"yyyymmdd")&amp;"|"&amp;TEXT(IFERROR(INDEX(tblVeriB[Tutar],ROW()-ROW(tblVeriB[[#Headers]])),0),"0.00"))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IF($A436="","",TEXT(IFERROR(INDEX(tblVeriA[Tarih],ROW()-ROW(tblVeriA[[#Headers]])),""),"yyyymmdd")&amp;"|"&amp;TEXT(IFERROR(INDEX(tblVeriA[Toplam],ROW()-ROW(tblVeriA[[#Headers]])),0),"0.00"))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IF($I436="","",TEXT(IFERROR(INDEX(tblVeriB[BelgeTarihi],ROW()-ROW(tblVeriB[[#Headers]])),""),"yyyymmdd")&amp;"|"&amp;TEXT(IFERROR(INDEX(tblVeriB[Tutar],ROW()-ROW(tblVeriB[[#Headers]])),0),"0.00"))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IF($A437="","",TEXT(IFERROR(INDEX(tblVeriA[Tarih],ROW()-ROW(tblVeriA[[#Headers]])),""),"yyyymmdd")&amp;"|"&amp;TEXT(IFERROR(INDEX(tblVeriA[Toplam],ROW()-ROW(tblVeriA[[#Headers]])),0),"0.00"))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IF($I437="","",TEXT(IFERROR(INDEX(tblVeriB[BelgeTarihi],ROW()-ROW(tblVeriB[[#Headers]])),""),"yyyymmdd")&amp;"|"&amp;TEXT(IFERROR(INDEX(tblVeriB[Tutar],ROW()-ROW(tblVeriB[[#Headers]])),0),"0.00"))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IF($A438="","",TEXT(IFERROR(INDEX(tblVeriA[Tarih],ROW()-ROW(tblVeriA[[#Headers]])),""),"yyyymmdd")&amp;"|"&amp;TEXT(IFERROR(INDEX(tblVeriA[Toplam],ROW()-ROW(tblVeriA[[#Headers]])),0),"0.00"))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IF($I438="","",TEXT(IFERROR(INDEX(tblVeriB[BelgeTarihi],ROW()-ROW(tblVeriB[[#Headers]])),""),"yyyymmdd")&amp;"|"&amp;TEXT(IFERROR(INDEX(tblVeriB[Tutar],ROW()-ROW(tblVeriB[[#Headers]])),0),"0.00"))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IF($A439="","",TEXT(IFERROR(INDEX(tblVeriA[Tarih],ROW()-ROW(tblVeriA[[#Headers]])),""),"yyyymmdd")&amp;"|"&amp;TEXT(IFERROR(INDEX(tblVeriA[Toplam],ROW()-ROW(tblVeriA[[#Headers]])),0),"0.00"))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IF($I439="","",TEXT(IFERROR(INDEX(tblVeriB[BelgeTarihi],ROW()-ROW(tblVeriB[[#Headers]])),""),"yyyymmdd")&amp;"|"&amp;TEXT(IFERROR(INDEX(tblVeriB[Tutar],ROW()-ROW(tblVeriB[[#Headers]])),0),"0.00"))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IF($A440="","",TEXT(IFERROR(INDEX(tblVeriA[Tarih],ROW()-ROW(tblVeriA[[#Headers]])),""),"yyyymmdd")&amp;"|"&amp;TEXT(IFERROR(INDEX(tblVeriA[Toplam],ROW()-ROW(tblVeriA[[#Headers]])),0),"0.00"))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IF($I440="","",TEXT(IFERROR(INDEX(tblVeriB[BelgeTarihi],ROW()-ROW(tblVeriB[[#Headers]])),""),"yyyymmdd")&amp;"|"&amp;TEXT(IFERROR(INDEX(tblVeriB[Tutar],ROW()-ROW(tblVeriB[[#Headers]])),0),"0.00"))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IF($A441="","",TEXT(IFERROR(INDEX(tblVeriA[Tarih],ROW()-ROW(tblVeriA[[#Headers]])),""),"yyyymmdd")&amp;"|"&amp;TEXT(IFERROR(INDEX(tblVeriA[Toplam],ROW()-ROW(tblVeriA[[#Headers]])),0),"0.00"))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IF($I441="","",TEXT(IFERROR(INDEX(tblVeriB[BelgeTarihi],ROW()-ROW(tblVeriB[[#Headers]])),""),"yyyymmdd")&amp;"|"&amp;TEXT(IFERROR(INDEX(tblVeriB[Tutar],ROW()-ROW(tblVeriB[[#Headers]])),0),"0.00"))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IF($A442="","",TEXT(IFERROR(INDEX(tblVeriA[Tarih],ROW()-ROW(tblVeriA[[#Headers]])),""),"yyyymmdd")&amp;"|"&amp;TEXT(IFERROR(INDEX(tblVeriA[Toplam],ROW()-ROW(tblVeriA[[#Headers]])),0),"0.00"))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IF($I442="","",TEXT(IFERROR(INDEX(tblVeriB[BelgeTarihi],ROW()-ROW(tblVeriB[[#Headers]])),""),"yyyymmdd")&amp;"|"&amp;TEXT(IFERROR(INDEX(tblVeriB[Tutar],ROW()-ROW(tblVeriB[[#Headers]])),0),"0.00"))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IF($A443="","",TEXT(IFERROR(INDEX(tblVeriA[Tarih],ROW()-ROW(tblVeriA[[#Headers]])),""),"yyyymmdd")&amp;"|"&amp;TEXT(IFERROR(INDEX(tblVeriA[Toplam],ROW()-ROW(tblVeriA[[#Headers]])),0),"0.00"))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IF($I443="","",TEXT(IFERROR(INDEX(tblVeriB[BelgeTarihi],ROW()-ROW(tblVeriB[[#Headers]])),""),"yyyymmdd")&amp;"|"&amp;TEXT(IFERROR(INDEX(tblVeriB[Tutar],ROW()-ROW(tblVeriB[[#Headers]])),0),"0.00"))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IF($A444="","",TEXT(IFERROR(INDEX(tblVeriA[Tarih],ROW()-ROW(tblVeriA[[#Headers]])),""),"yyyymmdd")&amp;"|"&amp;TEXT(IFERROR(INDEX(tblVeriA[Toplam],ROW()-ROW(tblVeriA[[#Headers]])),0),"0.00"))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IF($I444="","",TEXT(IFERROR(INDEX(tblVeriB[BelgeTarihi],ROW()-ROW(tblVeriB[[#Headers]])),""),"yyyymmdd")&amp;"|"&amp;TEXT(IFERROR(INDEX(tblVeriB[Tutar],ROW()-ROW(tblVeriB[[#Headers]])),0),"0.00"))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IF($A445="","",TEXT(IFERROR(INDEX(tblVeriA[Tarih],ROW()-ROW(tblVeriA[[#Headers]])),""),"yyyymmdd")&amp;"|"&amp;TEXT(IFERROR(INDEX(tblVeriA[Toplam],ROW()-ROW(tblVeriA[[#Headers]])),0),"0.00"))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IF($I445="","",TEXT(IFERROR(INDEX(tblVeriB[BelgeTarihi],ROW()-ROW(tblVeriB[[#Headers]])),""),"yyyymmdd")&amp;"|"&amp;TEXT(IFERROR(INDEX(tblVeriB[Tutar],ROW()-ROW(tblVeriB[[#Headers]])),0),"0.00"))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IF($A446="","",TEXT(IFERROR(INDEX(tblVeriA[Tarih],ROW()-ROW(tblVeriA[[#Headers]])),""),"yyyymmdd")&amp;"|"&amp;TEXT(IFERROR(INDEX(tblVeriA[Toplam],ROW()-ROW(tblVeriA[[#Headers]])),0),"0.00"))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IF($I446="","",TEXT(IFERROR(INDEX(tblVeriB[BelgeTarihi],ROW()-ROW(tblVeriB[[#Headers]])),""),"yyyymmdd")&amp;"|"&amp;TEXT(IFERROR(INDEX(tblVeriB[Tutar],ROW()-ROW(tblVeriB[[#Headers]])),0),"0.00"))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IF($A447="","",TEXT(IFERROR(INDEX(tblVeriA[Tarih],ROW()-ROW(tblVeriA[[#Headers]])),""),"yyyymmdd")&amp;"|"&amp;TEXT(IFERROR(INDEX(tblVeriA[Toplam],ROW()-ROW(tblVeriA[[#Headers]])),0),"0.00"))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IF($I447="","",TEXT(IFERROR(INDEX(tblVeriB[BelgeTarihi],ROW()-ROW(tblVeriB[[#Headers]])),""),"yyyymmdd")&amp;"|"&amp;TEXT(IFERROR(INDEX(tblVeriB[Tutar],ROW()-ROW(tblVeriB[[#Headers]])),0),"0.00"))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IF($A448="","",TEXT(IFERROR(INDEX(tblVeriA[Tarih],ROW()-ROW(tblVeriA[[#Headers]])),""),"yyyymmdd")&amp;"|"&amp;TEXT(IFERROR(INDEX(tblVeriA[Toplam],ROW()-ROW(tblVeriA[[#Headers]])),0),"0.00"))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IF($I448="","",TEXT(IFERROR(INDEX(tblVeriB[BelgeTarihi],ROW()-ROW(tblVeriB[[#Headers]])),""),"yyyymmdd")&amp;"|"&amp;TEXT(IFERROR(INDEX(tblVeriB[Tutar],ROW()-ROW(tblVeriB[[#Headers]])),0),"0.00"))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IF($A449="","",TEXT(IFERROR(INDEX(tblVeriA[Tarih],ROW()-ROW(tblVeriA[[#Headers]])),""),"yyyymmdd")&amp;"|"&amp;TEXT(IFERROR(INDEX(tblVeriA[Toplam],ROW()-ROW(tblVeriA[[#Headers]])),0),"0.00"))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IF($I449="","",TEXT(IFERROR(INDEX(tblVeriB[BelgeTarihi],ROW()-ROW(tblVeriB[[#Headers]])),""),"yyyymmdd")&amp;"|"&amp;TEXT(IFERROR(INDEX(tblVeriB[Tutar],ROW()-ROW(tblVeriB[[#Headers]])),0),"0.00"))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IF($A450="","",TEXT(IFERROR(INDEX(tblVeriA[Tarih],ROW()-ROW(tblVeriA[[#Headers]])),""),"yyyymmdd")&amp;"|"&amp;TEXT(IFERROR(INDEX(tblVeriA[Toplam],ROW()-ROW(tblVeriA[[#Headers]])),0),"0.00"))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IF($I450="","",TEXT(IFERROR(INDEX(tblVeriB[BelgeTarihi],ROW()-ROW(tblVeriB[[#Headers]])),""),"yyyymmdd")&amp;"|"&amp;TEXT(IFERROR(INDEX(tblVeriB[Tutar],ROW()-ROW(tblVeriB[[#Headers]])),0),"0.00"))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IF($A451="","",TEXT(IFERROR(INDEX(tblVeriA[Tarih],ROW()-ROW(tblVeriA[[#Headers]])),""),"yyyymmdd")&amp;"|"&amp;TEXT(IFERROR(INDEX(tblVeriA[Toplam],ROW()-ROW(tblVeriA[[#Headers]])),0),"0.00"))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IF($I451="","",TEXT(IFERROR(INDEX(tblVeriB[BelgeTarihi],ROW()-ROW(tblVeriB[[#Headers]])),""),"yyyymmdd")&amp;"|"&amp;TEXT(IFERROR(INDEX(tblVeriB[Tutar],ROW()-ROW(tblVeriB[[#Headers]])),0),"0.00"))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IF($A452="","",TEXT(IFERROR(INDEX(tblVeriA[Tarih],ROW()-ROW(tblVeriA[[#Headers]])),""),"yyyymmdd")&amp;"|"&amp;TEXT(IFERROR(INDEX(tblVeriA[Toplam],ROW()-ROW(tblVeriA[[#Headers]])),0),"0.00"))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IF($I452="","",TEXT(IFERROR(INDEX(tblVeriB[BelgeTarihi],ROW()-ROW(tblVeriB[[#Headers]])),""),"yyyymmdd")&amp;"|"&amp;TEXT(IFERROR(INDEX(tblVeriB[Tutar],ROW()-ROW(tblVeriB[[#Headers]])),0),"0.00"))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IF($A453="","",TEXT(IFERROR(INDEX(tblVeriA[Tarih],ROW()-ROW(tblVeriA[[#Headers]])),""),"yyyymmdd")&amp;"|"&amp;TEXT(IFERROR(INDEX(tblVeriA[Toplam],ROW()-ROW(tblVeriA[[#Headers]])),0),"0.00"))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IF($I453="","",TEXT(IFERROR(INDEX(tblVeriB[BelgeTarihi],ROW()-ROW(tblVeriB[[#Headers]])),""),"yyyymmdd")&amp;"|"&amp;TEXT(IFERROR(INDEX(tblVeriB[Tutar],ROW()-ROW(tblVeriB[[#Headers]])),0),"0.00"))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IF($A454="","",TEXT(IFERROR(INDEX(tblVeriA[Tarih],ROW()-ROW(tblVeriA[[#Headers]])),""),"yyyymmdd")&amp;"|"&amp;TEXT(IFERROR(INDEX(tblVeriA[Toplam],ROW()-ROW(tblVeriA[[#Headers]])),0),"0.00"))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IF($I454="","",TEXT(IFERROR(INDEX(tblVeriB[BelgeTarihi],ROW()-ROW(tblVeriB[[#Headers]])),""),"yyyymmdd")&amp;"|"&amp;TEXT(IFERROR(INDEX(tblVeriB[Tutar],ROW()-ROW(tblVeriB[[#Headers]])),0),"0.00"))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IF($A455="","",TEXT(IFERROR(INDEX(tblVeriA[Tarih],ROW()-ROW(tblVeriA[[#Headers]])),""),"yyyymmdd")&amp;"|"&amp;TEXT(IFERROR(INDEX(tblVeriA[Toplam],ROW()-ROW(tblVeriA[[#Headers]])),0),"0.00"))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IF($I455="","",TEXT(IFERROR(INDEX(tblVeriB[BelgeTarihi],ROW()-ROW(tblVeriB[[#Headers]])),""),"yyyymmdd")&amp;"|"&amp;TEXT(IFERROR(INDEX(tblVeriB[Tutar],ROW()-ROW(tblVeriB[[#Headers]])),0),"0.00"))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IF($A456="","",TEXT(IFERROR(INDEX(tblVeriA[Tarih],ROW()-ROW(tblVeriA[[#Headers]])),""),"yyyymmdd")&amp;"|"&amp;TEXT(IFERROR(INDEX(tblVeriA[Toplam],ROW()-ROW(tblVeriA[[#Headers]])),0),"0.00"))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IF($I456="","",TEXT(IFERROR(INDEX(tblVeriB[BelgeTarihi],ROW()-ROW(tblVeriB[[#Headers]])),""),"yyyymmdd")&amp;"|"&amp;TEXT(IFERROR(INDEX(tblVeriB[Tutar],ROW()-ROW(tblVeriB[[#Headers]])),0),"0.00"))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IF($A457="","",TEXT(IFERROR(INDEX(tblVeriA[Tarih],ROW()-ROW(tblVeriA[[#Headers]])),""),"yyyymmdd")&amp;"|"&amp;TEXT(IFERROR(INDEX(tblVeriA[Toplam],ROW()-ROW(tblVeriA[[#Headers]])),0),"0.00"))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IF($I457="","",TEXT(IFERROR(INDEX(tblVeriB[BelgeTarihi],ROW()-ROW(tblVeriB[[#Headers]])),""),"yyyymmdd")&amp;"|"&amp;TEXT(IFERROR(INDEX(tblVeriB[Tutar],ROW()-ROW(tblVeriB[[#Headers]])),0),"0.00"))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IF($A458="","",TEXT(IFERROR(INDEX(tblVeriA[Tarih],ROW()-ROW(tblVeriA[[#Headers]])),""),"yyyymmdd")&amp;"|"&amp;TEXT(IFERROR(INDEX(tblVeriA[Toplam],ROW()-ROW(tblVeriA[[#Headers]])),0),"0.00"))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IF($I458="","",TEXT(IFERROR(INDEX(tblVeriB[BelgeTarihi],ROW()-ROW(tblVeriB[[#Headers]])),""),"yyyymmdd")&amp;"|"&amp;TEXT(IFERROR(INDEX(tblVeriB[Tutar],ROW()-ROW(tblVeriB[[#Headers]])),0),"0.00"))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IF($A459="","",TEXT(IFERROR(INDEX(tblVeriA[Tarih],ROW()-ROW(tblVeriA[[#Headers]])),""),"yyyymmdd")&amp;"|"&amp;TEXT(IFERROR(INDEX(tblVeriA[Toplam],ROW()-ROW(tblVeriA[[#Headers]])),0),"0.00"))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IF($I459="","",TEXT(IFERROR(INDEX(tblVeriB[BelgeTarihi],ROW()-ROW(tblVeriB[[#Headers]])),""),"yyyymmdd")&amp;"|"&amp;TEXT(IFERROR(INDEX(tblVeriB[Tutar],ROW()-ROW(tblVeriB[[#Headers]])),0),"0.00"))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IF($A460="","",TEXT(IFERROR(INDEX(tblVeriA[Tarih],ROW()-ROW(tblVeriA[[#Headers]])),""),"yyyymmdd")&amp;"|"&amp;TEXT(IFERROR(INDEX(tblVeriA[Toplam],ROW()-ROW(tblVeriA[[#Headers]])),0),"0.00"))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IF($I460="","",TEXT(IFERROR(INDEX(tblVeriB[BelgeTarihi],ROW()-ROW(tblVeriB[[#Headers]])),""),"yyyymmdd")&amp;"|"&amp;TEXT(IFERROR(INDEX(tblVeriB[Tutar],ROW()-ROW(tblVeriB[[#Headers]])),0),"0.00"))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IF($A461="","",TEXT(IFERROR(INDEX(tblVeriA[Tarih],ROW()-ROW(tblVeriA[[#Headers]])),""),"yyyymmdd")&amp;"|"&amp;TEXT(IFERROR(INDEX(tblVeriA[Toplam],ROW()-ROW(tblVeriA[[#Headers]])),0),"0.00"))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IF($I461="","",TEXT(IFERROR(INDEX(tblVeriB[BelgeTarihi],ROW()-ROW(tblVeriB[[#Headers]])),""),"yyyymmdd")&amp;"|"&amp;TEXT(IFERROR(INDEX(tblVeriB[Tutar],ROW()-ROW(tblVeriB[[#Headers]])),0),"0.00"))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IF($A462="","",TEXT(IFERROR(INDEX(tblVeriA[Tarih],ROW()-ROW(tblVeriA[[#Headers]])),""),"yyyymmdd")&amp;"|"&amp;TEXT(IFERROR(INDEX(tblVeriA[Toplam],ROW()-ROW(tblVeriA[[#Headers]])),0),"0.00"))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IF($I462="","",TEXT(IFERROR(INDEX(tblVeriB[BelgeTarihi],ROW()-ROW(tblVeriB[[#Headers]])),""),"yyyymmdd")&amp;"|"&amp;TEXT(IFERROR(INDEX(tblVeriB[Tutar],ROW()-ROW(tblVeriB[[#Headers]])),0),"0.00"))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IF($A463="","",TEXT(IFERROR(INDEX(tblVeriA[Tarih],ROW()-ROW(tblVeriA[[#Headers]])),""),"yyyymmdd")&amp;"|"&amp;TEXT(IFERROR(INDEX(tblVeriA[Toplam],ROW()-ROW(tblVeriA[[#Headers]])),0),"0.00"))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IF($I463="","",TEXT(IFERROR(INDEX(tblVeriB[BelgeTarihi],ROW()-ROW(tblVeriB[[#Headers]])),""),"yyyymmdd")&amp;"|"&amp;TEXT(IFERROR(INDEX(tblVeriB[Tutar],ROW()-ROW(tblVeriB[[#Headers]])),0),"0.00"))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IF($A464="","",TEXT(IFERROR(INDEX(tblVeriA[Tarih],ROW()-ROW(tblVeriA[[#Headers]])),""),"yyyymmdd")&amp;"|"&amp;TEXT(IFERROR(INDEX(tblVeriA[Toplam],ROW()-ROW(tblVeriA[[#Headers]])),0),"0.00"))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IF($I464="","",TEXT(IFERROR(INDEX(tblVeriB[BelgeTarihi],ROW()-ROW(tblVeriB[[#Headers]])),""),"yyyymmdd")&amp;"|"&amp;TEXT(IFERROR(INDEX(tblVeriB[Tutar],ROW()-ROW(tblVeriB[[#Headers]])),0),"0.00"))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IF($A465="","",TEXT(IFERROR(INDEX(tblVeriA[Tarih],ROW()-ROW(tblVeriA[[#Headers]])),""),"yyyymmdd")&amp;"|"&amp;TEXT(IFERROR(INDEX(tblVeriA[Toplam],ROW()-ROW(tblVeriA[[#Headers]])),0),"0.00"))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IF($I465="","",TEXT(IFERROR(INDEX(tblVeriB[BelgeTarihi],ROW()-ROW(tblVeriB[[#Headers]])),""),"yyyymmdd")&amp;"|"&amp;TEXT(IFERROR(INDEX(tblVeriB[Tutar],ROW()-ROW(tblVeriB[[#Headers]])),0),"0.00"))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IF($A466="","",TEXT(IFERROR(INDEX(tblVeriA[Tarih],ROW()-ROW(tblVeriA[[#Headers]])),""),"yyyymmdd")&amp;"|"&amp;TEXT(IFERROR(INDEX(tblVeriA[Toplam],ROW()-ROW(tblVeriA[[#Headers]])),0),"0.00"))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IF($I466="","",TEXT(IFERROR(INDEX(tblVeriB[BelgeTarihi],ROW()-ROW(tblVeriB[[#Headers]])),""),"yyyymmdd")&amp;"|"&amp;TEXT(IFERROR(INDEX(tblVeriB[Tutar],ROW()-ROW(tblVeriB[[#Headers]])),0),"0.00"))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IF($A467="","",TEXT(IFERROR(INDEX(tblVeriA[Tarih],ROW()-ROW(tblVeriA[[#Headers]])),""),"yyyymmdd")&amp;"|"&amp;TEXT(IFERROR(INDEX(tblVeriA[Toplam],ROW()-ROW(tblVeriA[[#Headers]])),0),"0.00"))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IF($I467="","",TEXT(IFERROR(INDEX(tblVeriB[BelgeTarihi],ROW()-ROW(tblVeriB[[#Headers]])),""),"yyyymmdd")&amp;"|"&amp;TEXT(IFERROR(INDEX(tblVeriB[Tutar],ROW()-ROW(tblVeriB[[#Headers]])),0),"0.00"))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IF($A468="","",TEXT(IFERROR(INDEX(tblVeriA[Tarih],ROW()-ROW(tblVeriA[[#Headers]])),""),"yyyymmdd")&amp;"|"&amp;TEXT(IFERROR(INDEX(tblVeriA[Toplam],ROW()-ROW(tblVeriA[[#Headers]])),0),"0.00"))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IF($I468="","",TEXT(IFERROR(INDEX(tblVeriB[BelgeTarihi],ROW()-ROW(tblVeriB[[#Headers]])),""),"yyyymmdd")&amp;"|"&amp;TEXT(IFERROR(INDEX(tblVeriB[Tutar],ROW()-ROW(tblVeriB[[#Headers]])),0),"0.00"))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IF($A469="","",TEXT(IFERROR(INDEX(tblVeriA[Tarih],ROW()-ROW(tblVeriA[[#Headers]])),""),"yyyymmdd")&amp;"|"&amp;TEXT(IFERROR(INDEX(tblVeriA[Toplam],ROW()-ROW(tblVeriA[[#Headers]])),0),"0.00"))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IF($I469="","",TEXT(IFERROR(INDEX(tblVeriB[BelgeTarihi],ROW()-ROW(tblVeriB[[#Headers]])),""),"yyyymmdd")&amp;"|"&amp;TEXT(IFERROR(INDEX(tblVeriB[Tutar],ROW()-ROW(tblVeriB[[#Headers]])),0),"0.00"))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IF($A470="","",TEXT(IFERROR(INDEX(tblVeriA[Tarih],ROW()-ROW(tblVeriA[[#Headers]])),""),"yyyymmdd")&amp;"|"&amp;TEXT(IFERROR(INDEX(tblVeriA[Toplam],ROW()-ROW(tblVeriA[[#Headers]])),0),"0.00"))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IF($I470="","",TEXT(IFERROR(INDEX(tblVeriB[BelgeTarihi],ROW()-ROW(tblVeriB[[#Headers]])),""),"yyyymmdd")&amp;"|"&amp;TEXT(IFERROR(INDEX(tblVeriB[Tutar],ROW()-ROW(tblVeriB[[#Headers]])),0),"0.00"))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IF($A471="","",TEXT(IFERROR(INDEX(tblVeriA[Tarih],ROW()-ROW(tblVeriA[[#Headers]])),""),"yyyymmdd")&amp;"|"&amp;TEXT(IFERROR(INDEX(tblVeriA[Toplam],ROW()-ROW(tblVeriA[[#Headers]])),0),"0.00"))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IF($I471="","",TEXT(IFERROR(INDEX(tblVeriB[BelgeTarihi],ROW()-ROW(tblVeriB[[#Headers]])),""),"yyyymmdd")&amp;"|"&amp;TEXT(IFERROR(INDEX(tblVeriB[Tutar],ROW()-ROW(tblVeriB[[#Headers]])),0),"0.00"))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IF($A472="","",TEXT(IFERROR(INDEX(tblVeriA[Tarih],ROW()-ROW(tblVeriA[[#Headers]])),""),"yyyymmdd")&amp;"|"&amp;TEXT(IFERROR(INDEX(tblVeriA[Toplam],ROW()-ROW(tblVeriA[[#Headers]])),0),"0.00"))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IF($I472="","",TEXT(IFERROR(INDEX(tblVeriB[BelgeTarihi],ROW()-ROW(tblVeriB[[#Headers]])),""),"yyyymmdd")&amp;"|"&amp;TEXT(IFERROR(INDEX(tblVeriB[Tutar],ROW()-ROW(tblVeriB[[#Headers]])),0),"0.00"))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IF($A473="","",TEXT(IFERROR(INDEX(tblVeriA[Tarih],ROW()-ROW(tblVeriA[[#Headers]])),""),"yyyymmdd")&amp;"|"&amp;TEXT(IFERROR(INDEX(tblVeriA[Toplam],ROW()-ROW(tblVeriA[[#Headers]])),0),"0.00"))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IF($I473="","",TEXT(IFERROR(INDEX(tblVeriB[BelgeTarihi],ROW()-ROW(tblVeriB[[#Headers]])),""),"yyyymmdd")&amp;"|"&amp;TEXT(IFERROR(INDEX(tblVeriB[Tutar],ROW()-ROW(tblVeriB[[#Headers]])),0),"0.00"))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IF($A474="","",TEXT(IFERROR(INDEX(tblVeriA[Tarih],ROW()-ROW(tblVeriA[[#Headers]])),""),"yyyymmdd")&amp;"|"&amp;TEXT(IFERROR(INDEX(tblVeriA[Toplam],ROW()-ROW(tblVeriA[[#Headers]])),0),"0.00"))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IF($I474="","",TEXT(IFERROR(INDEX(tblVeriB[BelgeTarihi],ROW()-ROW(tblVeriB[[#Headers]])),""),"yyyymmdd")&amp;"|"&amp;TEXT(IFERROR(INDEX(tblVeriB[Tutar],ROW()-ROW(tblVeriB[[#Headers]])),0),"0.00"))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IF($A475="","",TEXT(IFERROR(INDEX(tblVeriA[Tarih],ROW()-ROW(tblVeriA[[#Headers]])),""),"yyyymmdd")&amp;"|"&amp;TEXT(IFERROR(INDEX(tblVeriA[Toplam],ROW()-ROW(tblVeriA[[#Headers]])),0),"0.00"))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IF($I475="","",TEXT(IFERROR(INDEX(tblVeriB[BelgeTarihi],ROW()-ROW(tblVeriB[[#Headers]])),""),"yyyymmdd")&amp;"|"&amp;TEXT(IFERROR(INDEX(tblVeriB[Tutar],ROW()-ROW(tblVeriB[[#Headers]])),0),"0.00"))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IF($A476="","",TEXT(IFERROR(INDEX(tblVeriA[Tarih],ROW()-ROW(tblVeriA[[#Headers]])),""),"yyyymmdd")&amp;"|"&amp;TEXT(IFERROR(INDEX(tblVeriA[Toplam],ROW()-ROW(tblVeriA[[#Headers]])),0),"0.00"))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IF($I476="","",TEXT(IFERROR(INDEX(tblVeriB[BelgeTarihi],ROW()-ROW(tblVeriB[[#Headers]])),""),"yyyymmdd")&amp;"|"&amp;TEXT(IFERROR(INDEX(tblVeriB[Tutar],ROW()-ROW(tblVeriB[[#Headers]])),0),"0.00"))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IF($A477="","",TEXT(IFERROR(INDEX(tblVeriA[Tarih],ROW()-ROW(tblVeriA[[#Headers]])),""),"yyyymmdd")&amp;"|"&amp;TEXT(IFERROR(INDEX(tblVeriA[Toplam],ROW()-ROW(tblVeriA[[#Headers]])),0),"0.00"))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IF($I477="","",TEXT(IFERROR(INDEX(tblVeriB[BelgeTarihi],ROW()-ROW(tblVeriB[[#Headers]])),""),"yyyymmdd")&amp;"|"&amp;TEXT(IFERROR(INDEX(tblVeriB[Tutar],ROW()-ROW(tblVeriB[[#Headers]])),0),"0.00"))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IF($A478="","",TEXT(IFERROR(INDEX(tblVeriA[Tarih],ROW()-ROW(tblVeriA[[#Headers]])),""),"yyyymmdd")&amp;"|"&amp;TEXT(IFERROR(INDEX(tblVeriA[Toplam],ROW()-ROW(tblVeriA[[#Headers]])),0),"0.00"))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IF($I478="","",TEXT(IFERROR(INDEX(tblVeriB[BelgeTarihi],ROW()-ROW(tblVeriB[[#Headers]])),""),"yyyymmdd")&amp;"|"&amp;TEXT(IFERROR(INDEX(tblVeriB[Tutar],ROW()-ROW(tblVeriB[[#Headers]])),0),"0.00"))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IF($A479="","",TEXT(IFERROR(INDEX(tblVeriA[Tarih],ROW()-ROW(tblVeriA[[#Headers]])),""),"yyyymmdd")&amp;"|"&amp;TEXT(IFERROR(INDEX(tblVeriA[Toplam],ROW()-ROW(tblVeriA[[#Headers]])),0),"0.00"))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IF($I479="","",TEXT(IFERROR(INDEX(tblVeriB[BelgeTarihi],ROW()-ROW(tblVeriB[[#Headers]])),""),"yyyymmdd")&amp;"|"&amp;TEXT(IFERROR(INDEX(tblVeriB[Tutar],ROW()-ROW(tblVeriB[[#Headers]])),0),"0.00"))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IF($A480="","",TEXT(IFERROR(INDEX(tblVeriA[Tarih],ROW()-ROW(tblVeriA[[#Headers]])),""),"yyyymmdd")&amp;"|"&amp;TEXT(IFERROR(INDEX(tblVeriA[Toplam],ROW()-ROW(tblVeriA[[#Headers]])),0),"0.00"))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IF($I480="","",TEXT(IFERROR(INDEX(tblVeriB[BelgeTarihi],ROW()-ROW(tblVeriB[[#Headers]])),""),"yyyymmdd")&amp;"|"&amp;TEXT(IFERROR(INDEX(tblVeriB[Tutar],ROW()-ROW(tblVeriB[[#Headers]])),0),"0.00"))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IF($A481="","",TEXT(IFERROR(INDEX(tblVeriA[Tarih],ROW()-ROW(tblVeriA[[#Headers]])),""),"yyyymmdd")&amp;"|"&amp;TEXT(IFERROR(INDEX(tblVeriA[Toplam],ROW()-ROW(tblVeriA[[#Headers]])),0),"0.00"))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IF($I481="","",TEXT(IFERROR(INDEX(tblVeriB[BelgeTarihi],ROW()-ROW(tblVeriB[[#Headers]])),""),"yyyymmdd")&amp;"|"&amp;TEXT(IFERROR(INDEX(tblVeriB[Tutar],ROW()-ROW(tblVeriB[[#Headers]])),0),"0.00"))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IF($A482="","",TEXT(IFERROR(INDEX(tblVeriA[Tarih],ROW()-ROW(tblVeriA[[#Headers]])),""),"yyyymmdd")&amp;"|"&amp;TEXT(IFERROR(INDEX(tblVeriA[Toplam],ROW()-ROW(tblVeriA[[#Headers]])),0),"0.00"))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IF($I482="","",TEXT(IFERROR(INDEX(tblVeriB[BelgeTarihi],ROW()-ROW(tblVeriB[[#Headers]])),""),"yyyymmdd")&amp;"|"&amp;TEXT(IFERROR(INDEX(tblVeriB[Tutar],ROW()-ROW(tblVeriB[[#Headers]])),0),"0.00"))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IF($A483="","",TEXT(IFERROR(INDEX(tblVeriA[Tarih],ROW()-ROW(tblVeriA[[#Headers]])),""),"yyyymmdd")&amp;"|"&amp;TEXT(IFERROR(INDEX(tblVeriA[Toplam],ROW()-ROW(tblVeriA[[#Headers]])),0),"0.00"))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IF($I483="","",TEXT(IFERROR(INDEX(tblVeriB[BelgeTarihi],ROW()-ROW(tblVeriB[[#Headers]])),""),"yyyymmdd")&amp;"|"&amp;TEXT(IFERROR(INDEX(tblVeriB[Tutar],ROW()-ROW(tblVeriB[[#Headers]])),0),"0.00"))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IF($A484="","",TEXT(IFERROR(INDEX(tblVeriA[Tarih],ROW()-ROW(tblVeriA[[#Headers]])),""),"yyyymmdd")&amp;"|"&amp;TEXT(IFERROR(INDEX(tblVeriA[Toplam],ROW()-ROW(tblVeriA[[#Headers]])),0),"0.00"))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IF($I484="","",TEXT(IFERROR(INDEX(tblVeriB[BelgeTarihi],ROW()-ROW(tblVeriB[[#Headers]])),""),"yyyymmdd")&amp;"|"&amp;TEXT(IFERROR(INDEX(tblVeriB[Tutar],ROW()-ROW(tblVeriB[[#Headers]])),0),"0.00"))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IF($A485="","",TEXT(IFERROR(INDEX(tblVeriA[Tarih],ROW()-ROW(tblVeriA[[#Headers]])),""),"yyyymmdd")&amp;"|"&amp;TEXT(IFERROR(INDEX(tblVeriA[Toplam],ROW()-ROW(tblVeriA[[#Headers]])),0),"0.00"))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IF($I485="","",TEXT(IFERROR(INDEX(tblVeriB[BelgeTarihi],ROW()-ROW(tblVeriB[[#Headers]])),""),"yyyymmdd")&amp;"|"&amp;TEXT(IFERROR(INDEX(tblVeriB[Tutar],ROW()-ROW(tblVeriB[[#Headers]])),0),"0.00"))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IF($A486="","",TEXT(IFERROR(INDEX(tblVeriA[Tarih],ROW()-ROW(tblVeriA[[#Headers]])),""),"yyyymmdd")&amp;"|"&amp;TEXT(IFERROR(INDEX(tblVeriA[Toplam],ROW()-ROW(tblVeriA[[#Headers]])),0),"0.00"))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IF($I486="","",TEXT(IFERROR(INDEX(tblVeriB[BelgeTarihi],ROW()-ROW(tblVeriB[[#Headers]])),""),"yyyymmdd")&amp;"|"&amp;TEXT(IFERROR(INDEX(tblVeriB[Tutar],ROW()-ROW(tblVeriB[[#Headers]])),0),"0.00"))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IF($A487="","",TEXT(IFERROR(INDEX(tblVeriA[Tarih],ROW()-ROW(tblVeriA[[#Headers]])),""),"yyyymmdd")&amp;"|"&amp;TEXT(IFERROR(INDEX(tblVeriA[Toplam],ROW()-ROW(tblVeriA[[#Headers]])),0),"0.00"))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IF($I487="","",TEXT(IFERROR(INDEX(tblVeriB[BelgeTarihi],ROW()-ROW(tblVeriB[[#Headers]])),""),"yyyymmdd")&amp;"|"&amp;TEXT(IFERROR(INDEX(tblVeriB[Tutar],ROW()-ROW(tblVeriB[[#Headers]])),0),"0.00"))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IF($A488="","",TEXT(IFERROR(INDEX(tblVeriA[Tarih],ROW()-ROW(tblVeriA[[#Headers]])),""),"yyyymmdd")&amp;"|"&amp;TEXT(IFERROR(INDEX(tblVeriA[Toplam],ROW()-ROW(tblVeriA[[#Headers]])),0),"0.00"))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IF($I488="","",TEXT(IFERROR(INDEX(tblVeriB[BelgeTarihi],ROW()-ROW(tblVeriB[[#Headers]])),""),"yyyymmdd")&amp;"|"&amp;TEXT(IFERROR(INDEX(tblVeriB[Tutar],ROW()-ROW(tblVeriB[[#Headers]])),0),"0.00"))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IF($A489="","",TEXT(IFERROR(INDEX(tblVeriA[Tarih],ROW()-ROW(tblVeriA[[#Headers]])),""),"yyyymmdd")&amp;"|"&amp;TEXT(IFERROR(INDEX(tblVeriA[Toplam],ROW()-ROW(tblVeriA[[#Headers]])),0),"0.00"))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IF($I489="","",TEXT(IFERROR(INDEX(tblVeriB[BelgeTarihi],ROW()-ROW(tblVeriB[[#Headers]])),""),"yyyymmdd")&amp;"|"&amp;TEXT(IFERROR(INDEX(tblVeriB[Tutar],ROW()-ROW(tblVeriB[[#Headers]])),0),"0.00"))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IF($A490="","",TEXT(IFERROR(INDEX(tblVeriA[Tarih],ROW()-ROW(tblVeriA[[#Headers]])),""),"yyyymmdd")&amp;"|"&amp;TEXT(IFERROR(INDEX(tblVeriA[Toplam],ROW()-ROW(tblVeriA[[#Headers]])),0),"0.00"))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IF($I490="","",TEXT(IFERROR(INDEX(tblVeriB[BelgeTarihi],ROW()-ROW(tblVeriB[[#Headers]])),""),"yyyymmdd")&amp;"|"&amp;TEXT(IFERROR(INDEX(tblVeriB[Tutar],ROW()-ROW(tblVeriB[[#Headers]])),0),"0.00"))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IF($A491="","",TEXT(IFERROR(INDEX(tblVeriA[Tarih],ROW()-ROW(tblVeriA[[#Headers]])),""),"yyyymmdd")&amp;"|"&amp;TEXT(IFERROR(INDEX(tblVeriA[Toplam],ROW()-ROW(tblVeriA[[#Headers]])),0),"0.00"))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IF($I491="","",TEXT(IFERROR(INDEX(tblVeriB[BelgeTarihi],ROW()-ROW(tblVeriB[[#Headers]])),""),"yyyymmdd")&amp;"|"&amp;TEXT(IFERROR(INDEX(tblVeriB[Tutar],ROW()-ROW(tblVeriB[[#Headers]])),0),"0.00"))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IF($A492="","",TEXT(IFERROR(INDEX(tblVeriA[Tarih],ROW()-ROW(tblVeriA[[#Headers]])),""),"yyyymmdd")&amp;"|"&amp;TEXT(IFERROR(INDEX(tblVeriA[Toplam],ROW()-ROW(tblVeriA[[#Headers]])),0),"0.00"))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IF($I492="","",TEXT(IFERROR(INDEX(tblVeriB[BelgeTarihi],ROW()-ROW(tblVeriB[[#Headers]])),""),"yyyymmdd")&amp;"|"&amp;TEXT(IFERROR(INDEX(tblVeriB[Tutar],ROW()-ROW(tblVeriB[[#Headers]])),0),"0.00"))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IF($A493="","",TEXT(IFERROR(INDEX(tblVeriA[Tarih],ROW()-ROW(tblVeriA[[#Headers]])),""),"yyyymmdd")&amp;"|"&amp;TEXT(IFERROR(INDEX(tblVeriA[Toplam],ROW()-ROW(tblVeriA[[#Headers]])),0),"0.00"))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IF($I493="","",TEXT(IFERROR(INDEX(tblVeriB[BelgeTarihi],ROW()-ROW(tblVeriB[[#Headers]])),""),"yyyymmdd")&amp;"|"&amp;TEXT(IFERROR(INDEX(tblVeriB[Tutar],ROW()-ROW(tblVeriB[[#Headers]])),0),"0.00"))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IF($A494="","",TEXT(IFERROR(INDEX(tblVeriA[Tarih],ROW()-ROW(tblVeriA[[#Headers]])),""),"yyyymmdd")&amp;"|"&amp;TEXT(IFERROR(INDEX(tblVeriA[Toplam],ROW()-ROW(tblVeriA[[#Headers]])),0),"0.00"))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IF($I494="","",TEXT(IFERROR(INDEX(tblVeriB[BelgeTarihi],ROW()-ROW(tblVeriB[[#Headers]])),""),"yyyymmdd")&amp;"|"&amp;TEXT(IFERROR(INDEX(tblVeriB[Tutar],ROW()-ROW(tblVeriB[[#Headers]])),0),"0.00"))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IF($A495="","",TEXT(IFERROR(INDEX(tblVeriA[Tarih],ROW()-ROW(tblVeriA[[#Headers]])),""),"yyyymmdd")&amp;"|"&amp;TEXT(IFERROR(INDEX(tblVeriA[Toplam],ROW()-ROW(tblVeriA[[#Headers]])),0),"0.00"))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IF($I495="","",TEXT(IFERROR(INDEX(tblVeriB[BelgeTarihi],ROW()-ROW(tblVeriB[[#Headers]])),""),"yyyymmdd")&amp;"|"&amp;TEXT(IFERROR(INDEX(tblVeriB[Tutar],ROW()-ROW(tblVeriB[[#Headers]])),0),"0.00"))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IF($A496="","",TEXT(IFERROR(INDEX(tblVeriA[Tarih],ROW()-ROW(tblVeriA[[#Headers]])),""),"yyyymmdd")&amp;"|"&amp;TEXT(IFERROR(INDEX(tblVeriA[Toplam],ROW()-ROW(tblVeriA[[#Headers]])),0),"0.00"))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IF($I496="","",TEXT(IFERROR(INDEX(tblVeriB[BelgeTarihi],ROW()-ROW(tblVeriB[[#Headers]])),""),"yyyymmdd")&amp;"|"&amp;TEXT(IFERROR(INDEX(tblVeriB[Tutar],ROW()-ROW(tblVeriB[[#Headers]])),0),"0.00"))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IF($A497="","",TEXT(IFERROR(INDEX(tblVeriA[Tarih],ROW()-ROW(tblVeriA[[#Headers]])),""),"yyyymmdd")&amp;"|"&amp;TEXT(IFERROR(INDEX(tblVeriA[Toplam],ROW()-ROW(tblVeriA[[#Headers]])),0),"0.00"))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IF($I497="","",TEXT(IFERROR(INDEX(tblVeriB[BelgeTarihi],ROW()-ROW(tblVeriB[[#Headers]])),""),"yyyymmdd")&amp;"|"&amp;TEXT(IFERROR(INDEX(tblVeriB[Tutar],ROW()-ROW(tblVeriB[[#Headers]])),0),"0.00"))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IF($A498="","",TEXT(IFERROR(INDEX(tblVeriA[Tarih],ROW()-ROW(tblVeriA[[#Headers]])),""),"yyyymmdd")&amp;"|"&amp;TEXT(IFERROR(INDEX(tblVeriA[Toplam],ROW()-ROW(tblVeriA[[#Headers]])),0),"0.00"))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IF($I498="","",TEXT(IFERROR(INDEX(tblVeriB[BelgeTarihi],ROW()-ROW(tblVeriB[[#Headers]])),""),"yyyymmdd")&amp;"|"&amp;TEXT(IFERROR(INDEX(tblVeriB[Tutar],ROW()-ROW(tblVeriB[[#Headers]])),0),"0.00"))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IF($A499="","",TEXT(IFERROR(INDEX(tblVeriA[Tarih],ROW()-ROW(tblVeriA[[#Headers]])),""),"yyyymmdd")&amp;"|"&amp;TEXT(IFERROR(INDEX(tblVeriA[Toplam],ROW()-ROW(tblVeriA[[#Headers]])),0),"0.00"))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IF($I499="","",TEXT(IFERROR(INDEX(tblVeriB[BelgeTarihi],ROW()-ROW(tblVeriB[[#Headers]])),""),"yyyymmdd")&amp;"|"&amp;TEXT(IFERROR(INDEX(tblVeriB[Tutar],ROW()-ROW(tblVeriB[[#Headers]])),0),"0.00"))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IF($A500="","",TEXT(IFERROR(INDEX(tblVeriA[Tarih],ROW()-ROW(tblVeriA[[#Headers]])),""),"yyyymmdd")&amp;"|"&amp;TEXT(IFERROR(INDEX(tblVeriA[Toplam],ROW()-ROW(tblVeriA[[#Headers]])),0),"0.00"))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IF($I500="","",TEXT(IFERROR(INDEX(tblVeriB[BelgeTarihi],ROW()-ROW(tblVeriB[[#Headers]])),""),"yyyymmdd")&amp;"|"&amp;TEXT(IFERROR(INDEX(tblVeriB[Tutar],ROW()-ROW(tblVeriB[[#Headers]])),0),"0.00"))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IF($A501="","",TEXT(IFERROR(INDEX(tblVeriA[Tarih],ROW()-ROW(tblVeriA[[#Headers]])),""),"yyyymmdd")&amp;"|"&amp;TEXT(IFERROR(INDEX(tblVeriA[Toplam],ROW()-ROW(tblVeriA[[#Headers]])),0),"0.00"))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IF($I501="","",TEXT(IFERROR(INDEX(tblVeriB[BelgeTarihi],ROW()-ROW(tblVeriB[[#Headers]])),""),"yyyymmdd")&amp;"|"&amp;TEXT(IFERROR(INDEX(tblVeriB[Tutar],ROW()-ROW(tblVeriB[[#Headers]])),0),"0.00"))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IF($A502="","",TEXT(IFERROR(INDEX(tblVeriA[Tarih],ROW()-ROW(tblVeriA[[#Headers]])),""),"yyyymmdd")&amp;"|"&amp;TEXT(IFERROR(INDEX(tblVeriA[Toplam],ROW()-ROW(tblVeriA[[#Headers]])),0),"0.00"))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IF($I502="","",TEXT(IFERROR(INDEX(tblVeriB[BelgeTarihi],ROW()-ROW(tblVeriB[[#Headers]])),""),"yyyymmdd")&amp;"|"&amp;TEXT(IFERROR(INDEX(tblVeriB[Tutar],ROW()-ROW(tblVeriB[[#Headers]])),0),"0.00"))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IF($A503="","",TEXT(IFERROR(INDEX(tblVeriA[Tarih],ROW()-ROW(tblVeriA[[#Headers]])),""),"yyyymmdd")&amp;"|"&amp;TEXT(IFERROR(INDEX(tblVeriA[Toplam],ROW()-ROW(tblVeriA[[#Headers]])),0),"0.00"))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IF($I503="","",TEXT(IFERROR(INDEX(tblVeriB[BelgeTarihi],ROW()-ROW(tblVeriB[[#Headers]])),""),"yyyymmdd")&amp;"|"&amp;TEXT(IFERROR(INDEX(tblVeriB[Tutar],ROW()-ROW(tblVeriB[[#Headers]])),0),"0.00"))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IF($A504="","",TEXT(IFERROR(INDEX(tblVeriA[Tarih],ROW()-ROW(tblVeriA[[#Headers]])),""),"yyyymmdd")&amp;"|"&amp;TEXT(IFERROR(INDEX(tblVeriA[Toplam],ROW()-ROW(tblVeriA[[#Headers]])),0),"0.00"))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IF($I504="","",TEXT(IFERROR(INDEX(tblVeriB[BelgeTarihi],ROW()-ROW(tblVeriB[[#Headers]])),""),"yyyymmdd")&amp;"|"&amp;TEXT(IFERROR(INDEX(tblVeriB[Tutar],ROW()-ROW(tblVeriB[[#Headers]])),0),"0.00"))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IF($A505="","",TEXT(IFERROR(INDEX(tblVeriA[Tarih],ROW()-ROW(tblVeriA[[#Headers]])),""),"yyyymmdd")&amp;"|"&amp;TEXT(IFERROR(INDEX(tblVeriA[Toplam],ROW()-ROW(tblVeriA[[#Headers]])),0),"0.00"))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IF($I505="","",TEXT(IFERROR(INDEX(tblVeriB[BelgeTarihi],ROW()-ROW(tblVeriB[[#Headers]])),""),"yyyymmdd")&amp;"|"&amp;TEXT(IFERROR(INDEX(tblVeriB[Tutar],ROW()-ROW(tblVeriB[[#Headers]])),0),"0.00"))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 ","")))</f>
        <v/>
      </c>
      <c r="C506" s="16">
        <f>IF($B506="",0,LEN($B506))</f>
        <v/>
      </c>
      <c r="D506" s="16">
        <f>IF($A506="","",TEXT(IFERROR(INDEX(tblVeriA[Tarih],ROW()-ROW(tblVeriA[[#Headers]])),""),"yyyymmdd")&amp;"|"&amp;TEXT(IFERROR(INDEX(tblVeriA[Toplam],ROW()-ROW(tblVeriA[[#Headers]])),0),"0.00"))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 ","")))</f>
        <v/>
      </c>
      <c r="K506" s="16">
        <f>IF($J506="",0,LEN($J506))</f>
        <v/>
      </c>
      <c r="L506" s="16">
        <f>IF($I506="","",TEXT(IFERROR(INDEX(tblVeriB[BelgeTarihi],ROW()-ROW(tblVeriB[[#Headers]])),""),"yyyymmdd")&amp;"|"&amp;TEXT(IFERROR(INDEX(tblVeriB[Tutar],ROW()-ROW(tblVeriB[[#Headers]])),0),"0.00"))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 ","")))</f>
        <v/>
      </c>
      <c r="C507" s="16">
        <f>IF($B507="",0,LEN($B507))</f>
        <v/>
      </c>
      <c r="D507" s="16">
        <f>IF($A507="","",TEXT(IFERROR(INDEX(tblVeriA[Tarih],ROW()-ROW(tblVeriA[[#Headers]])),""),"yyyymmdd")&amp;"|"&amp;TEXT(IFERROR(INDEX(tblVeriA[Toplam],ROW()-ROW(tblVeriA[[#Headers]])),0),"0.00"))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 ","")))</f>
        <v/>
      </c>
      <c r="K507" s="16">
        <f>IF($J507="",0,LEN($J507))</f>
        <v/>
      </c>
      <c r="L507" s="16">
        <f>IF($I507="","",TEXT(IFERROR(INDEX(tblVeriB[BelgeTarihi],ROW()-ROW(tblVeriB[[#Headers]])),""),"yyyymmdd")&amp;"|"&amp;TEXT(IFERROR(INDEX(tblVeriB[Tutar],ROW()-ROW(tblVeriB[[#Headers]])),0),"0.00"))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 ","")))</f>
        <v/>
      </c>
      <c r="C508" s="16">
        <f>IF($B508="",0,LEN($B508))</f>
        <v/>
      </c>
      <c r="D508" s="16">
        <f>IF($A508="","",TEXT(IFERROR(INDEX(tblVeriA[Tarih],ROW()-ROW(tblVeriA[[#Headers]])),""),"yyyymmdd")&amp;"|"&amp;TEXT(IFERROR(INDEX(tblVeriA[Toplam],ROW()-ROW(tblVeriA[[#Headers]])),0),"0.00"))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 ","")))</f>
        <v/>
      </c>
      <c r="K508" s="16">
        <f>IF($J508="",0,LEN($J508))</f>
        <v/>
      </c>
      <c r="L508" s="16">
        <f>IF($I508="","",TEXT(IFERROR(INDEX(tblVeriB[BelgeTarihi],ROW()-ROW(tblVeriB[[#Headers]])),""),"yyyymmdd")&amp;"|"&amp;TEXT(IFERROR(INDEX(tblVeriB[Tutar],ROW()-ROW(tblVeriB[[#Headers]])),0),"0.00"))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 ","")))</f>
        <v/>
      </c>
      <c r="C509" s="16">
        <f>IF($B509="",0,LEN($B509))</f>
        <v/>
      </c>
      <c r="D509" s="16">
        <f>IF($A509="","",TEXT(IFERROR(INDEX(tblVeriA[Tarih],ROW()-ROW(tblVeriA[[#Headers]])),""),"yyyymmdd")&amp;"|"&amp;TEXT(IFERROR(INDEX(tblVeriA[Toplam],ROW()-ROW(tblVeriA[[#Headers]])),0),"0.00"))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 ","")))</f>
        <v/>
      </c>
      <c r="K509" s="16">
        <f>IF($J509="",0,LEN($J509))</f>
        <v/>
      </c>
      <c r="L509" s="16">
        <f>IF($I509="","",TEXT(IFERROR(INDEX(tblVeriB[BelgeTarihi],ROW()-ROW(tblVeriB[[#Headers]])),""),"yyyymmdd")&amp;"|"&amp;TEXT(IFERROR(INDEX(tblVeriB[Tutar],ROW()-ROW(tblVeriB[[#Headers]])),0),"0.00"))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 ","")))</f>
        <v/>
      </c>
      <c r="C510" s="16">
        <f>IF($B510="",0,LEN($B510))</f>
        <v/>
      </c>
      <c r="D510" s="16">
        <f>IF($A510="","",TEXT(IFERROR(INDEX(tblVeriA[Tarih],ROW()-ROW(tblVeriA[[#Headers]])),""),"yyyymmdd")&amp;"|"&amp;TEXT(IFERROR(INDEX(tblVeriA[Toplam],ROW()-ROW(tblVeriA[[#Headers]])),0),"0.00"))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 ","")))</f>
        <v/>
      </c>
      <c r="K510" s="16">
        <f>IF($J510="",0,LEN($J510))</f>
        <v/>
      </c>
      <c r="L510" s="16">
        <f>IF($I510="","",TEXT(IFERROR(INDEX(tblVeriB[BelgeTarihi],ROW()-ROW(tblVeriB[[#Headers]])),""),"yyyymmdd")&amp;"|"&amp;TEXT(IFERROR(INDEX(tblVeriB[Tutar],ROW()-ROW(tblVeriB[[#Headers]])),0),"0.00"))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 ","")))</f>
        <v/>
      </c>
      <c r="C511" s="16">
        <f>IF($B511="",0,LEN($B511))</f>
        <v/>
      </c>
      <c r="D511" s="16">
        <f>IF($A511="","",TEXT(IFERROR(INDEX(tblVeriA[Tarih],ROW()-ROW(tblVeriA[[#Headers]])),""),"yyyymmdd")&amp;"|"&amp;TEXT(IFERROR(INDEX(tblVeriA[Toplam],ROW()-ROW(tblVeriA[[#Headers]])),0),"0.00"))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 ","")))</f>
        <v/>
      </c>
      <c r="K511" s="16">
        <f>IF($J511="",0,LEN($J511))</f>
        <v/>
      </c>
      <c r="L511" s="16">
        <f>IF($I511="","",TEXT(IFERROR(INDEX(tblVeriB[BelgeTarihi],ROW()-ROW(tblVeriB[[#Headers]])),""),"yyyymmdd")&amp;"|"&amp;TEXT(IFERROR(INDEX(tblVeriB[Tutar],ROW()-ROW(tblVeriB[[#Headers]])),0),"0.00"))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 ","")))</f>
        <v/>
      </c>
      <c r="C512" s="16">
        <f>IF($B512="",0,LEN($B512))</f>
        <v/>
      </c>
      <c r="D512" s="16">
        <f>IF($A512="","",TEXT(IFERROR(INDEX(tblVeriA[Tarih],ROW()-ROW(tblVeriA[[#Headers]])),""),"yyyymmdd")&amp;"|"&amp;TEXT(IFERROR(INDEX(tblVeriA[Toplam],ROW()-ROW(tblVeriA[[#Headers]])),0),"0.00"))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 ","")))</f>
        <v/>
      </c>
      <c r="K512" s="16">
        <f>IF($J512="",0,LEN($J512))</f>
        <v/>
      </c>
      <c r="L512" s="16">
        <f>IF($I512="","",TEXT(IFERROR(INDEX(tblVeriB[BelgeTarihi],ROW()-ROW(tblVeriB[[#Headers]])),""),"yyyymmdd")&amp;"|"&amp;TEXT(IFERROR(INDEX(tblVeriB[Tutar],ROW()-ROW(tblVeriB[[#Headers]])),0),"0.00"))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 ","")))</f>
        <v/>
      </c>
      <c r="C513" s="16">
        <f>IF($B513="",0,LEN($B513))</f>
        <v/>
      </c>
      <c r="D513" s="16">
        <f>IF($A513="","",TEXT(IFERROR(INDEX(tblVeriA[Tarih],ROW()-ROW(tblVeriA[[#Headers]])),""),"yyyymmdd")&amp;"|"&amp;TEXT(IFERROR(INDEX(tblVeriA[Toplam],ROW()-ROW(tblVeriA[[#Headers]])),0),"0.00"))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 ","")))</f>
        <v/>
      </c>
      <c r="K513" s="16">
        <f>IF($J513="",0,LEN($J513))</f>
        <v/>
      </c>
      <c r="L513" s="16">
        <f>IF($I513="","",TEXT(IFERROR(INDEX(tblVeriB[BelgeTarihi],ROW()-ROW(tblVeriB[[#Headers]])),""),"yyyymmdd")&amp;"|"&amp;TEXT(IFERROR(INDEX(tblVeriB[Tutar],ROW()-ROW(tblVeriB[[#Headers]])),0),"0.00"))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 ","")))</f>
        <v/>
      </c>
      <c r="C514" s="16">
        <f>IF($B514="",0,LEN($B514))</f>
        <v/>
      </c>
      <c r="D514" s="16">
        <f>IF($A514="","",TEXT(IFERROR(INDEX(tblVeriA[Tarih],ROW()-ROW(tblVeriA[[#Headers]])),""),"yyyymmdd")&amp;"|"&amp;TEXT(IFERROR(INDEX(tblVeriA[Toplam],ROW()-ROW(tblVeriA[[#Headers]])),0),"0.00"))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 ","")))</f>
        <v/>
      </c>
      <c r="K514" s="16">
        <f>IF($J514="",0,LEN($J514))</f>
        <v/>
      </c>
      <c r="L514" s="16">
        <f>IF($I514="","",TEXT(IFERROR(INDEX(tblVeriB[BelgeTarihi],ROW()-ROW(tblVeriB[[#Headers]])),""),"yyyymmdd")&amp;"|"&amp;TEXT(IFERROR(INDEX(tblVeriB[Tutar],ROW()-ROW(tblVeriB[[#Headers]])),0),"0.00"))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 ","")))</f>
        <v/>
      </c>
      <c r="C515" s="16">
        <f>IF($B515="",0,LEN($B515))</f>
        <v/>
      </c>
      <c r="D515" s="16">
        <f>IF($A515="","",TEXT(IFERROR(INDEX(tblVeriA[Tarih],ROW()-ROW(tblVeriA[[#Headers]])),""),"yyyymmdd")&amp;"|"&amp;TEXT(IFERROR(INDEX(tblVeriA[Toplam],ROW()-ROW(tblVeriA[[#Headers]])),0),"0.00"))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 ","")))</f>
        <v/>
      </c>
      <c r="K515" s="16">
        <f>IF($J515="",0,LEN($J515))</f>
        <v/>
      </c>
      <c r="L515" s="16">
        <f>IF($I515="","",TEXT(IFERROR(INDEX(tblVeriB[BelgeTarihi],ROW()-ROW(tblVeriB[[#Headers]])),""),"yyyymmdd")&amp;"|"&amp;TEXT(IFERROR(INDEX(tblVeriB[Tutar],ROW()-ROW(tblVeriB[[#Headers]])),0),"0.00"))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 ","")))</f>
        <v/>
      </c>
      <c r="C516" s="16">
        <f>IF($B516="",0,LEN($B516))</f>
        <v/>
      </c>
      <c r="D516" s="16">
        <f>IF($A516="","",TEXT(IFERROR(INDEX(tblVeriA[Tarih],ROW()-ROW(tblVeriA[[#Headers]])),""),"yyyymmdd")&amp;"|"&amp;TEXT(IFERROR(INDEX(tblVeriA[Toplam],ROW()-ROW(tblVeriA[[#Headers]])),0),"0.00"))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 ","")))</f>
        <v/>
      </c>
      <c r="K516" s="16">
        <f>IF($J516="",0,LEN($J516))</f>
        <v/>
      </c>
      <c r="L516" s="16">
        <f>IF($I516="","",TEXT(IFERROR(INDEX(tblVeriB[BelgeTarihi],ROW()-ROW(tblVeriB[[#Headers]])),""),"yyyymmdd")&amp;"|"&amp;TEXT(IFERROR(INDEX(tblVeriB[Tutar],ROW()-ROW(tblVeriB[[#Headers]])),0),"0.00"))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 ","")))</f>
        <v/>
      </c>
      <c r="C517" s="16">
        <f>IF($B517="",0,LEN($B517))</f>
        <v/>
      </c>
      <c r="D517" s="16">
        <f>IF($A517="","",TEXT(IFERROR(INDEX(tblVeriA[Tarih],ROW()-ROW(tblVeriA[[#Headers]])),""),"yyyymmdd")&amp;"|"&amp;TEXT(IFERROR(INDEX(tblVeriA[Toplam],ROW()-ROW(tblVeriA[[#Headers]])),0),"0.00"))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 ","")))</f>
        <v/>
      </c>
      <c r="K517" s="16">
        <f>IF($J517="",0,LEN($J517))</f>
        <v/>
      </c>
      <c r="L517" s="16">
        <f>IF($I517="","",TEXT(IFERROR(INDEX(tblVeriB[BelgeTarihi],ROW()-ROW(tblVeriB[[#Headers]])),""),"yyyymmdd")&amp;"|"&amp;TEXT(IFERROR(INDEX(tblVeriB[Tutar],ROW()-ROW(tblVeriB[[#Headers]])),0),"0.00"))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 ","")))</f>
        <v/>
      </c>
      <c r="C518" s="16">
        <f>IF($B518="",0,LEN($B518))</f>
        <v/>
      </c>
      <c r="D518" s="16">
        <f>IF($A518="","",TEXT(IFERROR(INDEX(tblVeriA[Tarih],ROW()-ROW(tblVeriA[[#Headers]])),""),"yyyymmdd")&amp;"|"&amp;TEXT(IFERROR(INDEX(tblVeriA[Toplam],ROW()-ROW(tblVeriA[[#Headers]])),0),"0.00"))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 ","")))</f>
        <v/>
      </c>
      <c r="K518" s="16">
        <f>IF($J518="",0,LEN($J518))</f>
        <v/>
      </c>
      <c r="L518" s="16">
        <f>IF($I518="","",TEXT(IFERROR(INDEX(tblVeriB[BelgeTarihi],ROW()-ROW(tblVeriB[[#Headers]])),""),"yyyymmdd")&amp;"|"&amp;TEXT(IFERROR(INDEX(tblVeriB[Tutar],ROW()-ROW(tblVeriB[[#Headers]])),0),"0.00"))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 ","")))</f>
        <v/>
      </c>
      <c r="C519" s="16">
        <f>IF($B519="",0,LEN($B519))</f>
        <v/>
      </c>
      <c r="D519" s="16">
        <f>IF($A519="","",TEXT(IFERROR(INDEX(tblVeriA[Tarih],ROW()-ROW(tblVeriA[[#Headers]])),""),"yyyymmdd")&amp;"|"&amp;TEXT(IFERROR(INDEX(tblVeriA[Toplam],ROW()-ROW(tblVeriA[[#Headers]])),0),"0.00"))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 ","")))</f>
        <v/>
      </c>
      <c r="K519" s="16">
        <f>IF($J519="",0,LEN($J519))</f>
        <v/>
      </c>
      <c r="L519" s="16">
        <f>IF($I519="","",TEXT(IFERROR(INDEX(tblVeriB[BelgeTarihi],ROW()-ROW(tblVeriB[[#Headers]])),""),"yyyymmdd")&amp;"|"&amp;TEXT(IFERROR(INDEX(tblVeriB[Tutar],ROW()-ROW(tblVeriB[[#Headers]])),0),"0.00"))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 ","")))</f>
        <v/>
      </c>
      <c r="C520" s="16">
        <f>IF($B520="",0,LEN($B520))</f>
        <v/>
      </c>
      <c r="D520" s="16">
        <f>IF($A520="","",TEXT(IFERROR(INDEX(tblVeriA[Tarih],ROW()-ROW(tblVeriA[[#Headers]])),""),"yyyymmdd")&amp;"|"&amp;TEXT(IFERROR(INDEX(tblVeriA[Toplam],ROW()-ROW(tblVeriA[[#Headers]])),0),"0.00"))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 ","")))</f>
        <v/>
      </c>
      <c r="K520" s="16">
        <f>IF($J520="",0,LEN($J520))</f>
        <v/>
      </c>
      <c r="L520" s="16">
        <f>IF($I520="","",TEXT(IFERROR(INDEX(tblVeriB[BelgeTarihi],ROW()-ROW(tblVeriB[[#Headers]])),""),"yyyymmdd")&amp;"|"&amp;TEXT(IFERROR(INDEX(tblVeriB[Tutar],ROW()-ROW(tblVeriB[[#Headers]])),0),"0.00"))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 ","")))</f>
        <v/>
      </c>
      <c r="C521" s="16">
        <f>IF($B521="",0,LEN($B521))</f>
        <v/>
      </c>
      <c r="D521" s="16">
        <f>IF($A521="","",TEXT(IFERROR(INDEX(tblVeriA[Tarih],ROW()-ROW(tblVeriA[[#Headers]])),""),"yyyymmdd")&amp;"|"&amp;TEXT(IFERROR(INDEX(tblVeriA[Toplam],ROW()-ROW(tblVeriA[[#Headers]])),0),"0.00"))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 ","")))</f>
        <v/>
      </c>
      <c r="K521" s="16">
        <f>IF($J521="",0,LEN($J521))</f>
        <v/>
      </c>
      <c r="L521" s="16">
        <f>IF($I521="","",TEXT(IFERROR(INDEX(tblVeriB[BelgeTarihi],ROW()-ROW(tblVeriB[[#Headers]])),""),"yyyymmdd")&amp;"|"&amp;TEXT(IFERROR(INDEX(tblVeriB[Tutar],ROW()-ROW(tblVeriB[[#Headers]])),0),"0.00"))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 ","")))</f>
        <v/>
      </c>
      <c r="C522" s="16">
        <f>IF($B522="",0,LEN($B522))</f>
        <v/>
      </c>
      <c r="D522" s="16">
        <f>IF($A522="","",TEXT(IFERROR(INDEX(tblVeriA[Tarih],ROW()-ROW(tblVeriA[[#Headers]])),""),"yyyymmdd")&amp;"|"&amp;TEXT(IFERROR(INDEX(tblVeriA[Toplam],ROW()-ROW(tblVeriA[[#Headers]])),0),"0.00"))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 ","")))</f>
        <v/>
      </c>
      <c r="K522" s="16">
        <f>IF($J522="",0,LEN($J522))</f>
        <v/>
      </c>
      <c r="L522" s="16">
        <f>IF($I522="","",TEXT(IFERROR(INDEX(tblVeriB[BelgeTarihi],ROW()-ROW(tblVeriB[[#Headers]])),""),"yyyymmdd")&amp;"|"&amp;TEXT(IFERROR(INDEX(tblVeriB[Tutar],ROW()-ROW(tblVeriB[[#Headers]])),0),"0.00"))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 ","")))</f>
        <v/>
      </c>
      <c r="C523" s="16">
        <f>IF($B523="",0,LEN($B523))</f>
        <v/>
      </c>
      <c r="D523" s="16">
        <f>IF($A523="","",TEXT(IFERROR(INDEX(tblVeriA[Tarih],ROW()-ROW(tblVeriA[[#Headers]])),""),"yyyymmdd")&amp;"|"&amp;TEXT(IFERROR(INDEX(tblVeriA[Toplam],ROW()-ROW(tblVeriA[[#Headers]])),0),"0.00"))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 ","")))</f>
        <v/>
      </c>
      <c r="K523" s="16">
        <f>IF($J523="",0,LEN($J523))</f>
        <v/>
      </c>
      <c r="L523" s="16">
        <f>IF($I523="","",TEXT(IFERROR(INDEX(tblVeriB[BelgeTarihi],ROW()-ROW(tblVeriB[[#Headers]])),""),"yyyymmdd")&amp;"|"&amp;TEXT(IFERROR(INDEX(tblVeriB[Tutar],ROW()-ROW(tblVeriB[[#Headers]])),0),"0.00"))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 ","")))</f>
        <v/>
      </c>
      <c r="C524" s="16">
        <f>IF($B524="",0,LEN($B524))</f>
        <v/>
      </c>
      <c r="D524" s="16">
        <f>IF($A524="","",TEXT(IFERROR(INDEX(tblVeriA[Tarih],ROW()-ROW(tblVeriA[[#Headers]])),""),"yyyymmdd")&amp;"|"&amp;TEXT(IFERROR(INDEX(tblVeriA[Toplam],ROW()-ROW(tblVeriA[[#Headers]])),0),"0.00"))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 ","")))</f>
        <v/>
      </c>
      <c r="K524" s="16">
        <f>IF($J524="",0,LEN($J524))</f>
        <v/>
      </c>
      <c r="L524" s="16">
        <f>IF($I524="","",TEXT(IFERROR(INDEX(tblVeriB[BelgeTarihi],ROW()-ROW(tblVeriB[[#Headers]])),""),"yyyymmdd")&amp;"|"&amp;TEXT(IFERROR(INDEX(tblVeriB[Tutar],ROW()-ROW(tblVeriB[[#Headers]])),0),"0.00"))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 ","")))</f>
        <v/>
      </c>
      <c r="C525" s="16">
        <f>IF($B525="",0,LEN($B525))</f>
        <v/>
      </c>
      <c r="D525" s="16">
        <f>IF($A525="","",TEXT(IFERROR(INDEX(tblVeriA[Tarih],ROW()-ROW(tblVeriA[[#Headers]])),""),"yyyymmdd")&amp;"|"&amp;TEXT(IFERROR(INDEX(tblVeriA[Toplam],ROW()-ROW(tblVeriA[[#Headers]])),0),"0.00"))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 ","")))</f>
        <v/>
      </c>
      <c r="K525" s="16">
        <f>IF($J525="",0,LEN($J525))</f>
        <v/>
      </c>
      <c r="L525" s="16">
        <f>IF($I525="","",TEXT(IFERROR(INDEX(tblVeriB[BelgeTarihi],ROW()-ROW(tblVeriB[[#Headers]])),""),"yyyymmdd")&amp;"|"&amp;TEXT(IFERROR(INDEX(tblVeriB[Tutar],ROW()-ROW(tblVeriB[[#Headers]])),0),"0.00"))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 ","")))</f>
        <v/>
      </c>
      <c r="C526" s="16">
        <f>IF($B526="",0,LEN($B526))</f>
        <v/>
      </c>
      <c r="D526" s="16">
        <f>IF($A526="","",TEXT(IFERROR(INDEX(tblVeriA[Tarih],ROW()-ROW(tblVeriA[[#Headers]])),""),"yyyymmdd")&amp;"|"&amp;TEXT(IFERROR(INDEX(tblVeriA[Toplam],ROW()-ROW(tblVeriA[[#Headers]])),0),"0.00"))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 ","")))</f>
        <v/>
      </c>
      <c r="K526" s="16">
        <f>IF($J526="",0,LEN($J526))</f>
        <v/>
      </c>
      <c r="L526" s="16">
        <f>IF($I526="","",TEXT(IFERROR(INDEX(tblVeriB[BelgeTarihi],ROW()-ROW(tblVeriB[[#Headers]])),""),"yyyymmdd")&amp;"|"&amp;TEXT(IFERROR(INDEX(tblVeriB[Tutar],ROW()-ROW(tblVeriB[[#Headers]])),0),"0.00"))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 ","")))</f>
        <v/>
      </c>
      <c r="C527" s="16">
        <f>IF($B527="",0,LEN($B527))</f>
        <v/>
      </c>
      <c r="D527" s="16">
        <f>IF($A527="","",TEXT(IFERROR(INDEX(tblVeriA[Tarih],ROW()-ROW(tblVeriA[[#Headers]])),""),"yyyymmdd")&amp;"|"&amp;TEXT(IFERROR(INDEX(tblVeriA[Toplam],ROW()-ROW(tblVeriA[[#Headers]])),0),"0.00"))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 ","")))</f>
        <v/>
      </c>
      <c r="K527" s="16">
        <f>IF($J527="",0,LEN($J527))</f>
        <v/>
      </c>
      <c r="L527" s="16">
        <f>IF($I527="","",TEXT(IFERROR(INDEX(tblVeriB[BelgeTarihi],ROW()-ROW(tblVeriB[[#Headers]])),""),"yyyymmdd")&amp;"|"&amp;TEXT(IFERROR(INDEX(tblVeriB[Tutar],ROW()-ROW(tblVeriB[[#Headers]])),0),"0.00"))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 ","")))</f>
        <v/>
      </c>
      <c r="C528" s="16">
        <f>IF($B528="",0,LEN($B528))</f>
        <v/>
      </c>
      <c r="D528" s="16">
        <f>IF($A528="","",TEXT(IFERROR(INDEX(tblVeriA[Tarih],ROW()-ROW(tblVeriA[[#Headers]])),""),"yyyymmdd")&amp;"|"&amp;TEXT(IFERROR(INDEX(tblVeriA[Toplam],ROW()-ROW(tblVeriA[[#Headers]])),0),"0.00"))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 ","")))</f>
        <v/>
      </c>
      <c r="K528" s="16">
        <f>IF($J528="",0,LEN($J528))</f>
        <v/>
      </c>
      <c r="L528" s="16">
        <f>IF($I528="","",TEXT(IFERROR(INDEX(tblVeriB[BelgeTarihi],ROW()-ROW(tblVeriB[[#Headers]])),""),"yyyymmdd")&amp;"|"&amp;TEXT(IFERROR(INDEX(tblVeriB[Tutar],ROW()-ROW(tblVeriB[[#Headers]])),0),"0.00"))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 ","")))</f>
        <v/>
      </c>
      <c r="C529" s="16">
        <f>IF($B529="",0,LEN($B529))</f>
        <v/>
      </c>
      <c r="D529" s="16">
        <f>IF($A529="","",TEXT(IFERROR(INDEX(tblVeriA[Tarih],ROW()-ROW(tblVeriA[[#Headers]])),""),"yyyymmdd")&amp;"|"&amp;TEXT(IFERROR(INDEX(tblVeriA[Toplam],ROW()-ROW(tblVeriA[[#Headers]])),0),"0.00"))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 ","")))</f>
        <v/>
      </c>
      <c r="K529" s="16">
        <f>IF($J529="",0,LEN($J529))</f>
        <v/>
      </c>
      <c r="L529" s="16">
        <f>IF($I529="","",TEXT(IFERROR(INDEX(tblVeriB[BelgeTarihi],ROW()-ROW(tblVeriB[[#Headers]])),""),"yyyymmdd")&amp;"|"&amp;TEXT(IFERROR(INDEX(tblVeriB[Tutar],ROW()-ROW(tblVeriB[[#Headers]])),0),"0.00"))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 ","")))</f>
        <v/>
      </c>
      <c r="C530" s="16">
        <f>IF($B530="",0,LEN($B530))</f>
        <v/>
      </c>
      <c r="D530" s="16">
        <f>IF($A530="","",TEXT(IFERROR(INDEX(tblVeriA[Tarih],ROW()-ROW(tblVeriA[[#Headers]])),""),"yyyymmdd")&amp;"|"&amp;TEXT(IFERROR(INDEX(tblVeriA[Toplam],ROW()-ROW(tblVeriA[[#Headers]])),0),"0.00"))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 ","")))</f>
        <v/>
      </c>
      <c r="K530" s="16">
        <f>IF($J530="",0,LEN($J530))</f>
        <v/>
      </c>
      <c r="L530" s="16">
        <f>IF($I530="","",TEXT(IFERROR(INDEX(tblVeriB[BelgeTarihi],ROW()-ROW(tblVeriB[[#Headers]])),""),"yyyymmdd")&amp;"|"&amp;TEXT(IFERROR(INDEX(tblVeriB[Tutar],ROW()-ROW(tblVeriB[[#Headers]])),0),"0.00"))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 ","")))</f>
        <v/>
      </c>
      <c r="C531" s="16">
        <f>IF($B531="",0,LEN($B531))</f>
        <v/>
      </c>
      <c r="D531" s="16">
        <f>IF($A531="","",TEXT(IFERROR(INDEX(tblVeriA[Tarih],ROW()-ROW(tblVeriA[[#Headers]])),""),"yyyymmdd")&amp;"|"&amp;TEXT(IFERROR(INDEX(tblVeriA[Toplam],ROW()-ROW(tblVeriA[[#Headers]])),0),"0.00"))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 ","")))</f>
        <v/>
      </c>
      <c r="K531" s="16">
        <f>IF($J531="",0,LEN($J531))</f>
        <v/>
      </c>
      <c r="L531" s="16">
        <f>IF($I531="","",TEXT(IFERROR(INDEX(tblVeriB[BelgeTarihi],ROW()-ROW(tblVeriB[[#Headers]])),""),"yyyymmdd")&amp;"|"&amp;TEXT(IFERROR(INDEX(tblVeriB[Tutar],ROW()-ROW(tblVeriB[[#Headers]])),0),"0.00"))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 ","")))</f>
        <v/>
      </c>
      <c r="C532" s="16">
        <f>IF($B532="",0,LEN($B532))</f>
        <v/>
      </c>
      <c r="D532" s="16">
        <f>IF($A532="","",TEXT(IFERROR(INDEX(tblVeriA[Tarih],ROW()-ROW(tblVeriA[[#Headers]])),""),"yyyymmdd")&amp;"|"&amp;TEXT(IFERROR(INDEX(tblVeriA[Toplam],ROW()-ROW(tblVeriA[[#Headers]])),0),"0.00"))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 ","")))</f>
        <v/>
      </c>
      <c r="K532" s="16">
        <f>IF($J532="",0,LEN($J532))</f>
        <v/>
      </c>
      <c r="L532" s="16">
        <f>IF($I532="","",TEXT(IFERROR(INDEX(tblVeriB[BelgeTarihi],ROW()-ROW(tblVeriB[[#Headers]])),""),"yyyymmdd")&amp;"|"&amp;TEXT(IFERROR(INDEX(tblVeriB[Tutar],ROW()-ROW(tblVeriB[[#Headers]])),0),"0.00"))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 ","")))</f>
        <v/>
      </c>
      <c r="C533" s="16">
        <f>IF($B533="",0,LEN($B533))</f>
        <v/>
      </c>
      <c r="D533" s="16">
        <f>IF($A533="","",TEXT(IFERROR(INDEX(tblVeriA[Tarih],ROW()-ROW(tblVeriA[[#Headers]])),""),"yyyymmdd")&amp;"|"&amp;TEXT(IFERROR(INDEX(tblVeriA[Toplam],ROW()-ROW(tblVeriA[[#Headers]])),0),"0.00"))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 ","")))</f>
        <v/>
      </c>
      <c r="K533" s="16">
        <f>IF($J533="",0,LEN($J533))</f>
        <v/>
      </c>
      <c r="L533" s="16">
        <f>IF($I533="","",TEXT(IFERROR(INDEX(tblVeriB[BelgeTarihi],ROW()-ROW(tblVeriB[[#Headers]])),""),"yyyymmdd")&amp;"|"&amp;TEXT(IFERROR(INDEX(tblVeriB[Tutar],ROW()-ROW(tblVeriB[[#Headers]])),0),"0.00"))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 ","")))</f>
        <v/>
      </c>
      <c r="C534" s="16">
        <f>IF($B534="",0,LEN($B534))</f>
        <v/>
      </c>
      <c r="D534" s="16">
        <f>IF($A534="","",TEXT(IFERROR(INDEX(tblVeriA[Tarih],ROW()-ROW(tblVeriA[[#Headers]])),""),"yyyymmdd")&amp;"|"&amp;TEXT(IFERROR(INDEX(tblVeriA[Toplam],ROW()-ROW(tblVeriA[[#Headers]])),0),"0.00"))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 ","")))</f>
        <v/>
      </c>
      <c r="K534" s="16">
        <f>IF($J534="",0,LEN($J534))</f>
        <v/>
      </c>
      <c r="L534" s="16">
        <f>IF($I534="","",TEXT(IFERROR(INDEX(tblVeriB[BelgeTarihi],ROW()-ROW(tblVeriB[[#Headers]])),""),"yyyymmdd")&amp;"|"&amp;TEXT(IFERROR(INDEX(tblVeriB[Tutar],ROW()-ROW(tblVeriB[[#Headers]])),0),"0.00"))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 ","")))</f>
        <v/>
      </c>
      <c r="C535" s="16">
        <f>IF($B535="",0,LEN($B535))</f>
        <v/>
      </c>
      <c r="D535" s="16">
        <f>IF($A535="","",TEXT(IFERROR(INDEX(tblVeriA[Tarih],ROW()-ROW(tblVeriA[[#Headers]])),""),"yyyymmdd")&amp;"|"&amp;TEXT(IFERROR(INDEX(tblVeriA[Toplam],ROW()-ROW(tblVeriA[[#Headers]])),0),"0.00"))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 ","")))</f>
        <v/>
      </c>
      <c r="K535" s="16">
        <f>IF($J535="",0,LEN($J535))</f>
        <v/>
      </c>
      <c r="L535" s="16">
        <f>IF($I535="","",TEXT(IFERROR(INDEX(tblVeriB[BelgeTarihi],ROW()-ROW(tblVeriB[[#Headers]])),""),"yyyymmdd")&amp;"|"&amp;TEXT(IFERROR(INDEX(tblVeriB[Tutar],ROW()-ROW(tblVeriB[[#Headers]])),0),"0.00"))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 ","")))</f>
        <v/>
      </c>
      <c r="C536" s="16">
        <f>IF($B536="",0,LEN($B536))</f>
        <v/>
      </c>
      <c r="D536" s="16">
        <f>IF($A536="","",TEXT(IFERROR(INDEX(tblVeriA[Tarih],ROW()-ROW(tblVeriA[[#Headers]])),""),"yyyymmdd")&amp;"|"&amp;TEXT(IFERROR(INDEX(tblVeriA[Toplam],ROW()-ROW(tblVeriA[[#Headers]])),0),"0.00"))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 ","")))</f>
        <v/>
      </c>
      <c r="K536" s="16">
        <f>IF($J536="",0,LEN($J536))</f>
        <v/>
      </c>
      <c r="L536" s="16">
        <f>IF($I536="","",TEXT(IFERROR(INDEX(tblVeriB[BelgeTarihi],ROW()-ROW(tblVeriB[[#Headers]])),""),"yyyymmdd")&amp;"|"&amp;TEXT(IFERROR(INDEX(tblVeriB[Tutar],ROW()-ROW(tblVeriB[[#Headers]])),0),"0.00"))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 ","")))</f>
        <v/>
      </c>
      <c r="C537" s="16">
        <f>IF($B537="",0,LEN($B537))</f>
        <v/>
      </c>
      <c r="D537" s="16">
        <f>IF($A537="","",TEXT(IFERROR(INDEX(tblVeriA[Tarih],ROW()-ROW(tblVeriA[[#Headers]])),""),"yyyymmdd")&amp;"|"&amp;TEXT(IFERROR(INDEX(tblVeriA[Toplam],ROW()-ROW(tblVeriA[[#Headers]])),0),"0.00"))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 ","")))</f>
        <v/>
      </c>
      <c r="K537" s="16">
        <f>IF($J537="",0,LEN($J537))</f>
        <v/>
      </c>
      <c r="L537" s="16">
        <f>IF($I537="","",TEXT(IFERROR(INDEX(tblVeriB[BelgeTarihi],ROW()-ROW(tblVeriB[[#Headers]])),""),"yyyymmdd")&amp;"|"&amp;TEXT(IFERROR(INDEX(tblVeriB[Tutar],ROW()-ROW(tblVeriB[[#Headers]])),0),"0.00"))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 ","")))</f>
        <v/>
      </c>
      <c r="C538" s="16">
        <f>IF($B538="",0,LEN($B538))</f>
        <v/>
      </c>
      <c r="D538" s="16">
        <f>IF($A538="","",TEXT(IFERROR(INDEX(tblVeriA[Tarih],ROW()-ROW(tblVeriA[[#Headers]])),""),"yyyymmdd")&amp;"|"&amp;TEXT(IFERROR(INDEX(tblVeriA[Toplam],ROW()-ROW(tblVeriA[[#Headers]])),0),"0.00"))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 ","")))</f>
        <v/>
      </c>
      <c r="K538" s="16">
        <f>IF($J538="",0,LEN($J538))</f>
        <v/>
      </c>
      <c r="L538" s="16">
        <f>IF($I538="","",TEXT(IFERROR(INDEX(tblVeriB[BelgeTarihi],ROW()-ROW(tblVeriB[[#Headers]])),""),"yyyymmdd")&amp;"|"&amp;TEXT(IFERROR(INDEX(tblVeriB[Tutar],ROW()-ROW(tblVeriB[[#Headers]])),0),"0.00"))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 ","")))</f>
        <v/>
      </c>
      <c r="C539" s="16">
        <f>IF($B539="",0,LEN($B539))</f>
        <v/>
      </c>
      <c r="D539" s="16">
        <f>IF($A539="","",TEXT(IFERROR(INDEX(tblVeriA[Tarih],ROW()-ROW(tblVeriA[[#Headers]])),""),"yyyymmdd")&amp;"|"&amp;TEXT(IFERROR(INDEX(tblVeriA[Toplam],ROW()-ROW(tblVeriA[[#Headers]])),0),"0.00"))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 ","")))</f>
        <v/>
      </c>
      <c r="K539" s="16">
        <f>IF($J539="",0,LEN($J539))</f>
        <v/>
      </c>
      <c r="L539" s="16">
        <f>IF($I539="","",TEXT(IFERROR(INDEX(tblVeriB[BelgeTarihi],ROW()-ROW(tblVeriB[[#Headers]])),""),"yyyymmdd")&amp;"|"&amp;TEXT(IFERROR(INDEX(tblVeriB[Tutar],ROW()-ROW(tblVeriB[[#Headers]])),0),"0.00"))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 ","")))</f>
        <v/>
      </c>
      <c r="C540" s="16">
        <f>IF($B540="",0,LEN($B540))</f>
        <v/>
      </c>
      <c r="D540" s="16">
        <f>IF($A540="","",TEXT(IFERROR(INDEX(tblVeriA[Tarih],ROW()-ROW(tblVeriA[[#Headers]])),""),"yyyymmdd")&amp;"|"&amp;TEXT(IFERROR(INDEX(tblVeriA[Toplam],ROW()-ROW(tblVeriA[[#Headers]])),0),"0.00"))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 ","")))</f>
        <v/>
      </c>
      <c r="K540" s="16">
        <f>IF($J540="",0,LEN($J540))</f>
        <v/>
      </c>
      <c r="L540" s="16">
        <f>IF($I540="","",TEXT(IFERROR(INDEX(tblVeriB[BelgeTarihi],ROW()-ROW(tblVeriB[[#Headers]])),""),"yyyymmdd")&amp;"|"&amp;TEXT(IFERROR(INDEX(tblVeriB[Tutar],ROW()-ROW(tblVeriB[[#Headers]])),0),"0.00"))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 ","")))</f>
        <v/>
      </c>
      <c r="C541" s="16">
        <f>IF($B541="",0,LEN($B541))</f>
        <v/>
      </c>
      <c r="D541" s="16">
        <f>IF($A541="","",TEXT(IFERROR(INDEX(tblVeriA[Tarih],ROW()-ROW(tblVeriA[[#Headers]])),""),"yyyymmdd")&amp;"|"&amp;TEXT(IFERROR(INDEX(tblVeriA[Toplam],ROW()-ROW(tblVeriA[[#Headers]])),0),"0.00"))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 ","")))</f>
        <v/>
      </c>
      <c r="K541" s="16">
        <f>IF($J541="",0,LEN($J541))</f>
        <v/>
      </c>
      <c r="L541" s="16">
        <f>IF($I541="","",TEXT(IFERROR(INDEX(tblVeriB[BelgeTarihi],ROW()-ROW(tblVeriB[[#Headers]])),""),"yyyymmdd")&amp;"|"&amp;TEXT(IFERROR(INDEX(tblVeriB[Tutar],ROW()-ROW(tblVeriB[[#Headers]])),0),"0.00"))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 ","")))</f>
        <v/>
      </c>
      <c r="C542" s="16">
        <f>IF($B542="",0,LEN($B542))</f>
        <v/>
      </c>
      <c r="D542" s="16">
        <f>IF($A542="","",TEXT(IFERROR(INDEX(tblVeriA[Tarih],ROW()-ROW(tblVeriA[[#Headers]])),""),"yyyymmdd")&amp;"|"&amp;TEXT(IFERROR(INDEX(tblVeriA[Toplam],ROW()-ROW(tblVeriA[[#Headers]])),0),"0.00"))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 ","")))</f>
        <v/>
      </c>
      <c r="K542" s="16">
        <f>IF($J542="",0,LEN($J542))</f>
        <v/>
      </c>
      <c r="L542" s="16">
        <f>IF($I542="","",TEXT(IFERROR(INDEX(tblVeriB[BelgeTarihi],ROW()-ROW(tblVeriB[[#Headers]])),""),"yyyymmdd")&amp;"|"&amp;TEXT(IFERROR(INDEX(tblVeriB[Tutar],ROW()-ROW(tblVeriB[[#Headers]])),0),"0.00"))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 ","")))</f>
        <v/>
      </c>
      <c r="C543" s="16">
        <f>IF($B543="",0,LEN($B543))</f>
        <v/>
      </c>
      <c r="D543" s="16">
        <f>IF($A543="","",TEXT(IFERROR(INDEX(tblVeriA[Tarih],ROW()-ROW(tblVeriA[[#Headers]])),""),"yyyymmdd")&amp;"|"&amp;TEXT(IFERROR(INDEX(tblVeriA[Toplam],ROW()-ROW(tblVeriA[[#Headers]])),0),"0.00"))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 ","")))</f>
        <v/>
      </c>
      <c r="K543" s="16">
        <f>IF($J543="",0,LEN($J543))</f>
        <v/>
      </c>
      <c r="L543" s="16">
        <f>IF($I543="","",TEXT(IFERROR(INDEX(tblVeriB[BelgeTarihi],ROW()-ROW(tblVeriB[[#Headers]])),""),"yyyymmdd")&amp;"|"&amp;TEXT(IFERROR(INDEX(tblVeriB[Tutar],ROW()-ROW(tblVeriB[[#Headers]])),0),"0.00"))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 ","")))</f>
        <v/>
      </c>
      <c r="C544" s="16">
        <f>IF($B544="",0,LEN($B544))</f>
        <v/>
      </c>
      <c r="D544" s="16">
        <f>IF($A544="","",TEXT(IFERROR(INDEX(tblVeriA[Tarih],ROW()-ROW(tblVeriA[[#Headers]])),""),"yyyymmdd")&amp;"|"&amp;TEXT(IFERROR(INDEX(tblVeriA[Toplam],ROW()-ROW(tblVeriA[[#Headers]])),0),"0.00"))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 ","")))</f>
        <v/>
      </c>
      <c r="K544" s="16">
        <f>IF($J544="",0,LEN($J544))</f>
        <v/>
      </c>
      <c r="L544" s="16">
        <f>IF($I544="","",TEXT(IFERROR(INDEX(tblVeriB[BelgeTarihi],ROW()-ROW(tblVeriB[[#Headers]])),""),"yyyymmdd")&amp;"|"&amp;TEXT(IFERROR(INDEX(tblVeriB[Tutar],ROW()-ROW(tblVeriB[[#Headers]])),0),"0.00"))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 ","")))</f>
        <v/>
      </c>
      <c r="C545" s="16">
        <f>IF($B545="",0,LEN($B545))</f>
        <v/>
      </c>
      <c r="D545" s="16">
        <f>IF($A545="","",TEXT(IFERROR(INDEX(tblVeriA[Tarih],ROW()-ROW(tblVeriA[[#Headers]])),""),"yyyymmdd")&amp;"|"&amp;TEXT(IFERROR(INDEX(tblVeriA[Toplam],ROW()-ROW(tblVeriA[[#Headers]])),0),"0.00"))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 ","")))</f>
        <v/>
      </c>
      <c r="K545" s="16">
        <f>IF($J545="",0,LEN($J545))</f>
        <v/>
      </c>
      <c r="L545" s="16">
        <f>IF($I545="","",TEXT(IFERROR(INDEX(tblVeriB[BelgeTarihi],ROW()-ROW(tblVeriB[[#Headers]])),""),"yyyymmdd")&amp;"|"&amp;TEXT(IFERROR(INDEX(tblVeriB[Tutar],ROW()-ROW(tblVeriB[[#Headers]])),0),"0.00"))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 ","")))</f>
        <v/>
      </c>
      <c r="C546" s="16">
        <f>IF($B546="",0,LEN($B546))</f>
        <v/>
      </c>
      <c r="D546" s="16">
        <f>IF($A546="","",TEXT(IFERROR(INDEX(tblVeriA[Tarih],ROW()-ROW(tblVeriA[[#Headers]])),""),"yyyymmdd")&amp;"|"&amp;TEXT(IFERROR(INDEX(tblVeriA[Toplam],ROW()-ROW(tblVeriA[[#Headers]])),0),"0.00"))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 ","")))</f>
        <v/>
      </c>
      <c r="K546" s="16">
        <f>IF($J546="",0,LEN($J546))</f>
        <v/>
      </c>
      <c r="L546" s="16">
        <f>IF($I546="","",TEXT(IFERROR(INDEX(tblVeriB[BelgeTarihi],ROW()-ROW(tblVeriB[[#Headers]])),""),"yyyymmdd")&amp;"|"&amp;TEXT(IFERROR(INDEX(tblVeriB[Tutar],ROW()-ROW(tblVeriB[[#Headers]])),0),"0.00"))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 ","")))</f>
        <v/>
      </c>
      <c r="C547" s="16">
        <f>IF($B547="",0,LEN($B547))</f>
        <v/>
      </c>
      <c r="D547" s="16">
        <f>IF($A547="","",TEXT(IFERROR(INDEX(tblVeriA[Tarih],ROW()-ROW(tblVeriA[[#Headers]])),""),"yyyymmdd")&amp;"|"&amp;TEXT(IFERROR(INDEX(tblVeriA[Toplam],ROW()-ROW(tblVeriA[[#Headers]])),0),"0.00"))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 ","")))</f>
        <v/>
      </c>
      <c r="K547" s="16">
        <f>IF($J547="",0,LEN($J547))</f>
        <v/>
      </c>
      <c r="L547" s="16">
        <f>IF($I547="","",TEXT(IFERROR(INDEX(tblVeriB[BelgeTarihi],ROW()-ROW(tblVeriB[[#Headers]])),""),"yyyymmdd")&amp;"|"&amp;TEXT(IFERROR(INDEX(tblVeriB[Tutar],ROW()-ROW(tblVeriB[[#Headers]])),0),"0.00"))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 ","")))</f>
        <v/>
      </c>
      <c r="C548" s="16">
        <f>IF($B548="",0,LEN($B548))</f>
        <v/>
      </c>
      <c r="D548" s="16">
        <f>IF($A548="","",TEXT(IFERROR(INDEX(tblVeriA[Tarih],ROW()-ROW(tblVeriA[[#Headers]])),""),"yyyymmdd")&amp;"|"&amp;TEXT(IFERROR(INDEX(tblVeriA[Toplam],ROW()-ROW(tblVeriA[[#Headers]])),0),"0.00"))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 ","")))</f>
        <v/>
      </c>
      <c r="K548" s="16">
        <f>IF($J548="",0,LEN($J548))</f>
        <v/>
      </c>
      <c r="L548" s="16">
        <f>IF($I548="","",TEXT(IFERROR(INDEX(tblVeriB[BelgeTarihi],ROW()-ROW(tblVeriB[[#Headers]])),""),"yyyymmdd")&amp;"|"&amp;TEXT(IFERROR(INDEX(tblVeriB[Tutar],ROW()-ROW(tblVeriB[[#Headers]])),0),"0.00"))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 ","")))</f>
        <v/>
      </c>
      <c r="C549" s="16">
        <f>IF($B549="",0,LEN($B549))</f>
        <v/>
      </c>
      <c r="D549" s="16">
        <f>IF($A549="","",TEXT(IFERROR(INDEX(tblVeriA[Tarih],ROW()-ROW(tblVeriA[[#Headers]])),""),"yyyymmdd")&amp;"|"&amp;TEXT(IFERROR(INDEX(tblVeriA[Toplam],ROW()-ROW(tblVeriA[[#Headers]])),0),"0.00"))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 ","")))</f>
        <v/>
      </c>
      <c r="K549" s="16">
        <f>IF($J549="",0,LEN($J549))</f>
        <v/>
      </c>
      <c r="L549" s="16">
        <f>IF($I549="","",TEXT(IFERROR(INDEX(tblVeriB[BelgeTarihi],ROW()-ROW(tblVeriB[[#Headers]])),""),"yyyymmdd")&amp;"|"&amp;TEXT(IFERROR(INDEX(tblVeriB[Tutar],ROW()-ROW(tblVeriB[[#Headers]])),0),"0.00"))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 ","")))</f>
        <v/>
      </c>
      <c r="C550" s="16">
        <f>IF($B550="",0,LEN($B550))</f>
        <v/>
      </c>
      <c r="D550" s="16">
        <f>IF($A550="","",TEXT(IFERROR(INDEX(tblVeriA[Tarih],ROW()-ROW(tblVeriA[[#Headers]])),""),"yyyymmdd")&amp;"|"&amp;TEXT(IFERROR(INDEX(tblVeriA[Toplam],ROW()-ROW(tblVeriA[[#Headers]])),0),"0.00"))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 ","")))</f>
        <v/>
      </c>
      <c r="K550" s="16">
        <f>IF($J550="",0,LEN($J550))</f>
        <v/>
      </c>
      <c r="L550" s="16">
        <f>IF($I550="","",TEXT(IFERROR(INDEX(tblVeriB[BelgeTarihi],ROW()-ROW(tblVeriB[[#Headers]])),""),"yyyymmdd")&amp;"|"&amp;TEXT(IFERROR(INDEX(tblVeriB[Tutar],ROW()-ROW(tblVeriB[[#Headers]])),0),"0.00"))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 ","")))</f>
        <v/>
      </c>
      <c r="C551" s="16">
        <f>IF($B551="",0,LEN($B551))</f>
        <v/>
      </c>
      <c r="D551" s="16">
        <f>IF($A551="","",TEXT(IFERROR(INDEX(tblVeriA[Tarih],ROW()-ROW(tblVeriA[[#Headers]])),""),"yyyymmdd")&amp;"|"&amp;TEXT(IFERROR(INDEX(tblVeriA[Toplam],ROW()-ROW(tblVeriA[[#Headers]])),0),"0.00"))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 ","")))</f>
        <v/>
      </c>
      <c r="K551" s="16">
        <f>IF($J551="",0,LEN($J551))</f>
        <v/>
      </c>
      <c r="L551" s="16">
        <f>IF($I551="","",TEXT(IFERROR(INDEX(tblVeriB[BelgeTarihi],ROW()-ROW(tblVeriB[[#Headers]])),""),"yyyymmdd")&amp;"|"&amp;TEXT(IFERROR(INDEX(tblVeriB[Tutar],ROW()-ROW(tblVeriB[[#Headers]])),0),"0.00"))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 ","")))</f>
        <v/>
      </c>
      <c r="C552" s="16">
        <f>IF($B552="",0,LEN($B552))</f>
        <v/>
      </c>
      <c r="D552" s="16">
        <f>IF($A552="","",TEXT(IFERROR(INDEX(tblVeriA[Tarih],ROW()-ROW(tblVeriA[[#Headers]])),""),"yyyymmdd")&amp;"|"&amp;TEXT(IFERROR(INDEX(tblVeriA[Toplam],ROW()-ROW(tblVeriA[[#Headers]])),0),"0.00"))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 ","")))</f>
        <v/>
      </c>
      <c r="K552" s="16">
        <f>IF($J552="",0,LEN($J552))</f>
        <v/>
      </c>
      <c r="L552" s="16">
        <f>IF($I552="","",TEXT(IFERROR(INDEX(tblVeriB[BelgeTarihi],ROW()-ROW(tblVeriB[[#Headers]])),""),"yyyymmdd")&amp;"|"&amp;TEXT(IFERROR(INDEX(tblVeriB[Tutar],ROW()-ROW(tblVeriB[[#Headers]])),0),"0.00"))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 ","")))</f>
        <v/>
      </c>
      <c r="C553" s="16">
        <f>IF($B553="",0,LEN($B553))</f>
        <v/>
      </c>
      <c r="D553" s="16">
        <f>IF($A553="","",TEXT(IFERROR(INDEX(tblVeriA[Tarih],ROW()-ROW(tblVeriA[[#Headers]])),""),"yyyymmdd")&amp;"|"&amp;TEXT(IFERROR(INDEX(tblVeriA[Toplam],ROW()-ROW(tblVeriA[[#Headers]])),0),"0.00"))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 ","")))</f>
        <v/>
      </c>
      <c r="K553" s="16">
        <f>IF($J553="",0,LEN($J553))</f>
        <v/>
      </c>
      <c r="L553" s="16">
        <f>IF($I553="","",TEXT(IFERROR(INDEX(tblVeriB[BelgeTarihi],ROW()-ROW(tblVeriB[[#Headers]])),""),"yyyymmdd")&amp;"|"&amp;TEXT(IFERROR(INDEX(tblVeriB[Tutar],ROW()-ROW(tblVeriB[[#Headers]])),0),"0.00"))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 ","")))</f>
        <v/>
      </c>
      <c r="C554" s="16">
        <f>IF($B554="",0,LEN($B554))</f>
        <v/>
      </c>
      <c r="D554" s="16">
        <f>IF($A554="","",TEXT(IFERROR(INDEX(tblVeriA[Tarih],ROW()-ROW(tblVeriA[[#Headers]])),""),"yyyymmdd")&amp;"|"&amp;TEXT(IFERROR(INDEX(tblVeriA[Toplam],ROW()-ROW(tblVeriA[[#Headers]])),0),"0.00"))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 ","")))</f>
        <v/>
      </c>
      <c r="K554" s="16">
        <f>IF($J554="",0,LEN($J554))</f>
        <v/>
      </c>
      <c r="L554" s="16">
        <f>IF($I554="","",TEXT(IFERROR(INDEX(tblVeriB[BelgeTarihi],ROW()-ROW(tblVeriB[[#Headers]])),""),"yyyymmdd")&amp;"|"&amp;TEXT(IFERROR(INDEX(tblVeriB[Tutar],ROW()-ROW(tblVeriB[[#Headers]])),0),"0.00"))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 ","")))</f>
        <v/>
      </c>
      <c r="C555" s="16">
        <f>IF($B555="",0,LEN($B555))</f>
        <v/>
      </c>
      <c r="D555" s="16">
        <f>IF($A555="","",TEXT(IFERROR(INDEX(tblVeriA[Tarih],ROW()-ROW(tblVeriA[[#Headers]])),""),"yyyymmdd")&amp;"|"&amp;TEXT(IFERROR(INDEX(tblVeriA[Toplam],ROW()-ROW(tblVeriA[[#Headers]])),0),"0.00"))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 ","")))</f>
        <v/>
      </c>
      <c r="K555" s="16">
        <f>IF($J555="",0,LEN($J555))</f>
        <v/>
      </c>
      <c r="L555" s="16">
        <f>IF($I555="","",TEXT(IFERROR(INDEX(tblVeriB[BelgeTarihi],ROW()-ROW(tblVeriB[[#Headers]])),""),"yyyymmdd")&amp;"|"&amp;TEXT(IFERROR(INDEX(tblVeriB[Tutar],ROW()-ROW(tblVeriB[[#Headers]])),0),"0.00"))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 ","")))</f>
        <v/>
      </c>
      <c r="C556" s="16">
        <f>IF($B556="",0,LEN($B556))</f>
        <v/>
      </c>
      <c r="D556" s="16">
        <f>IF($A556="","",TEXT(IFERROR(INDEX(tblVeriA[Tarih],ROW()-ROW(tblVeriA[[#Headers]])),""),"yyyymmdd")&amp;"|"&amp;TEXT(IFERROR(INDEX(tblVeriA[Toplam],ROW()-ROW(tblVeriA[[#Headers]])),0),"0.00"))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 ","")))</f>
        <v/>
      </c>
      <c r="K556" s="16">
        <f>IF($J556="",0,LEN($J556))</f>
        <v/>
      </c>
      <c r="L556" s="16">
        <f>IF($I556="","",TEXT(IFERROR(INDEX(tblVeriB[BelgeTarihi],ROW()-ROW(tblVeriB[[#Headers]])),""),"yyyymmdd")&amp;"|"&amp;TEXT(IFERROR(INDEX(tblVeriB[Tutar],ROW()-ROW(tblVeriB[[#Headers]])),0),"0.00"))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 ","")))</f>
        <v/>
      </c>
      <c r="C557" s="16">
        <f>IF($B557="",0,LEN($B557))</f>
        <v/>
      </c>
      <c r="D557" s="16">
        <f>IF($A557="","",TEXT(IFERROR(INDEX(tblVeriA[Tarih],ROW()-ROW(tblVeriA[[#Headers]])),""),"yyyymmdd")&amp;"|"&amp;TEXT(IFERROR(INDEX(tblVeriA[Toplam],ROW()-ROW(tblVeriA[[#Headers]])),0),"0.00"))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 ","")))</f>
        <v/>
      </c>
      <c r="K557" s="16">
        <f>IF($J557="",0,LEN($J557))</f>
        <v/>
      </c>
      <c r="L557" s="16">
        <f>IF($I557="","",TEXT(IFERROR(INDEX(tblVeriB[BelgeTarihi],ROW()-ROW(tblVeriB[[#Headers]])),""),"yyyymmdd")&amp;"|"&amp;TEXT(IFERROR(INDEX(tblVeriB[Tutar],ROW()-ROW(tblVeriB[[#Headers]])),0),"0.00"))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 ","")))</f>
        <v/>
      </c>
      <c r="C558" s="16">
        <f>IF($B558="",0,LEN($B558))</f>
        <v/>
      </c>
      <c r="D558" s="16">
        <f>IF($A558="","",TEXT(IFERROR(INDEX(tblVeriA[Tarih],ROW()-ROW(tblVeriA[[#Headers]])),""),"yyyymmdd")&amp;"|"&amp;TEXT(IFERROR(INDEX(tblVeriA[Toplam],ROW()-ROW(tblVeriA[[#Headers]])),0),"0.00"))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 ","")))</f>
        <v/>
      </c>
      <c r="K558" s="16">
        <f>IF($J558="",0,LEN($J558))</f>
        <v/>
      </c>
      <c r="L558" s="16">
        <f>IF($I558="","",TEXT(IFERROR(INDEX(tblVeriB[BelgeTarihi],ROW()-ROW(tblVeriB[[#Headers]])),""),"yyyymmdd")&amp;"|"&amp;TEXT(IFERROR(INDEX(tblVeriB[Tutar],ROW()-ROW(tblVeriB[[#Headers]])),0),"0.00"))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 ","")))</f>
        <v/>
      </c>
      <c r="C559" s="16">
        <f>IF($B559="",0,LEN($B559))</f>
        <v/>
      </c>
      <c r="D559" s="16">
        <f>IF($A559="","",TEXT(IFERROR(INDEX(tblVeriA[Tarih],ROW()-ROW(tblVeriA[[#Headers]])),""),"yyyymmdd")&amp;"|"&amp;TEXT(IFERROR(INDEX(tblVeriA[Toplam],ROW()-ROW(tblVeriA[[#Headers]])),0),"0.00"))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 ","")))</f>
        <v/>
      </c>
      <c r="K559" s="16">
        <f>IF($J559="",0,LEN($J559))</f>
        <v/>
      </c>
      <c r="L559" s="16">
        <f>IF($I559="","",TEXT(IFERROR(INDEX(tblVeriB[BelgeTarihi],ROW()-ROW(tblVeriB[[#Headers]])),""),"yyyymmdd")&amp;"|"&amp;TEXT(IFERROR(INDEX(tblVeriB[Tutar],ROW()-ROW(tblVeriB[[#Headers]])),0),"0.00"))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 ","")))</f>
        <v/>
      </c>
      <c r="C560" s="16">
        <f>IF($B560="",0,LEN($B560))</f>
        <v/>
      </c>
      <c r="D560" s="16">
        <f>IF($A560="","",TEXT(IFERROR(INDEX(tblVeriA[Tarih],ROW()-ROW(tblVeriA[[#Headers]])),""),"yyyymmdd")&amp;"|"&amp;TEXT(IFERROR(INDEX(tblVeriA[Toplam],ROW()-ROW(tblVeriA[[#Headers]])),0),"0.00"))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 ","")))</f>
        <v/>
      </c>
      <c r="K560" s="16">
        <f>IF($J560="",0,LEN($J560))</f>
        <v/>
      </c>
      <c r="L560" s="16">
        <f>IF($I560="","",TEXT(IFERROR(INDEX(tblVeriB[BelgeTarihi],ROW()-ROW(tblVeriB[[#Headers]])),""),"yyyymmdd")&amp;"|"&amp;TEXT(IFERROR(INDEX(tblVeriB[Tutar],ROW()-ROW(tblVeriB[[#Headers]])),0),"0.00"))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 ","")))</f>
        <v/>
      </c>
      <c r="C561" s="16">
        <f>IF($B561="",0,LEN($B561))</f>
        <v/>
      </c>
      <c r="D561" s="16">
        <f>IF($A561="","",TEXT(IFERROR(INDEX(tblVeriA[Tarih],ROW()-ROW(tblVeriA[[#Headers]])),""),"yyyymmdd")&amp;"|"&amp;TEXT(IFERROR(INDEX(tblVeriA[Toplam],ROW()-ROW(tblVeriA[[#Headers]])),0),"0.00"))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 ","")))</f>
        <v/>
      </c>
      <c r="K561" s="16">
        <f>IF($J561="",0,LEN($J561))</f>
        <v/>
      </c>
      <c r="L561" s="16">
        <f>IF($I561="","",TEXT(IFERROR(INDEX(tblVeriB[BelgeTarihi],ROW()-ROW(tblVeriB[[#Headers]])),""),"yyyymmdd")&amp;"|"&amp;TEXT(IFERROR(INDEX(tblVeriB[Tutar],ROW()-ROW(tblVeriB[[#Headers]])),0),"0.00"))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 ","")))</f>
        <v/>
      </c>
      <c r="C562" s="16">
        <f>IF($B562="",0,LEN($B562))</f>
        <v/>
      </c>
      <c r="D562" s="16">
        <f>IF($A562="","",TEXT(IFERROR(INDEX(tblVeriA[Tarih],ROW()-ROW(tblVeriA[[#Headers]])),""),"yyyymmdd")&amp;"|"&amp;TEXT(IFERROR(INDEX(tblVeriA[Toplam],ROW()-ROW(tblVeriA[[#Headers]])),0),"0.00"))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 ","")))</f>
        <v/>
      </c>
      <c r="K562" s="16">
        <f>IF($J562="",0,LEN($J562))</f>
        <v/>
      </c>
      <c r="L562" s="16">
        <f>IF($I562="","",TEXT(IFERROR(INDEX(tblVeriB[BelgeTarihi],ROW()-ROW(tblVeriB[[#Headers]])),""),"yyyymmdd")&amp;"|"&amp;TEXT(IFERROR(INDEX(tblVeriB[Tutar],ROW()-ROW(tblVeriB[[#Headers]])),0),"0.00"))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 ","")))</f>
        <v/>
      </c>
      <c r="C563" s="16">
        <f>IF($B563="",0,LEN($B563))</f>
        <v/>
      </c>
      <c r="D563" s="16">
        <f>IF($A563="","",TEXT(IFERROR(INDEX(tblVeriA[Tarih],ROW()-ROW(tblVeriA[[#Headers]])),""),"yyyymmdd")&amp;"|"&amp;TEXT(IFERROR(INDEX(tblVeriA[Toplam],ROW()-ROW(tblVeriA[[#Headers]])),0),"0.00"))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 ","")))</f>
        <v/>
      </c>
      <c r="K563" s="16">
        <f>IF($J563="",0,LEN($J563))</f>
        <v/>
      </c>
      <c r="L563" s="16">
        <f>IF($I563="","",TEXT(IFERROR(INDEX(tblVeriB[BelgeTarihi],ROW()-ROW(tblVeriB[[#Headers]])),""),"yyyymmdd")&amp;"|"&amp;TEXT(IFERROR(INDEX(tblVeriB[Tutar],ROW()-ROW(tblVeriB[[#Headers]])),0),"0.00"))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 ","")))</f>
        <v/>
      </c>
      <c r="C564" s="16">
        <f>IF($B564="",0,LEN($B564))</f>
        <v/>
      </c>
      <c r="D564" s="16">
        <f>IF($A564="","",TEXT(IFERROR(INDEX(tblVeriA[Tarih],ROW()-ROW(tblVeriA[[#Headers]])),""),"yyyymmdd")&amp;"|"&amp;TEXT(IFERROR(INDEX(tblVeriA[Toplam],ROW()-ROW(tblVeriA[[#Headers]])),0),"0.00"))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 ","")))</f>
        <v/>
      </c>
      <c r="K564" s="16">
        <f>IF($J564="",0,LEN($J564))</f>
        <v/>
      </c>
      <c r="L564" s="16">
        <f>IF($I564="","",TEXT(IFERROR(INDEX(tblVeriB[BelgeTarihi],ROW()-ROW(tblVeriB[[#Headers]])),""),"yyyymmdd")&amp;"|"&amp;TEXT(IFERROR(INDEX(tblVeriB[Tutar],ROW()-ROW(tblVeriB[[#Headers]])),0),"0.00"))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 ","")))</f>
        <v/>
      </c>
      <c r="C565" s="16">
        <f>IF($B565="",0,LEN($B565))</f>
        <v/>
      </c>
      <c r="D565" s="16">
        <f>IF($A565="","",TEXT(IFERROR(INDEX(tblVeriA[Tarih],ROW()-ROW(tblVeriA[[#Headers]])),""),"yyyymmdd")&amp;"|"&amp;TEXT(IFERROR(INDEX(tblVeriA[Toplam],ROW()-ROW(tblVeriA[[#Headers]])),0),"0.00"))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 ","")))</f>
        <v/>
      </c>
      <c r="K565" s="16">
        <f>IF($J565="",0,LEN($J565))</f>
        <v/>
      </c>
      <c r="L565" s="16">
        <f>IF($I565="","",TEXT(IFERROR(INDEX(tblVeriB[BelgeTarihi],ROW()-ROW(tblVeriB[[#Headers]])),""),"yyyymmdd")&amp;"|"&amp;TEXT(IFERROR(INDEX(tblVeriB[Tutar],ROW()-ROW(tblVeriB[[#Headers]])),0),"0.00"))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 ","")))</f>
        <v/>
      </c>
      <c r="C566" s="16">
        <f>IF($B566="",0,LEN($B566))</f>
        <v/>
      </c>
      <c r="D566" s="16">
        <f>IF($A566="","",TEXT(IFERROR(INDEX(tblVeriA[Tarih],ROW()-ROW(tblVeriA[[#Headers]])),""),"yyyymmdd")&amp;"|"&amp;TEXT(IFERROR(INDEX(tblVeriA[Toplam],ROW()-ROW(tblVeriA[[#Headers]])),0),"0.00"))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 ","")))</f>
        <v/>
      </c>
      <c r="K566" s="16">
        <f>IF($J566="",0,LEN($J566))</f>
        <v/>
      </c>
      <c r="L566" s="16">
        <f>IF($I566="","",TEXT(IFERROR(INDEX(tblVeriB[BelgeTarihi],ROW()-ROW(tblVeriB[[#Headers]])),""),"yyyymmdd")&amp;"|"&amp;TEXT(IFERROR(INDEX(tblVeriB[Tutar],ROW()-ROW(tblVeriB[[#Headers]])),0),"0.00"))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 ","")))</f>
        <v/>
      </c>
      <c r="C567" s="16">
        <f>IF($B567="",0,LEN($B567))</f>
        <v/>
      </c>
      <c r="D567" s="16">
        <f>IF($A567="","",TEXT(IFERROR(INDEX(tblVeriA[Tarih],ROW()-ROW(tblVeriA[[#Headers]])),""),"yyyymmdd")&amp;"|"&amp;TEXT(IFERROR(INDEX(tblVeriA[Toplam],ROW()-ROW(tblVeriA[[#Headers]])),0),"0.00"))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 ","")))</f>
        <v/>
      </c>
      <c r="K567" s="16">
        <f>IF($J567="",0,LEN($J567))</f>
        <v/>
      </c>
      <c r="L567" s="16">
        <f>IF($I567="","",TEXT(IFERROR(INDEX(tblVeriB[BelgeTarihi],ROW()-ROW(tblVeriB[[#Headers]])),""),"yyyymmdd")&amp;"|"&amp;TEXT(IFERROR(INDEX(tblVeriB[Tutar],ROW()-ROW(tblVeriB[[#Headers]])),0),"0.00"))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 ","")))</f>
        <v/>
      </c>
      <c r="C568" s="16">
        <f>IF($B568="",0,LEN($B568))</f>
        <v/>
      </c>
      <c r="D568" s="16">
        <f>IF($A568="","",TEXT(IFERROR(INDEX(tblVeriA[Tarih],ROW()-ROW(tblVeriA[[#Headers]])),""),"yyyymmdd")&amp;"|"&amp;TEXT(IFERROR(INDEX(tblVeriA[Toplam],ROW()-ROW(tblVeriA[[#Headers]])),0),"0.00"))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 ","")))</f>
        <v/>
      </c>
      <c r="K568" s="16">
        <f>IF($J568="",0,LEN($J568))</f>
        <v/>
      </c>
      <c r="L568" s="16">
        <f>IF($I568="","",TEXT(IFERROR(INDEX(tblVeriB[BelgeTarihi],ROW()-ROW(tblVeriB[[#Headers]])),""),"yyyymmdd")&amp;"|"&amp;TEXT(IFERROR(INDEX(tblVeriB[Tutar],ROW()-ROW(tblVeriB[[#Headers]])),0),"0.00"))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 ","")))</f>
        <v/>
      </c>
      <c r="C569" s="16">
        <f>IF($B569="",0,LEN($B569))</f>
        <v/>
      </c>
      <c r="D569" s="16">
        <f>IF($A569="","",TEXT(IFERROR(INDEX(tblVeriA[Tarih],ROW()-ROW(tblVeriA[[#Headers]])),""),"yyyymmdd")&amp;"|"&amp;TEXT(IFERROR(INDEX(tblVeriA[Toplam],ROW()-ROW(tblVeriA[[#Headers]])),0),"0.00"))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 ","")))</f>
        <v/>
      </c>
      <c r="K569" s="16">
        <f>IF($J569="",0,LEN($J569))</f>
        <v/>
      </c>
      <c r="L569" s="16">
        <f>IF($I569="","",TEXT(IFERROR(INDEX(tblVeriB[BelgeTarihi],ROW()-ROW(tblVeriB[[#Headers]])),""),"yyyymmdd")&amp;"|"&amp;TEXT(IFERROR(INDEX(tblVeriB[Tutar],ROW()-ROW(tblVeriB[[#Headers]])),0),"0.00"))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 ","")))</f>
        <v/>
      </c>
      <c r="C570" s="16">
        <f>IF($B570="",0,LEN($B570))</f>
        <v/>
      </c>
      <c r="D570" s="16">
        <f>IF($A570="","",TEXT(IFERROR(INDEX(tblVeriA[Tarih],ROW()-ROW(tblVeriA[[#Headers]])),""),"yyyymmdd")&amp;"|"&amp;TEXT(IFERROR(INDEX(tblVeriA[Toplam],ROW()-ROW(tblVeriA[[#Headers]])),0),"0.00"))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 ","")))</f>
        <v/>
      </c>
      <c r="K570" s="16">
        <f>IF($J570="",0,LEN($J570))</f>
        <v/>
      </c>
      <c r="L570" s="16">
        <f>IF($I570="","",TEXT(IFERROR(INDEX(tblVeriB[BelgeTarihi],ROW()-ROW(tblVeriB[[#Headers]])),""),"yyyymmdd")&amp;"|"&amp;TEXT(IFERROR(INDEX(tblVeriB[Tutar],ROW()-ROW(tblVeriB[[#Headers]])),0),"0.00"))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 ","")))</f>
        <v/>
      </c>
      <c r="C571" s="16">
        <f>IF($B571="",0,LEN($B571))</f>
        <v/>
      </c>
      <c r="D571" s="16">
        <f>IF($A571="","",TEXT(IFERROR(INDEX(tblVeriA[Tarih],ROW()-ROW(tblVeriA[[#Headers]])),""),"yyyymmdd")&amp;"|"&amp;TEXT(IFERROR(INDEX(tblVeriA[Toplam],ROW()-ROW(tblVeriA[[#Headers]])),0),"0.00"))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 ","")))</f>
        <v/>
      </c>
      <c r="K571" s="16">
        <f>IF($J571="",0,LEN($J571))</f>
        <v/>
      </c>
      <c r="L571" s="16">
        <f>IF($I571="","",TEXT(IFERROR(INDEX(tblVeriB[BelgeTarihi],ROW()-ROW(tblVeriB[[#Headers]])),""),"yyyymmdd")&amp;"|"&amp;TEXT(IFERROR(INDEX(tblVeriB[Tutar],ROW()-ROW(tblVeriB[[#Headers]])),0),"0.00"))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 ","")))</f>
        <v/>
      </c>
      <c r="C572" s="16">
        <f>IF($B572="",0,LEN($B572))</f>
        <v/>
      </c>
      <c r="D572" s="16">
        <f>IF($A572="","",TEXT(IFERROR(INDEX(tblVeriA[Tarih],ROW()-ROW(tblVeriA[[#Headers]])),""),"yyyymmdd")&amp;"|"&amp;TEXT(IFERROR(INDEX(tblVeriA[Toplam],ROW()-ROW(tblVeriA[[#Headers]])),0),"0.00"))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 ","")))</f>
        <v/>
      </c>
      <c r="K572" s="16">
        <f>IF($J572="",0,LEN($J572))</f>
        <v/>
      </c>
      <c r="L572" s="16">
        <f>IF($I572="","",TEXT(IFERROR(INDEX(tblVeriB[BelgeTarihi],ROW()-ROW(tblVeriB[[#Headers]])),""),"yyyymmdd")&amp;"|"&amp;TEXT(IFERROR(INDEX(tblVeriB[Tutar],ROW()-ROW(tblVeriB[[#Headers]])),0),"0.00"))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 ","")))</f>
        <v/>
      </c>
      <c r="C573" s="16">
        <f>IF($B573="",0,LEN($B573))</f>
        <v/>
      </c>
      <c r="D573" s="16">
        <f>IF($A573="","",TEXT(IFERROR(INDEX(tblVeriA[Tarih],ROW()-ROW(tblVeriA[[#Headers]])),""),"yyyymmdd")&amp;"|"&amp;TEXT(IFERROR(INDEX(tblVeriA[Toplam],ROW()-ROW(tblVeriA[[#Headers]])),0),"0.00"))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 ","")))</f>
        <v/>
      </c>
      <c r="K573" s="16">
        <f>IF($J573="",0,LEN($J573))</f>
        <v/>
      </c>
      <c r="L573" s="16">
        <f>IF($I573="","",TEXT(IFERROR(INDEX(tblVeriB[BelgeTarihi],ROW()-ROW(tblVeriB[[#Headers]])),""),"yyyymmdd")&amp;"|"&amp;TEXT(IFERROR(INDEX(tblVeriB[Tutar],ROW()-ROW(tblVeriB[[#Headers]])),0),"0.00"))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 ","")))</f>
        <v/>
      </c>
      <c r="C574" s="16">
        <f>IF($B574="",0,LEN($B574))</f>
        <v/>
      </c>
      <c r="D574" s="16">
        <f>IF($A574="","",TEXT(IFERROR(INDEX(tblVeriA[Tarih],ROW()-ROW(tblVeriA[[#Headers]])),""),"yyyymmdd")&amp;"|"&amp;TEXT(IFERROR(INDEX(tblVeriA[Toplam],ROW()-ROW(tblVeriA[[#Headers]])),0),"0.00"))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 ","")))</f>
        <v/>
      </c>
      <c r="K574" s="16">
        <f>IF($J574="",0,LEN($J574))</f>
        <v/>
      </c>
      <c r="L574" s="16">
        <f>IF($I574="","",TEXT(IFERROR(INDEX(tblVeriB[BelgeTarihi],ROW()-ROW(tblVeriB[[#Headers]])),""),"yyyymmdd")&amp;"|"&amp;TEXT(IFERROR(INDEX(tblVeriB[Tutar],ROW()-ROW(tblVeriB[[#Headers]])),0),"0.00"))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 ","")))</f>
        <v/>
      </c>
      <c r="C575" s="16">
        <f>IF($B575="",0,LEN($B575))</f>
        <v/>
      </c>
      <c r="D575" s="16">
        <f>IF($A575="","",TEXT(IFERROR(INDEX(tblVeriA[Tarih],ROW()-ROW(tblVeriA[[#Headers]])),""),"yyyymmdd")&amp;"|"&amp;TEXT(IFERROR(INDEX(tblVeriA[Toplam],ROW()-ROW(tblVeriA[[#Headers]])),0),"0.00"))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 ","")))</f>
        <v/>
      </c>
      <c r="K575" s="16">
        <f>IF($J575="",0,LEN($J575))</f>
        <v/>
      </c>
      <c r="L575" s="16">
        <f>IF($I575="","",TEXT(IFERROR(INDEX(tblVeriB[BelgeTarihi],ROW()-ROW(tblVeriB[[#Headers]])),""),"yyyymmdd")&amp;"|"&amp;TEXT(IFERROR(INDEX(tblVeriB[Tutar],ROW()-ROW(tblVeriB[[#Headers]])),0),"0.00"))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 ","")))</f>
        <v/>
      </c>
      <c r="C576" s="16">
        <f>IF($B576="",0,LEN($B576))</f>
        <v/>
      </c>
      <c r="D576" s="16">
        <f>IF($A576="","",TEXT(IFERROR(INDEX(tblVeriA[Tarih],ROW()-ROW(tblVeriA[[#Headers]])),""),"yyyymmdd")&amp;"|"&amp;TEXT(IFERROR(INDEX(tblVeriA[Toplam],ROW()-ROW(tblVeriA[[#Headers]])),0),"0.00"))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 ","")))</f>
        <v/>
      </c>
      <c r="K576" s="16">
        <f>IF($J576="",0,LEN($J576))</f>
        <v/>
      </c>
      <c r="L576" s="16">
        <f>IF($I576="","",TEXT(IFERROR(INDEX(tblVeriB[BelgeTarihi],ROW()-ROW(tblVeriB[[#Headers]])),""),"yyyymmdd")&amp;"|"&amp;TEXT(IFERROR(INDEX(tblVeriB[Tutar],ROW()-ROW(tblVeriB[[#Headers]])),0),"0.00"))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 ","")))</f>
        <v/>
      </c>
      <c r="C577" s="16">
        <f>IF($B577="",0,LEN($B577))</f>
        <v/>
      </c>
      <c r="D577" s="16">
        <f>IF($A577="","",TEXT(IFERROR(INDEX(tblVeriA[Tarih],ROW()-ROW(tblVeriA[[#Headers]])),""),"yyyymmdd")&amp;"|"&amp;TEXT(IFERROR(INDEX(tblVeriA[Toplam],ROW()-ROW(tblVeriA[[#Headers]])),0),"0.00"))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 ","")))</f>
        <v/>
      </c>
      <c r="K577" s="16">
        <f>IF($J577="",0,LEN($J577))</f>
        <v/>
      </c>
      <c r="L577" s="16">
        <f>IF($I577="","",TEXT(IFERROR(INDEX(tblVeriB[BelgeTarihi],ROW()-ROW(tblVeriB[[#Headers]])),""),"yyyymmdd")&amp;"|"&amp;TEXT(IFERROR(INDEX(tblVeriB[Tutar],ROW()-ROW(tblVeriB[[#Headers]])),0),"0.00"))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 ","")))</f>
        <v/>
      </c>
      <c r="C578" s="16">
        <f>IF($B578="",0,LEN($B578))</f>
        <v/>
      </c>
      <c r="D578" s="16">
        <f>IF($A578="","",TEXT(IFERROR(INDEX(tblVeriA[Tarih],ROW()-ROW(tblVeriA[[#Headers]])),""),"yyyymmdd")&amp;"|"&amp;TEXT(IFERROR(INDEX(tblVeriA[Toplam],ROW()-ROW(tblVeriA[[#Headers]])),0),"0.00"))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 ","")))</f>
        <v/>
      </c>
      <c r="K578" s="16">
        <f>IF($J578="",0,LEN($J578))</f>
        <v/>
      </c>
      <c r="L578" s="16">
        <f>IF($I578="","",TEXT(IFERROR(INDEX(tblVeriB[BelgeTarihi],ROW()-ROW(tblVeriB[[#Headers]])),""),"yyyymmdd")&amp;"|"&amp;TEXT(IFERROR(INDEX(tblVeriB[Tutar],ROW()-ROW(tblVeriB[[#Headers]])),0),"0.00"))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 ","")))</f>
        <v/>
      </c>
      <c r="C579" s="16">
        <f>IF($B579="",0,LEN($B579))</f>
        <v/>
      </c>
      <c r="D579" s="16">
        <f>IF($A579="","",TEXT(IFERROR(INDEX(tblVeriA[Tarih],ROW()-ROW(tblVeriA[[#Headers]])),""),"yyyymmdd")&amp;"|"&amp;TEXT(IFERROR(INDEX(tblVeriA[Toplam],ROW()-ROW(tblVeriA[[#Headers]])),0),"0.00"))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 ","")))</f>
        <v/>
      </c>
      <c r="K579" s="16">
        <f>IF($J579="",0,LEN($J579))</f>
        <v/>
      </c>
      <c r="L579" s="16">
        <f>IF($I579="","",TEXT(IFERROR(INDEX(tblVeriB[BelgeTarihi],ROW()-ROW(tblVeriB[[#Headers]])),""),"yyyymmdd")&amp;"|"&amp;TEXT(IFERROR(INDEX(tblVeriB[Tutar],ROW()-ROW(tblVeriB[[#Headers]])),0),"0.00"))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 ","")))</f>
        <v/>
      </c>
      <c r="C580" s="16">
        <f>IF($B580="",0,LEN($B580))</f>
        <v/>
      </c>
      <c r="D580" s="16">
        <f>IF($A580="","",TEXT(IFERROR(INDEX(tblVeriA[Tarih],ROW()-ROW(tblVeriA[[#Headers]])),""),"yyyymmdd")&amp;"|"&amp;TEXT(IFERROR(INDEX(tblVeriA[Toplam],ROW()-ROW(tblVeriA[[#Headers]])),0),"0.00"))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 ","")))</f>
        <v/>
      </c>
      <c r="K580" s="16">
        <f>IF($J580="",0,LEN($J580))</f>
        <v/>
      </c>
      <c r="L580" s="16">
        <f>IF($I580="","",TEXT(IFERROR(INDEX(tblVeriB[BelgeTarihi],ROW()-ROW(tblVeriB[[#Headers]])),""),"yyyymmdd")&amp;"|"&amp;TEXT(IFERROR(INDEX(tblVeriB[Tutar],ROW()-ROW(tblVeriB[[#Headers]])),0),"0.00"))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 ","")))</f>
        <v/>
      </c>
      <c r="C581" s="16">
        <f>IF($B581="",0,LEN($B581))</f>
        <v/>
      </c>
      <c r="D581" s="16">
        <f>IF($A581="","",TEXT(IFERROR(INDEX(tblVeriA[Tarih],ROW()-ROW(tblVeriA[[#Headers]])),""),"yyyymmdd")&amp;"|"&amp;TEXT(IFERROR(INDEX(tblVeriA[Toplam],ROW()-ROW(tblVeriA[[#Headers]])),0),"0.00"))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 ","")))</f>
        <v/>
      </c>
      <c r="K581" s="16">
        <f>IF($J581="",0,LEN($J581))</f>
        <v/>
      </c>
      <c r="L581" s="16">
        <f>IF($I581="","",TEXT(IFERROR(INDEX(tblVeriB[BelgeTarihi],ROW()-ROW(tblVeriB[[#Headers]])),""),"yyyymmdd")&amp;"|"&amp;TEXT(IFERROR(INDEX(tblVeriB[Tutar],ROW()-ROW(tblVeriB[[#Headers]])),0),"0.00"))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 ","")))</f>
        <v/>
      </c>
      <c r="C582" s="16">
        <f>IF($B582="",0,LEN($B582))</f>
        <v/>
      </c>
      <c r="D582" s="16">
        <f>IF($A582="","",TEXT(IFERROR(INDEX(tblVeriA[Tarih],ROW()-ROW(tblVeriA[[#Headers]])),""),"yyyymmdd")&amp;"|"&amp;TEXT(IFERROR(INDEX(tblVeriA[Toplam],ROW()-ROW(tblVeriA[[#Headers]])),0),"0.00"))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 ","")))</f>
        <v/>
      </c>
      <c r="K582" s="16">
        <f>IF($J582="",0,LEN($J582))</f>
        <v/>
      </c>
      <c r="L582" s="16">
        <f>IF($I582="","",TEXT(IFERROR(INDEX(tblVeriB[BelgeTarihi],ROW()-ROW(tblVeriB[[#Headers]])),""),"yyyymmdd")&amp;"|"&amp;TEXT(IFERROR(INDEX(tblVeriB[Tutar],ROW()-ROW(tblVeriB[[#Headers]])),0),"0.00"))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 ","")))</f>
        <v/>
      </c>
      <c r="C583" s="16">
        <f>IF($B583="",0,LEN($B583))</f>
        <v/>
      </c>
      <c r="D583" s="16">
        <f>IF($A583="","",TEXT(IFERROR(INDEX(tblVeriA[Tarih],ROW()-ROW(tblVeriA[[#Headers]])),""),"yyyymmdd")&amp;"|"&amp;TEXT(IFERROR(INDEX(tblVeriA[Toplam],ROW()-ROW(tblVeriA[[#Headers]])),0),"0.00"))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 ","")))</f>
        <v/>
      </c>
      <c r="K583" s="16">
        <f>IF($J583="",0,LEN($J583))</f>
        <v/>
      </c>
      <c r="L583" s="16">
        <f>IF($I583="","",TEXT(IFERROR(INDEX(tblVeriB[BelgeTarihi],ROW()-ROW(tblVeriB[[#Headers]])),""),"yyyymmdd")&amp;"|"&amp;TEXT(IFERROR(INDEX(tblVeriB[Tutar],ROW()-ROW(tblVeriB[[#Headers]])),0),"0.00"))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 ","")))</f>
        <v/>
      </c>
      <c r="C584" s="16">
        <f>IF($B584="",0,LEN($B584))</f>
        <v/>
      </c>
      <c r="D584" s="16">
        <f>IF($A584="","",TEXT(IFERROR(INDEX(tblVeriA[Tarih],ROW()-ROW(tblVeriA[[#Headers]])),""),"yyyymmdd")&amp;"|"&amp;TEXT(IFERROR(INDEX(tblVeriA[Toplam],ROW()-ROW(tblVeriA[[#Headers]])),0),"0.00"))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 ","")))</f>
        <v/>
      </c>
      <c r="K584" s="16">
        <f>IF($J584="",0,LEN($J584))</f>
        <v/>
      </c>
      <c r="L584" s="16">
        <f>IF($I584="","",TEXT(IFERROR(INDEX(tblVeriB[BelgeTarihi],ROW()-ROW(tblVeriB[[#Headers]])),""),"yyyymmdd")&amp;"|"&amp;TEXT(IFERROR(INDEX(tblVeriB[Tutar],ROW()-ROW(tblVeriB[[#Headers]])),0),"0.00"))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 ","")))</f>
        <v/>
      </c>
      <c r="C585" s="16">
        <f>IF($B585="",0,LEN($B585))</f>
        <v/>
      </c>
      <c r="D585" s="16">
        <f>IF($A585="","",TEXT(IFERROR(INDEX(tblVeriA[Tarih],ROW()-ROW(tblVeriA[[#Headers]])),""),"yyyymmdd")&amp;"|"&amp;TEXT(IFERROR(INDEX(tblVeriA[Toplam],ROW()-ROW(tblVeriA[[#Headers]])),0),"0.00"))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 ","")))</f>
        <v/>
      </c>
      <c r="K585" s="16">
        <f>IF($J585="",0,LEN($J585))</f>
        <v/>
      </c>
      <c r="L585" s="16">
        <f>IF($I585="","",TEXT(IFERROR(INDEX(tblVeriB[BelgeTarihi],ROW()-ROW(tblVeriB[[#Headers]])),""),"yyyymmdd")&amp;"|"&amp;TEXT(IFERROR(INDEX(tblVeriB[Tutar],ROW()-ROW(tblVeriB[[#Headers]])),0),"0.00"))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 ","")))</f>
        <v/>
      </c>
      <c r="C586" s="16">
        <f>IF($B586="",0,LEN($B586))</f>
        <v/>
      </c>
      <c r="D586" s="16">
        <f>IF($A586="","",TEXT(IFERROR(INDEX(tblVeriA[Tarih],ROW()-ROW(tblVeriA[[#Headers]])),""),"yyyymmdd")&amp;"|"&amp;TEXT(IFERROR(INDEX(tblVeriA[Toplam],ROW()-ROW(tblVeriA[[#Headers]])),0),"0.00"))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 ","")))</f>
        <v/>
      </c>
      <c r="K586" s="16">
        <f>IF($J586="",0,LEN($J586))</f>
        <v/>
      </c>
      <c r="L586" s="16">
        <f>IF($I586="","",TEXT(IFERROR(INDEX(tblVeriB[BelgeTarihi],ROW()-ROW(tblVeriB[[#Headers]])),""),"yyyymmdd")&amp;"|"&amp;TEXT(IFERROR(INDEX(tblVeriB[Tutar],ROW()-ROW(tblVeriB[[#Headers]])),0),"0.00"))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 ","")))</f>
        <v/>
      </c>
      <c r="C587" s="16">
        <f>IF($B587="",0,LEN($B587))</f>
        <v/>
      </c>
      <c r="D587" s="16">
        <f>IF($A587="","",TEXT(IFERROR(INDEX(tblVeriA[Tarih],ROW()-ROW(tblVeriA[[#Headers]])),""),"yyyymmdd")&amp;"|"&amp;TEXT(IFERROR(INDEX(tblVeriA[Toplam],ROW()-ROW(tblVeriA[[#Headers]])),0),"0.00"))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 ","")))</f>
        <v/>
      </c>
      <c r="K587" s="16">
        <f>IF($J587="",0,LEN($J587))</f>
        <v/>
      </c>
      <c r="L587" s="16">
        <f>IF($I587="","",TEXT(IFERROR(INDEX(tblVeriB[BelgeTarihi],ROW()-ROW(tblVeriB[[#Headers]])),""),"yyyymmdd")&amp;"|"&amp;TEXT(IFERROR(INDEX(tblVeriB[Tutar],ROW()-ROW(tblVeriB[[#Headers]])),0),"0.00"))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 ","")))</f>
        <v/>
      </c>
      <c r="C588" s="16">
        <f>IF($B588="",0,LEN($B588))</f>
        <v/>
      </c>
      <c r="D588" s="16">
        <f>IF($A588="","",TEXT(IFERROR(INDEX(tblVeriA[Tarih],ROW()-ROW(tblVeriA[[#Headers]])),""),"yyyymmdd")&amp;"|"&amp;TEXT(IFERROR(INDEX(tblVeriA[Toplam],ROW()-ROW(tblVeriA[[#Headers]])),0),"0.00"))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 ","")))</f>
        <v/>
      </c>
      <c r="K588" s="16">
        <f>IF($J588="",0,LEN($J588))</f>
        <v/>
      </c>
      <c r="L588" s="16">
        <f>IF($I588="","",TEXT(IFERROR(INDEX(tblVeriB[BelgeTarihi],ROW()-ROW(tblVeriB[[#Headers]])),""),"yyyymmdd")&amp;"|"&amp;TEXT(IFERROR(INDEX(tblVeriB[Tutar],ROW()-ROW(tblVeriB[[#Headers]])),0),"0.00"))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 ","")))</f>
        <v/>
      </c>
      <c r="C589" s="16">
        <f>IF($B589="",0,LEN($B589))</f>
        <v/>
      </c>
      <c r="D589" s="16">
        <f>IF($A589="","",TEXT(IFERROR(INDEX(tblVeriA[Tarih],ROW()-ROW(tblVeriA[[#Headers]])),""),"yyyymmdd")&amp;"|"&amp;TEXT(IFERROR(INDEX(tblVeriA[Toplam],ROW()-ROW(tblVeriA[[#Headers]])),0),"0.00"))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 ","")))</f>
        <v/>
      </c>
      <c r="K589" s="16">
        <f>IF($J589="",0,LEN($J589))</f>
        <v/>
      </c>
      <c r="L589" s="16">
        <f>IF($I589="","",TEXT(IFERROR(INDEX(tblVeriB[BelgeTarihi],ROW()-ROW(tblVeriB[[#Headers]])),""),"yyyymmdd")&amp;"|"&amp;TEXT(IFERROR(INDEX(tblVeriB[Tutar],ROW()-ROW(tblVeriB[[#Headers]])),0),"0.00"))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 ","")))</f>
        <v/>
      </c>
      <c r="C590" s="16">
        <f>IF($B590="",0,LEN($B590))</f>
        <v/>
      </c>
      <c r="D590" s="16">
        <f>IF($A590="","",TEXT(IFERROR(INDEX(tblVeriA[Tarih],ROW()-ROW(tblVeriA[[#Headers]])),""),"yyyymmdd")&amp;"|"&amp;TEXT(IFERROR(INDEX(tblVeriA[Toplam],ROW()-ROW(tblVeriA[[#Headers]])),0),"0.00"))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 ","")))</f>
        <v/>
      </c>
      <c r="K590" s="16">
        <f>IF($J590="",0,LEN($J590))</f>
        <v/>
      </c>
      <c r="L590" s="16">
        <f>IF($I590="","",TEXT(IFERROR(INDEX(tblVeriB[BelgeTarihi],ROW()-ROW(tblVeriB[[#Headers]])),""),"yyyymmdd")&amp;"|"&amp;TEXT(IFERROR(INDEX(tblVeriB[Tutar],ROW()-ROW(tblVeriB[[#Headers]])),0),"0.00"))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 ","")))</f>
        <v/>
      </c>
      <c r="C591" s="16">
        <f>IF($B591="",0,LEN($B591))</f>
        <v/>
      </c>
      <c r="D591" s="16">
        <f>IF($A591="","",TEXT(IFERROR(INDEX(tblVeriA[Tarih],ROW()-ROW(tblVeriA[[#Headers]])),""),"yyyymmdd")&amp;"|"&amp;TEXT(IFERROR(INDEX(tblVeriA[Toplam],ROW()-ROW(tblVeriA[[#Headers]])),0),"0.00"))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 ","")))</f>
        <v/>
      </c>
      <c r="K591" s="16">
        <f>IF($J591="",0,LEN($J591))</f>
        <v/>
      </c>
      <c r="L591" s="16">
        <f>IF($I591="","",TEXT(IFERROR(INDEX(tblVeriB[BelgeTarihi],ROW()-ROW(tblVeriB[[#Headers]])),""),"yyyymmdd")&amp;"|"&amp;TEXT(IFERROR(INDEX(tblVeriB[Tutar],ROW()-ROW(tblVeriB[[#Headers]])),0),"0.00"))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 ","")))</f>
        <v/>
      </c>
      <c r="C592" s="16">
        <f>IF($B592="",0,LEN($B592))</f>
        <v/>
      </c>
      <c r="D592" s="16">
        <f>IF($A592="","",TEXT(IFERROR(INDEX(tblVeriA[Tarih],ROW()-ROW(tblVeriA[[#Headers]])),""),"yyyymmdd")&amp;"|"&amp;TEXT(IFERROR(INDEX(tblVeriA[Toplam],ROW()-ROW(tblVeriA[[#Headers]])),0),"0.00"))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 ","")))</f>
        <v/>
      </c>
      <c r="K592" s="16">
        <f>IF($J592="",0,LEN($J592))</f>
        <v/>
      </c>
      <c r="L592" s="16">
        <f>IF($I592="","",TEXT(IFERROR(INDEX(tblVeriB[BelgeTarihi],ROW()-ROW(tblVeriB[[#Headers]])),""),"yyyymmdd")&amp;"|"&amp;TEXT(IFERROR(INDEX(tblVeriB[Tutar],ROW()-ROW(tblVeriB[[#Headers]])),0),"0.00"))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 ","")))</f>
        <v/>
      </c>
      <c r="C593" s="16">
        <f>IF($B593="",0,LEN($B593))</f>
        <v/>
      </c>
      <c r="D593" s="16">
        <f>IF($A593="","",TEXT(IFERROR(INDEX(tblVeriA[Tarih],ROW()-ROW(tblVeriA[[#Headers]])),""),"yyyymmdd")&amp;"|"&amp;TEXT(IFERROR(INDEX(tblVeriA[Toplam],ROW()-ROW(tblVeriA[[#Headers]])),0),"0.00"))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 ","")))</f>
        <v/>
      </c>
      <c r="K593" s="16">
        <f>IF($J593="",0,LEN($J593))</f>
        <v/>
      </c>
      <c r="L593" s="16">
        <f>IF($I593="","",TEXT(IFERROR(INDEX(tblVeriB[BelgeTarihi],ROW()-ROW(tblVeriB[[#Headers]])),""),"yyyymmdd")&amp;"|"&amp;TEXT(IFERROR(INDEX(tblVeriB[Tutar],ROW()-ROW(tblVeriB[[#Headers]])),0),"0.00"))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 ","")))</f>
        <v/>
      </c>
      <c r="C594" s="16">
        <f>IF($B594="",0,LEN($B594))</f>
        <v/>
      </c>
      <c r="D594" s="16">
        <f>IF($A594="","",TEXT(IFERROR(INDEX(tblVeriA[Tarih],ROW()-ROW(tblVeriA[[#Headers]])),""),"yyyymmdd")&amp;"|"&amp;TEXT(IFERROR(INDEX(tblVeriA[Toplam],ROW()-ROW(tblVeriA[[#Headers]])),0),"0.00"))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 ","")))</f>
        <v/>
      </c>
      <c r="K594" s="16">
        <f>IF($J594="",0,LEN($J594))</f>
        <v/>
      </c>
      <c r="L594" s="16">
        <f>IF($I594="","",TEXT(IFERROR(INDEX(tblVeriB[BelgeTarihi],ROW()-ROW(tblVeriB[[#Headers]])),""),"yyyymmdd")&amp;"|"&amp;TEXT(IFERROR(INDEX(tblVeriB[Tutar],ROW()-ROW(tblVeriB[[#Headers]])),0),"0.00"))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 ","")))</f>
        <v/>
      </c>
      <c r="C595" s="16">
        <f>IF($B595="",0,LEN($B595))</f>
        <v/>
      </c>
      <c r="D595" s="16">
        <f>IF($A595="","",TEXT(IFERROR(INDEX(tblVeriA[Tarih],ROW()-ROW(tblVeriA[[#Headers]])),""),"yyyymmdd")&amp;"|"&amp;TEXT(IFERROR(INDEX(tblVeriA[Toplam],ROW()-ROW(tblVeriA[[#Headers]])),0),"0.00"))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 ","")))</f>
        <v/>
      </c>
      <c r="K595" s="16">
        <f>IF($J595="",0,LEN($J595))</f>
        <v/>
      </c>
      <c r="L595" s="16">
        <f>IF($I595="","",TEXT(IFERROR(INDEX(tblVeriB[BelgeTarihi],ROW()-ROW(tblVeriB[[#Headers]])),""),"yyyymmdd")&amp;"|"&amp;TEXT(IFERROR(INDEX(tblVeriB[Tutar],ROW()-ROW(tblVeriB[[#Headers]])),0),"0.00"))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 ","")))</f>
        <v/>
      </c>
      <c r="C596" s="16">
        <f>IF($B596="",0,LEN($B596))</f>
        <v/>
      </c>
      <c r="D596" s="16">
        <f>IF($A596="","",TEXT(IFERROR(INDEX(tblVeriA[Tarih],ROW()-ROW(tblVeriA[[#Headers]])),""),"yyyymmdd")&amp;"|"&amp;TEXT(IFERROR(INDEX(tblVeriA[Toplam],ROW()-ROW(tblVeriA[[#Headers]])),0),"0.00"))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 ","")))</f>
        <v/>
      </c>
      <c r="K596" s="16">
        <f>IF($J596="",0,LEN($J596))</f>
        <v/>
      </c>
      <c r="L596" s="16">
        <f>IF($I596="","",TEXT(IFERROR(INDEX(tblVeriB[BelgeTarihi],ROW()-ROW(tblVeriB[[#Headers]])),""),"yyyymmdd")&amp;"|"&amp;TEXT(IFERROR(INDEX(tblVeriB[Tutar],ROW()-ROW(tblVeriB[[#Headers]])),0),"0.00"))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 ","")))</f>
        <v/>
      </c>
      <c r="C597" s="16">
        <f>IF($B597="",0,LEN($B597))</f>
        <v/>
      </c>
      <c r="D597" s="16">
        <f>IF($A597="","",TEXT(IFERROR(INDEX(tblVeriA[Tarih],ROW()-ROW(tblVeriA[[#Headers]])),""),"yyyymmdd")&amp;"|"&amp;TEXT(IFERROR(INDEX(tblVeriA[Toplam],ROW()-ROW(tblVeriA[[#Headers]])),0),"0.00"))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 ","")))</f>
        <v/>
      </c>
      <c r="K597" s="16">
        <f>IF($J597="",0,LEN($J597))</f>
        <v/>
      </c>
      <c r="L597" s="16">
        <f>IF($I597="","",TEXT(IFERROR(INDEX(tblVeriB[BelgeTarihi],ROW()-ROW(tblVeriB[[#Headers]])),""),"yyyymmdd")&amp;"|"&amp;TEXT(IFERROR(INDEX(tblVeriB[Tutar],ROW()-ROW(tblVeriB[[#Headers]])),0),"0.00"))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 ","")))</f>
        <v/>
      </c>
      <c r="C598" s="16">
        <f>IF($B598="",0,LEN($B598))</f>
        <v/>
      </c>
      <c r="D598" s="16">
        <f>IF($A598="","",TEXT(IFERROR(INDEX(tblVeriA[Tarih],ROW()-ROW(tblVeriA[[#Headers]])),""),"yyyymmdd")&amp;"|"&amp;TEXT(IFERROR(INDEX(tblVeriA[Toplam],ROW()-ROW(tblVeriA[[#Headers]])),0),"0.00"))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 ","")))</f>
        <v/>
      </c>
      <c r="K598" s="16">
        <f>IF($J598="",0,LEN($J598))</f>
        <v/>
      </c>
      <c r="L598" s="16">
        <f>IF($I598="","",TEXT(IFERROR(INDEX(tblVeriB[BelgeTarihi],ROW()-ROW(tblVeriB[[#Headers]])),""),"yyyymmdd")&amp;"|"&amp;TEXT(IFERROR(INDEX(tblVeriB[Tutar],ROW()-ROW(tblVeriB[[#Headers]])),0),"0.00"))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 ","")))</f>
        <v/>
      </c>
      <c r="C599" s="16">
        <f>IF($B599="",0,LEN($B599))</f>
        <v/>
      </c>
      <c r="D599" s="16">
        <f>IF($A599="","",TEXT(IFERROR(INDEX(tblVeriA[Tarih],ROW()-ROW(tblVeriA[[#Headers]])),""),"yyyymmdd")&amp;"|"&amp;TEXT(IFERROR(INDEX(tblVeriA[Toplam],ROW()-ROW(tblVeriA[[#Headers]])),0),"0.00"))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 ","")))</f>
        <v/>
      </c>
      <c r="K599" s="16">
        <f>IF($J599="",0,LEN($J599))</f>
        <v/>
      </c>
      <c r="L599" s="16">
        <f>IF($I599="","",TEXT(IFERROR(INDEX(tblVeriB[BelgeTarihi],ROW()-ROW(tblVeriB[[#Headers]])),""),"yyyymmdd")&amp;"|"&amp;TEXT(IFERROR(INDEX(tblVeriB[Tutar],ROW()-ROW(tblVeriB[[#Headers]])),0),"0.00"))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 ","")))</f>
        <v/>
      </c>
      <c r="C600" s="16">
        <f>IF($B600="",0,LEN($B600))</f>
        <v/>
      </c>
      <c r="D600" s="16">
        <f>IF($A600="","",TEXT(IFERROR(INDEX(tblVeriA[Tarih],ROW()-ROW(tblVeriA[[#Headers]])),""),"yyyymmdd")&amp;"|"&amp;TEXT(IFERROR(INDEX(tblVeriA[Toplam],ROW()-ROW(tblVeriA[[#Headers]])),0),"0.00"))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 ","")))</f>
        <v/>
      </c>
      <c r="K600" s="16">
        <f>IF($J600="",0,LEN($J600))</f>
        <v/>
      </c>
      <c r="L600" s="16">
        <f>IF($I600="","",TEXT(IFERROR(INDEX(tblVeriB[BelgeTarihi],ROW()-ROW(tblVeriB[[#Headers]])),""),"yyyymmdd")&amp;"|"&amp;TEXT(IFERROR(INDEX(tblVeriB[Tutar],ROW()-ROW(tblVeriB[[#Headers]])),0),"0.00"))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 ","")))</f>
        <v/>
      </c>
      <c r="C601" s="16">
        <f>IF($B601="",0,LEN($B601))</f>
        <v/>
      </c>
      <c r="D601" s="16">
        <f>IF($A601="","",TEXT(IFERROR(INDEX(tblVeriA[Tarih],ROW()-ROW(tblVeriA[[#Headers]])),""),"yyyymmdd")&amp;"|"&amp;TEXT(IFERROR(INDEX(tblVeriA[Toplam],ROW()-ROW(tblVeriA[[#Headers]])),0),"0.00"))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 ","")))</f>
        <v/>
      </c>
      <c r="K601" s="16">
        <f>IF($J601="",0,LEN($J601))</f>
        <v/>
      </c>
      <c r="L601" s="16">
        <f>IF($I601="","",TEXT(IFERROR(INDEX(tblVeriB[BelgeTarihi],ROW()-ROW(tblVeriB[[#Headers]])),""),"yyyymmdd")&amp;"|"&amp;TEXT(IFERROR(INDEX(tblVeriB[Tutar],ROW()-ROW(tblVeriB[[#Headers]])),0),"0.00"))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 ","")))</f>
        <v/>
      </c>
      <c r="C602" s="16">
        <f>IF($B602="",0,LEN($B602))</f>
        <v/>
      </c>
      <c r="D602" s="16">
        <f>IF($A602="","",TEXT(IFERROR(INDEX(tblVeriA[Tarih],ROW()-ROW(tblVeriA[[#Headers]])),""),"yyyymmdd")&amp;"|"&amp;TEXT(IFERROR(INDEX(tblVeriA[Toplam],ROW()-ROW(tblVeriA[[#Headers]])),0),"0.00"))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 ","")))</f>
        <v/>
      </c>
      <c r="K602" s="16">
        <f>IF($J602="",0,LEN($J602))</f>
        <v/>
      </c>
      <c r="L602" s="16">
        <f>IF($I602="","",TEXT(IFERROR(INDEX(tblVeriB[BelgeTarihi],ROW()-ROW(tblVeriB[[#Headers]])),""),"yyyymmdd")&amp;"|"&amp;TEXT(IFERROR(INDEX(tblVeriB[Tutar],ROW()-ROW(tblVeriB[[#Headers]])),0),"0.00"))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 ","")))</f>
        <v/>
      </c>
      <c r="C603" s="16">
        <f>IF($B603="",0,LEN($B603))</f>
        <v/>
      </c>
      <c r="D603" s="16">
        <f>IF($A603="","",TEXT(IFERROR(INDEX(tblVeriA[Tarih],ROW()-ROW(tblVeriA[[#Headers]])),""),"yyyymmdd")&amp;"|"&amp;TEXT(IFERROR(INDEX(tblVeriA[Toplam],ROW()-ROW(tblVeriA[[#Headers]])),0),"0.00"))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 ","")))</f>
        <v/>
      </c>
      <c r="K603" s="16">
        <f>IF($J603="",0,LEN($J603))</f>
        <v/>
      </c>
      <c r="L603" s="16">
        <f>IF($I603="","",TEXT(IFERROR(INDEX(tblVeriB[BelgeTarihi],ROW()-ROW(tblVeriB[[#Headers]])),""),"yyyymmdd")&amp;"|"&amp;TEXT(IFERROR(INDEX(tblVeriB[Tutar],ROW()-ROW(tblVeriB[[#Headers]])),0),"0.00"))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 ","")))</f>
        <v/>
      </c>
      <c r="C604" s="16">
        <f>IF($B604="",0,LEN($B604))</f>
        <v/>
      </c>
      <c r="D604" s="16">
        <f>IF($A604="","",TEXT(IFERROR(INDEX(tblVeriA[Tarih],ROW()-ROW(tblVeriA[[#Headers]])),""),"yyyymmdd")&amp;"|"&amp;TEXT(IFERROR(INDEX(tblVeriA[Toplam],ROW()-ROW(tblVeriA[[#Headers]])),0),"0.00"))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 ","")))</f>
        <v/>
      </c>
      <c r="K604" s="16">
        <f>IF($J604="",0,LEN($J604))</f>
        <v/>
      </c>
      <c r="L604" s="16">
        <f>IF($I604="","",TEXT(IFERROR(INDEX(tblVeriB[BelgeTarihi],ROW()-ROW(tblVeriB[[#Headers]])),""),"yyyymmdd")&amp;"|"&amp;TEXT(IFERROR(INDEX(tblVeriB[Tutar],ROW()-ROW(tblVeriB[[#Headers]])),0),"0.00"))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 ","")))</f>
        <v/>
      </c>
      <c r="C605" s="16">
        <f>IF($B605="",0,LEN($B605))</f>
        <v/>
      </c>
      <c r="D605" s="16">
        <f>IF($A605="","",TEXT(IFERROR(INDEX(tblVeriA[Tarih],ROW()-ROW(tblVeriA[[#Headers]])),""),"yyyymmdd")&amp;"|"&amp;TEXT(IFERROR(INDEX(tblVeriA[Toplam],ROW()-ROW(tblVeriA[[#Headers]])),0),"0.00"))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 ","")))</f>
        <v/>
      </c>
      <c r="K605" s="16">
        <f>IF($J605="",0,LEN($J605))</f>
        <v/>
      </c>
      <c r="L605" s="16">
        <f>IF($I605="","",TEXT(IFERROR(INDEX(tblVeriB[BelgeTarihi],ROW()-ROW(tblVeriB[[#Headers]])),""),"yyyymmdd")&amp;"|"&amp;TEXT(IFERROR(INDEX(tblVeriB[Tutar],ROW()-ROW(tblVeriB[[#Headers]])),0),"0.00"))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 ","")))</f>
        <v/>
      </c>
      <c r="C606" s="16">
        <f>IF($B606="",0,LEN($B606))</f>
        <v/>
      </c>
      <c r="D606" s="16">
        <f>IF($A606="","",TEXT(IFERROR(INDEX(tblVeriA[Tarih],ROW()-ROW(tblVeriA[[#Headers]])),""),"yyyymmdd")&amp;"|"&amp;TEXT(IFERROR(INDEX(tblVeriA[Toplam],ROW()-ROW(tblVeriA[[#Headers]])),0),"0.00"))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 ","")))</f>
        <v/>
      </c>
      <c r="K606" s="16">
        <f>IF($J606="",0,LEN($J606))</f>
        <v/>
      </c>
      <c r="L606" s="16">
        <f>IF($I606="","",TEXT(IFERROR(INDEX(tblVeriB[BelgeTarihi],ROW()-ROW(tblVeriB[[#Headers]])),""),"yyyymmdd")&amp;"|"&amp;TEXT(IFERROR(INDEX(tblVeriB[Tutar],ROW()-ROW(tblVeriB[[#Headers]])),0),"0.00"))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 ","")))</f>
        <v/>
      </c>
      <c r="C607" s="16">
        <f>IF($B607="",0,LEN($B607))</f>
        <v/>
      </c>
      <c r="D607" s="16">
        <f>IF($A607="","",TEXT(IFERROR(INDEX(tblVeriA[Tarih],ROW()-ROW(tblVeriA[[#Headers]])),""),"yyyymmdd")&amp;"|"&amp;TEXT(IFERROR(INDEX(tblVeriA[Toplam],ROW()-ROW(tblVeriA[[#Headers]])),0),"0.00"))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 ","")))</f>
        <v/>
      </c>
      <c r="K607" s="16">
        <f>IF($J607="",0,LEN($J607))</f>
        <v/>
      </c>
      <c r="L607" s="16">
        <f>IF($I607="","",TEXT(IFERROR(INDEX(tblVeriB[BelgeTarihi],ROW()-ROW(tblVeriB[[#Headers]])),""),"yyyymmdd")&amp;"|"&amp;TEXT(IFERROR(INDEX(tblVeriB[Tutar],ROW()-ROW(tblVeriB[[#Headers]])),0),"0.00"))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 ","")))</f>
        <v/>
      </c>
      <c r="C608" s="16">
        <f>IF($B608="",0,LEN($B608))</f>
        <v/>
      </c>
      <c r="D608" s="16">
        <f>IF($A608="","",TEXT(IFERROR(INDEX(tblVeriA[Tarih],ROW()-ROW(tblVeriA[[#Headers]])),""),"yyyymmdd")&amp;"|"&amp;TEXT(IFERROR(INDEX(tblVeriA[Toplam],ROW()-ROW(tblVeriA[[#Headers]])),0),"0.00"))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 ","")))</f>
        <v/>
      </c>
      <c r="K608" s="16">
        <f>IF($J608="",0,LEN($J608))</f>
        <v/>
      </c>
      <c r="L608" s="16">
        <f>IF($I608="","",TEXT(IFERROR(INDEX(tblVeriB[BelgeTarihi],ROW()-ROW(tblVeriB[[#Headers]])),""),"yyyymmdd")&amp;"|"&amp;TEXT(IFERROR(INDEX(tblVeriB[Tutar],ROW()-ROW(tblVeriB[[#Headers]])),0),"0.00"))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 ","")))</f>
        <v/>
      </c>
      <c r="C609" s="16">
        <f>IF($B609="",0,LEN($B609))</f>
        <v/>
      </c>
      <c r="D609" s="16">
        <f>IF($A609="","",TEXT(IFERROR(INDEX(tblVeriA[Tarih],ROW()-ROW(tblVeriA[[#Headers]])),""),"yyyymmdd")&amp;"|"&amp;TEXT(IFERROR(INDEX(tblVeriA[Toplam],ROW()-ROW(tblVeriA[[#Headers]])),0),"0.00"))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 ","")))</f>
        <v/>
      </c>
      <c r="K609" s="16">
        <f>IF($J609="",0,LEN($J609))</f>
        <v/>
      </c>
      <c r="L609" s="16">
        <f>IF($I609="","",TEXT(IFERROR(INDEX(tblVeriB[BelgeTarihi],ROW()-ROW(tblVeriB[[#Headers]])),""),"yyyymmdd")&amp;"|"&amp;TEXT(IFERROR(INDEX(tblVeriB[Tutar],ROW()-ROW(tblVeriB[[#Headers]])),0),"0.00"))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 ","")))</f>
        <v/>
      </c>
      <c r="C610" s="16">
        <f>IF($B610="",0,LEN($B610))</f>
        <v/>
      </c>
      <c r="D610" s="16">
        <f>IF($A610="","",TEXT(IFERROR(INDEX(tblVeriA[Tarih],ROW()-ROW(tblVeriA[[#Headers]])),""),"yyyymmdd")&amp;"|"&amp;TEXT(IFERROR(INDEX(tblVeriA[Toplam],ROW()-ROW(tblVeriA[[#Headers]])),0),"0.00"))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 ","")))</f>
        <v/>
      </c>
      <c r="K610" s="16">
        <f>IF($J610="",0,LEN($J610))</f>
        <v/>
      </c>
      <c r="L610" s="16">
        <f>IF($I610="","",TEXT(IFERROR(INDEX(tblVeriB[BelgeTarihi],ROW()-ROW(tblVeriB[[#Headers]])),""),"yyyymmdd")&amp;"|"&amp;TEXT(IFERROR(INDEX(tblVeriB[Tutar],ROW()-ROW(tblVeriB[[#Headers]])),0),"0.00"))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 ","")))</f>
        <v/>
      </c>
      <c r="C611" s="16">
        <f>IF($B611="",0,LEN($B611))</f>
        <v/>
      </c>
      <c r="D611" s="16">
        <f>IF($A611="","",TEXT(IFERROR(INDEX(tblVeriA[Tarih],ROW()-ROW(tblVeriA[[#Headers]])),""),"yyyymmdd")&amp;"|"&amp;TEXT(IFERROR(INDEX(tblVeriA[Toplam],ROW()-ROW(tblVeriA[[#Headers]])),0),"0.00"))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 ","")))</f>
        <v/>
      </c>
      <c r="K611" s="16">
        <f>IF($J611="",0,LEN($J611))</f>
        <v/>
      </c>
      <c r="L611" s="16">
        <f>IF($I611="","",TEXT(IFERROR(INDEX(tblVeriB[BelgeTarihi],ROW()-ROW(tblVeriB[[#Headers]])),""),"yyyymmdd")&amp;"|"&amp;TEXT(IFERROR(INDEX(tblVeriB[Tutar],ROW()-ROW(tblVeriB[[#Headers]])),0),"0.00"))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 ","")))</f>
        <v/>
      </c>
      <c r="C612" s="16">
        <f>IF($B612="",0,LEN($B612))</f>
        <v/>
      </c>
      <c r="D612" s="16">
        <f>IF($A612="","",TEXT(IFERROR(INDEX(tblVeriA[Tarih],ROW()-ROW(tblVeriA[[#Headers]])),""),"yyyymmdd")&amp;"|"&amp;TEXT(IFERROR(INDEX(tblVeriA[Toplam],ROW()-ROW(tblVeriA[[#Headers]])),0),"0.00"))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 ","")))</f>
        <v/>
      </c>
      <c r="K612" s="16">
        <f>IF($J612="",0,LEN($J612))</f>
        <v/>
      </c>
      <c r="L612" s="16">
        <f>IF($I612="","",TEXT(IFERROR(INDEX(tblVeriB[BelgeTarihi],ROW()-ROW(tblVeriB[[#Headers]])),""),"yyyymmdd")&amp;"|"&amp;TEXT(IFERROR(INDEX(tblVeriB[Tutar],ROW()-ROW(tblVeriB[[#Headers]])),0),"0.00"))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 ","")))</f>
        <v/>
      </c>
      <c r="C613" s="16">
        <f>IF($B613="",0,LEN($B613))</f>
        <v/>
      </c>
      <c r="D613" s="16">
        <f>IF($A613="","",TEXT(IFERROR(INDEX(tblVeriA[Tarih],ROW()-ROW(tblVeriA[[#Headers]])),""),"yyyymmdd")&amp;"|"&amp;TEXT(IFERROR(INDEX(tblVeriA[Toplam],ROW()-ROW(tblVeriA[[#Headers]])),0),"0.00"))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 ","")))</f>
        <v/>
      </c>
      <c r="K613" s="16">
        <f>IF($J613="",0,LEN($J613))</f>
        <v/>
      </c>
      <c r="L613" s="16">
        <f>IF($I613="","",TEXT(IFERROR(INDEX(tblVeriB[BelgeTarihi],ROW()-ROW(tblVeriB[[#Headers]])),""),"yyyymmdd")&amp;"|"&amp;TEXT(IFERROR(INDEX(tblVeriB[Tutar],ROW()-ROW(tblVeriB[[#Headers]])),0),"0.00"))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 ","")))</f>
        <v/>
      </c>
      <c r="C614" s="16">
        <f>IF($B614="",0,LEN($B614))</f>
        <v/>
      </c>
      <c r="D614" s="16">
        <f>IF($A614="","",TEXT(IFERROR(INDEX(tblVeriA[Tarih],ROW()-ROW(tblVeriA[[#Headers]])),""),"yyyymmdd")&amp;"|"&amp;TEXT(IFERROR(INDEX(tblVeriA[Toplam],ROW()-ROW(tblVeriA[[#Headers]])),0),"0.00"))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 ","")))</f>
        <v/>
      </c>
      <c r="K614" s="16">
        <f>IF($J614="",0,LEN($J614))</f>
        <v/>
      </c>
      <c r="L614" s="16">
        <f>IF($I614="","",TEXT(IFERROR(INDEX(tblVeriB[BelgeTarihi],ROW()-ROW(tblVeriB[[#Headers]])),""),"yyyymmdd")&amp;"|"&amp;TEXT(IFERROR(INDEX(tblVeriB[Tutar],ROW()-ROW(tblVeriB[[#Headers]])),0),"0.00"))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 ","")))</f>
        <v/>
      </c>
      <c r="C615" s="16">
        <f>IF($B615="",0,LEN($B615))</f>
        <v/>
      </c>
      <c r="D615" s="16">
        <f>IF($A615="","",TEXT(IFERROR(INDEX(tblVeriA[Tarih],ROW()-ROW(tblVeriA[[#Headers]])),""),"yyyymmdd")&amp;"|"&amp;TEXT(IFERROR(INDEX(tblVeriA[Toplam],ROW()-ROW(tblVeriA[[#Headers]])),0),"0.00"))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 ","")))</f>
        <v/>
      </c>
      <c r="K615" s="16">
        <f>IF($J615="",0,LEN($J615))</f>
        <v/>
      </c>
      <c r="L615" s="16">
        <f>IF($I615="","",TEXT(IFERROR(INDEX(tblVeriB[BelgeTarihi],ROW()-ROW(tblVeriB[[#Headers]])),""),"yyyymmdd")&amp;"|"&amp;TEXT(IFERROR(INDEX(tblVeriB[Tutar],ROW()-ROW(tblVeriB[[#Headers]])),0),"0.00"))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 ","")))</f>
        <v/>
      </c>
      <c r="C616" s="16">
        <f>IF($B616="",0,LEN($B616))</f>
        <v/>
      </c>
      <c r="D616" s="16">
        <f>IF($A616="","",TEXT(IFERROR(INDEX(tblVeriA[Tarih],ROW()-ROW(tblVeriA[[#Headers]])),""),"yyyymmdd")&amp;"|"&amp;TEXT(IFERROR(INDEX(tblVeriA[Toplam],ROW()-ROW(tblVeriA[[#Headers]])),0),"0.00"))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 ","")))</f>
        <v/>
      </c>
      <c r="K616" s="16">
        <f>IF($J616="",0,LEN($J616))</f>
        <v/>
      </c>
      <c r="L616" s="16">
        <f>IF($I616="","",TEXT(IFERROR(INDEX(tblVeriB[BelgeTarihi],ROW()-ROW(tblVeriB[[#Headers]])),""),"yyyymmdd")&amp;"|"&amp;TEXT(IFERROR(INDEX(tblVeriB[Tutar],ROW()-ROW(tblVeriB[[#Headers]])),0),"0.00"))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 ","")))</f>
        <v/>
      </c>
      <c r="C617" s="16">
        <f>IF($B617="",0,LEN($B617))</f>
        <v/>
      </c>
      <c r="D617" s="16">
        <f>IF($A617="","",TEXT(IFERROR(INDEX(tblVeriA[Tarih],ROW()-ROW(tblVeriA[[#Headers]])),""),"yyyymmdd")&amp;"|"&amp;TEXT(IFERROR(INDEX(tblVeriA[Toplam],ROW()-ROW(tblVeriA[[#Headers]])),0),"0.00"))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 ","")))</f>
        <v/>
      </c>
      <c r="K617" s="16">
        <f>IF($J617="",0,LEN($J617))</f>
        <v/>
      </c>
      <c r="L617" s="16">
        <f>IF($I617="","",TEXT(IFERROR(INDEX(tblVeriB[BelgeTarihi],ROW()-ROW(tblVeriB[[#Headers]])),""),"yyyymmdd")&amp;"|"&amp;TEXT(IFERROR(INDEX(tblVeriB[Tutar],ROW()-ROW(tblVeriB[[#Headers]])),0),"0.00"))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 ","")))</f>
        <v/>
      </c>
      <c r="C618" s="16">
        <f>IF($B618="",0,LEN($B618))</f>
        <v/>
      </c>
      <c r="D618" s="16">
        <f>IF($A618="","",TEXT(IFERROR(INDEX(tblVeriA[Tarih],ROW()-ROW(tblVeriA[[#Headers]])),""),"yyyymmdd")&amp;"|"&amp;TEXT(IFERROR(INDEX(tblVeriA[Toplam],ROW()-ROW(tblVeriA[[#Headers]])),0),"0.00"))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 ","")))</f>
        <v/>
      </c>
      <c r="K618" s="16">
        <f>IF($J618="",0,LEN($J618))</f>
        <v/>
      </c>
      <c r="L618" s="16">
        <f>IF($I618="","",TEXT(IFERROR(INDEX(tblVeriB[BelgeTarihi],ROW()-ROW(tblVeriB[[#Headers]])),""),"yyyymmdd")&amp;"|"&amp;TEXT(IFERROR(INDEX(tblVeriB[Tutar],ROW()-ROW(tblVeriB[[#Headers]])),0),"0.00"))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 ","")))</f>
        <v/>
      </c>
      <c r="C619" s="16">
        <f>IF($B619="",0,LEN($B619))</f>
        <v/>
      </c>
      <c r="D619" s="16">
        <f>IF($A619="","",TEXT(IFERROR(INDEX(tblVeriA[Tarih],ROW()-ROW(tblVeriA[[#Headers]])),""),"yyyymmdd")&amp;"|"&amp;TEXT(IFERROR(INDEX(tblVeriA[Toplam],ROW()-ROW(tblVeriA[[#Headers]])),0),"0.00"))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 ","")))</f>
        <v/>
      </c>
      <c r="K619" s="16">
        <f>IF($J619="",0,LEN($J619))</f>
        <v/>
      </c>
      <c r="L619" s="16">
        <f>IF($I619="","",TEXT(IFERROR(INDEX(tblVeriB[BelgeTarihi],ROW()-ROW(tblVeriB[[#Headers]])),""),"yyyymmdd")&amp;"|"&amp;TEXT(IFERROR(INDEX(tblVeriB[Tutar],ROW()-ROW(tblVeriB[[#Headers]])),0),"0.00"))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 ","")))</f>
        <v/>
      </c>
      <c r="C620" s="16">
        <f>IF($B620="",0,LEN($B620))</f>
        <v/>
      </c>
      <c r="D620" s="16">
        <f>IF($A620="","",TEXT(IFERROR(INDEX(tblVeriA[Tarih],ROW()-ROW(tblVeriA[[#Headers]])),""),"yyyymmdd")&amp;"|"&amp;TEXT(IFERROR(INDEX(tblVeriA[Toplam],ROW()-ROW(tblVeriA[[#Headers]])),0),"0.00"))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 ","")))</f>
        <v/>
      </c>
      <c r="K620" s="16">
        <f>IF($J620="",0,LEN($J620))</f>
        <v/>
      </c>
      <c r="L620" s="16">
        <f>IF($I620="","",TEXT(IFERROR(INDEX(tblVeriB[BelgeTarihi],ROW()-ROW(tblVeriB[[#Headers]])),""),"yyyymmdd")&amp;"|"&amp;TEXT(IFERROR(INDEX(tblVeriB[Tutar],ROW()-ROW(tblVeriB[[#Headers]])),0),"0.00"))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 ","")))</f>
        <v/>
      </c>
      <c r="C621" s="16">
        <f>IF($B621="",0,LEN($B621))</f>
        <v/>
      </c>
      <c r="D621" s="16">
        <f>IF($A621="","",TEXT(IFERROR(INDEX(tblVeriA[Tarih],ROW()-ROW(tblVeriA[[#Headers]])),""),"yyyymmdd")&amp;"|"&amp;TEXT(IFERROR(INDEX(tblVeriA[Toplam],ROW()-ROW(tblVeriA[[#Headers]])),0),"0.00"))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 ","")))</f>
        <v/>
      </c>
      <c r="K621" s="16">
        <f>IF($J621="",0,LEN($J621))</f>
        <v/>
      </c>
      <c r="L621" s="16">
        <f>IF($I621="","",TEXT(IFERROR(INDEX(tblVeriB[BelgeTarihi],ROW()-ROW(tblVeriB[[#Headers]])),""),"yyyymmdd")&amp;"|"&amp;TEXT(IFERROR(INDEX(tblVeriB[Tutar],ROW()-ROW(tblVeriB[[#Headers]])),0),"0.00"))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 ","")))</f>
        <v/>
      </c>
      <c r="C622" s="16">
        <f>IF($B622="",0,LEN($B622))</f>
        <v/>
      </c>
      <c r="D622" s="16">
        <f>IF($A622="","",TEXT(IFERROR(INDEX(tblVeriA[Tarih],ROW()-ROW(tblVeriA[[#Headers]])),""),"yyyymmdd")&amp;"|"&amp;TEXT(IFERROR(INDEX(tblVeriA[Toplam],ROW()-ROW(tblVeriA[[#Headers]])),0),"0.00"))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 ","")))</f>
        <v/>
      </c>
      <c r="K622" s="16">
        <f>IF($J622="",0,LEN($J622))</f>
        <v/>
      </c>
      <c r="L622" s="16">
        <f>IF($I622="","",TEXT(IFERROR(INDEX(tblVeriB[BelgeTarihi],ROW()-ROW(tblVeriB[[#Headers]])),""),"yyyymmdd")&amp;"|"&amp;TEXT(IFERROR(INDEX(tblVeriB[Tutar],ROW()-ROW(tblVeriB[[#Headers]])),0),"0.00"))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 ","")))</f>
        <v/>
      </c>
      <c r="C623" s="16">
        <f>IF($B623="",0,LEN($B623))</f>
        <v/>
      </c>
      <c r="D623" s="16">
        <f>IF($A623="","",TEXT(IFERROR(INDEX(tblVeriA[Tarih],ROW()-ROW(tblVeriA[[#Headers]])),""),"yyyymmdd")&amp;"|"&amp;TEXT(IFERROR(INDEX(tblVeriA[Toplam],ROW()-ROW(tblVeriA[[#Headers]])),0),"0.00"))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 ","")))</f>
        <v/>
      </c>
      <c r="K623" s="16">
        <f>IF($J623="",0,LEN($J623))</f>
        <v/>
      </c>
      <c r="L623" s="16">
        <f>IF($I623="","",TEXT(IFERROR(INDEX(tblVeriB[BelgeTarihi],ROW()-ROW(tblVeriB[[#Headers]])),""),"yyyymmdd")&amp;"|"&amp;TEXT(IFERROR(INDEX(tblVeriB[Tutar],ROW()-ROW(tblVeriB[[#Headers]])),0),"0.00"))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 ","")))</f>
        <v/>
      </c>
      <c r="C624" s="16">
        <f>IF($B624="",0,LEN($B624))</f>
        <v/>
      </c>
      <c r="D624" s="16">
        <f>IF($A624="","",TEXT(IFERROR(INDEX(tblVeriA[Tarih],ROW()-ROW(tblVeriA[[#Headers]])),""),"yyyymmdd")&amp;"|"&amp;TEXT(IFERROR(INDEX(tblVeriA[Toplam],ROW()-ROW(tblVeriA[[#Headers]])),0),"0.00"))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 ","")))</f>
        <v/>
      </c>
      <c r="K624" s="16">
        <f>IF($J624="",0,LEN($J624))</f>
        <v/>
      </c>
      <c r="L624" s="16">
        <f>IF($I624="","",TEXT(IFERROR(INDEX(tblVeriB[BelgeTarihi],ROW()-ROW(tblVeriB[[#Headers]])),""),"yyyymmdd")&amp;"|"&amp;TEXT(IFERROR(INDEX(tblVeriB[Tutar],ROW()-ROW(tblVeriB[[#Headers]])),0),"0.00"))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 ","")))</f>
        <v/>
      </c>
      <c r="C625" s="16">
        <f>IF($B625="",0,LEN($B625))</f>
        <v/>
      </c>
      <c r="D625" s="16">
        <f>IF($A625="","",TEXT(IFERROR(INDEX(tblVeriA[Tarih],ROW()-ROW(tblVeriA[[#Headers]])),""),"yyyymmdd")&amp;"|"&amp;TEXT(IFERROR(INDEX(tblVeriA[Toplam],ROW()-ROW(tblVeriA[[#Headers]])),0),"0.00"))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 ","")))</f>
        <v/>
      </c>
      <c r="K625" s="16">
        <f>IF($J625="",0,LEN($J625))</f>
        <v/>
      </c>
      <c r="L625" s="16">
        <f>IF($I625="","",TEXT(IFERROR(INDEX(tblVeriB[BelgeTarihi],ROW()-ROW(tblVeriB[[#Headers]])),""),"yyyymmdd")&amp;"|"&amp;TEXT(IFERROR(INDEX(tblVeriB[Tutar],ROW()-ROW(tblVeriB[[#Headers]])),0),"0.00"))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 ","")))</f>
        <v/>
      </c>
      <c r="C626" s="16">
        <f>IF($B626="",0,LEN($B626))</f>
        <v/>
      </c>
      <c r="D626" s="16">
        <f>IF($A626="","",TEXT(IFERROR(INDEX(tblVeriA[Tarih],ROW()-ROW(tblVeriA[[#Headers]])),""),"yyyymmdd")&amp;"|"&amp;TEXT(IFERROR(INDEX(tblVeriA[Toplam],ROW()-ROW(tblVeriA[[#Headers]])),0),"0.00"))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 ","")))</f>
        <v/>
      </c>
      <c r="K626" s="16">
        <f>IF($J626="",0,LEN($J626))</f>
        <v/>
      </c>
      <c r="L626" s="16">
        <f>IF($I626="","",TEXT(IFERROR(INDEX(tblVeriB[BelgeTarihi],ROW()-ROW(tblVeriB[[#Headers]])),""),"yyyymmdd")&amp;"|"&amp;TEXT(IFERROR(INDEX(tblVeriB[Tutar],ROW()-ROW(tblVeriB[[#Headers]])),0),"0.00"))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 ","")))</f>
        <v/>
      </c>
      <c r="C627" s="16">
        <f>IF($B627="",0,LEN($B627))</f>
        <v/>
      </c>
      <c r="D627" s="16">
        <f>IF($A627="","",TEXT(IFERROR(INDEX(tblVeriA[Tarih],ROW()-ROW(tblVeriA[[#Headers]])),""),"yyyymmdd")&amp;"|"&amp;TEXT(IFERROR(INDEX(tblVeriA[Toplam],ROW()-ROW(tblVeriA[[#Headers]])),0),"0.00"))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 ","")))</f>
        <v/>
      </c>
      <c r="K627" s="16">
        <f>IF($J627="",0,LEN($J627))</f>
        <v/>
      </c>
      <c r="L627" s="16">
        <f>IF($I627="","",TEXT(IFERROR(INDEX(tblVeriB[BelgeTarihi],ROW()-ROW(tblVeriB[[#Headers]])),""),"yyyymmdd")&amp;"|"&amp;TEXT(IFERROR(INDEX(tblVeriB[Tutar],ROW()-ROW(tblVeriB[[#Headers]])),0),"0.00"))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 ","")))</f>
        <v/>
      </c>
      <c r="C628" s="16">
        <f>IF($B628="",0,LEN($B628))</f>
        <v/>
      </c>
      <c r="D628" s="16">
        <f>IF($A628="","",TEXT(IFERROR(INDEX(tblVeriA[Tarih],ROW()-ROW(tblVeriA[[#Headers]])),""),"yyyymmdd")&amp;"|"&amp;TEXT(IFERROR(INDEX(tblVeriA[Toplam],ROW()-ROW(tblVeriA[[#Headers]])),0),"0.00"))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 ","")))</f>
        <v/>
      </c>
      <c r="K628" s="16">
        <f>IF($J628="",0,LEN($J628))</f>
        <v/>
      </c>
      <c r="L628" s="16">
        <f>IF($I628="","",TEXT(IFERROR(INDEX(tblVeriB[BelgeTarihi],ROW()-ROW(tblVeriB[[#Headers]])),""),"yyyymmdd")&amp;"|"&amp;TEXT(IFERROR(INDEX(tblVeriB[Tutar],ROW()-ROW(tblVeriB[[#Headers]])),0),"0.00"))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 ","")))</f>
        <v/>
      </c>
      <c r="C629" s="16">
        <f>IF($B629="",0,LEN($B629))</f>
        <v/>
      </c>
      <c r="D629" s="16">
        <f>IF($A629="","",TEXT(IFERROR(INDEX(tblVeriA[Tarih],ROW()-ROW(tblVeriA[[#Headers]])),""),"yyyymmdd")&amp;"|"&amp;TEXT(IFERROR(INDEX(tblVeriA[Toplam],ROW()-ROW(tblVeriA[[#Headers]])),0),"0.00"))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 ","")))</f>
        <v/>
      </c>
      <c r="K629" s="16">
        <f>IF($J629="",0,LEN($J629))</f>
        <v/>
      </c>
      <c r="L629" s="16">
        <f>IF($I629="","",TEXT(IFERROR(INDEX(tblVeriB[BelgeTarihi],ROW()-ROW(tblVeriB[[#Headers]])),""),"yyyymmdd")&amp;"|"&amp;TEXT(IFERROR(INDEX(tblVeriB[Tutar],ROW()-ROW(tblVeriB[[#Headers]])),0),"0.00"))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 ","")))</f>
        <v/>
      </c>
      <c r="C630" s="16">
        <f>IF($B630="",0,LEN($B630))</f>
        <v/>
      </c>
      <c r="D630" s="16">
        <f>IF($A630="","",TEXT(IFERROR(INDEX(tblVeriA[Tarih],ROW()-ROW(tblVeriA[[#Headers]])),""),"yyyymmdd")&amp;"|"&amp;TEXT(IFERROR(INDEX(tblVeriA[Toplam],ROW()-ROW(tblVeriA[[#Headers]])),0),"0.00"))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 ","")))</f>
        <v/>
      </c>
      <c r="K630" s="16">
        <f>IF($J630="",0,LEN($J630))</f>
        <v/>
      </c>
      <c r="L630" s="16">
        <f>IF($I630="","",TEXT(IFERROR(INDEX(tblVeriB[BelgeTarihi],ROW()-ROW(tblVeriB[[#Headers]])),""),"yyyymmdd")&amp;"|"&amp;TEXT(IFERROR(INDEX(tblVeriB[Tutar],ROW()-ROW(tblVeriB[[#Headers]])),0),"0.00"))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 ","")))</f>
        <v/>
      </c>
      <c r="C631" s="16">
        <f>IF($B631="",0,LEN($B631))</f>
        <v/>
      </c>
      <c r="D631" s="16">
        <f>IF($A631="","",TEXT(IFERROR(INDEX(tblVeriA[Tarih],ROW()-ROW(tblVeriA[[#Headers]])),""),"yyyymmdd")&amp;"|"&amp;TEXT(IFERROR(INDEX(tblVeriA[Toplam],ROW()-ROW(tblVeriA[[#Headers]])),0),"0.00"))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 ","")))</f>
        <v/>
      </c>
      <c r="K631" s="16">
        <f>IF($J631="",0,LEN($J631))</f>
        <v/>
      </c>
      <c r="L631" s="16">
        <f>IF($I631="","",TEXT(IFERROR(INDEX(tblVeriB[BelgeTarihi],ROW()-ROW(tblVeriB[[#Headers]])),""),"yyyymmdd")&amp;"|"&amp;TEXT(IFERROR(INDEX(tblVeriB[Tutar],ROW()-ROW(tblVeriB[[#Headers]])),0),"0.00"))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 ","")))</f>
        <v/>
      </c>
      <c r="C632" s="16">
        <f>IF($B632="",0,LEN($B632))</f>
        <v/>
      </c>
      <c r="D632" s="16">
        <f>IF($A632="","",TEXT(IFERROR(INDEX(tblVeriA[Tarih],ROW()-ROW(tblVeriA[[#Headers]])),""),"yyyymmdd")&amp;"|"&amp;TEXT(IFERROR(INDEX(tblVeriA[Toplam],ROW()-ROW(tblVeriA[[#Headers]])),0),"0.00"))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 ","")))</f>
        <v/>
      </c>
      <c r="K632" s="16">
        <f>IF($J632="",0,LEN($J632))</f>
        <v/>
      </c>
      <c r="L632" s="16">
        <f>IF($I632="","",TEXT(IFERROR(INDEX(tblVeriB[BelgeTarihi],ROW()-ROW(tblVeriB[[#Headers]])),""),"yyyymmdd")&amp;"|"&amp;TEXT(IFERROR(INDEX(tblVeriB[Tutar],ROW()-ROW(tblVeriB[[#Headers]])),0),"0.00"))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 ","")))</f>
        <v/>
      </c>
      <c r="C633" s="16">
        <f>IF($B633="",0,LEN($B633))</f>
        <v/>
      </c>
      <c r="D633" s="16">
        <f>IF($A633="","",TEXT(IFERROR(INDEX(tblVeriA[Tarih],ROW()-ROW(tblVeriA[[#Headers]])),""),"yyyymmdd")&amp;"|"&amp;TEXT(IFERROR(INDEX(tblVeriA[Toplam],ROW()-ROW(tblVeriA[[#Headers]])),0),"0.00"))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 ","")))</f>
        <v/>
      </c>
      <c r="K633" s="16">
        <f>IF($J633="",0,LEN($J633))</f>
        <v/>
      </c>
      <c r="L633" s="16">
        <f>IF($I633="","",TEXT(IFERROR(INDEX(tblVeriB[BelgeTarihi],ROW()-ROW(tblVeriB[[#Headers]])),""),"yyyymmdd")&amp;"|"&amp;TEXT(IFERROR(INDEX(tblVeriB[Tutar],ROW()-ROW(tblVeriB[[#Headers]])),0),"0.00"))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 ","")))</f>
        <v/>
      </c>
      <c r="C634" s="16">
        <f>IF($B634="",0,LEN($B634))</f>
        <v/>
      </c>
      <c r="D634" s="16">
        <f>IF($A634="","",TEXT(IFERROR(INDEX(tblVeriA[Tarih],ROW()-ROW(tblVeriA[[#Headers]])),""),"yyyymmdd")&amp;"|"&amp;TEXT(IFERROR(INDEX(tblVeriA[Toplam],ROW()-ROW(tblVeriA[[#Headers]])),0),"0.00"))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 ","")))</f>
        <v/>
      </c>
      <c r="K634" s="16">
        <f>IF($J634="",0,LEN($J634))</f>
        <v/>
      </c>
      <c r="L634" s="16">
        <f>IF($I634="","",TEXT(IFERROR(INDEX(tblVeriB[BelgeTarihi],ROW()-ROW(tblVeriB[[#Headers]])),""),"yyyymmdd")&amp;"|"&amp;TEXT(IFERROR(INDEX(tblVeriB[Tutar],ROW()-ROW(tblVeriB[[#Headers]])),0),"0.00"))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 ","")))</f>
        <v/>
      </c>
      <c r="C635" s="16">
        <f>IF($B635="",0,LEN($B635))</f>
        <v/>
      </c>
      <c r="D635" s="16">
        <f>IF($A635="","",TEXT(IFERROR(INDEX(tblVeriA[Tarih],ROW()-ROW(tblVeriA[[#Headers]])),""),"yyyymmdd")&amp;"|"&amp;TEXT(IFERROR(INDEX(tblVeriA[Toplam],ROW()-ROW(tblVeriA[[#Headers]])),0),"0.00"))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 ","")))</f>
        <v/>
      </c>
      <c r="K635" s="16">
        <f>IF($J635="",0,LEN($J635))</f>
        <v/>
      </c>
      <c r="L635" s="16">
        <f>IF($I635="","",TEXT(IFERROR(INDEX(tblVeriB[BelgeTarihi],ROW()-ROW(tblVeriB[[#Headers]])),""),"yyyymmdd")&amp;"|"&amp;TEXT(IFERROR(INDEX(tblVeriB[Tutar],ROW()-ROW(tblVeriB[[#Headers]])),0),"0.00"))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 ","")))</f>
        <v/>
      </c>
      <c r="C636" s="16">
        <f>IF($B636="",0,LEN($B636))</f>
        <v/>
      </c>
      <c r="D636" s="16">
        <f>IF($A636="","",TEXT(IFERROR(INDEX(tblVeriA[Tarih],ROW()-ROW(tblVeriA[[#Headers]])),""),"yyyymmdd")&amp;"|"&amp;TEXT(IFERROR(INDEX(tblVeriA[Toplam],ROW()-ROW(tblVeriA[[#Headers]])),0),"0.00"))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 ","")))</f>
        <v/>
      </c>
      <c r="K636" s="16">
        <f>IF($J636="",0,LEN($J636))</f>
        <v/>
      </c>
      <c r="L636" s="16">
        <f>IF($I636="","",TEXT(IFERROR(INDEX(tblVeriB[BelgeTarihi],ROW()-ROW(tblVeriB[[#Headers]])),""),"yyyymmdd")&amp;"|"&amp;TEXT(IFERROR(INDEX(tblVeriB[Tutar],ROW()-ROW(tblVeriB[[#Headers]])),0),"0.00"))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 ","")))</f>
        <v/>
      </c>
      <c r="C637" s="16">
        <f>IF($B637="",0,LEN($B637))</f>
        <v/>
      </c>
      <c r="D637" s="16">
        <f>IF($A637="","",TEXT(IFERROR(INDEX(tblVeriA[Tarih],ROW()-ROW(tblVeriA[[#Headers]])),""),"yyyymmdd")&amp;"|"&amp;TEXT(IFERROR(INDEX(tblVeriA[Toplam],ROW()-ROW(tblVeriA[[#Headers]])),0),"0.00"))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 ","")))</f>
        <v/>
      </c>
      <c r="K637" s="16">
        <f>IF($J637="",0,LEN($J637))</f>
        <v/>
      </c>
      <c r="L637" s="16">
        <f>IF($I637="","",TEXT(IFERROR(INDEX(tblVeriB[BelgeTarihi],ROW()-ROW(tblVeriB[[#Headers]])),""),"yyyymmdd")&amp;"|"&amp;TEXT(IFERROR(INDEX(tblVeriB[Tutar],ROW()-ROW(tblVeriB[[#Headers]])),0),"0.00"))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 ","")))</f>
        <v/>
      </c>
      <c r="C638" s="16">
        <f>IF($B638="",0,LEN($B638))</f>
        <v/>
      </c>
      <c r="D638" s="16">
        <f>IF($A638="","",TEXT(IFERROR(INDEX(tblVeriA[Tarih],ROW()-ROW(tblVeriA[[#Headers]])),""),"yyyymmdd")&amp;"|"&amp;TEXT(IFERROR(INDEX(tblVeriA[Toplam],ROW()-ROW(tblVeriA[[#Headers]])),0),"0.00"))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 ","")))</f>
        <v/>
      </c>
      <c r="K638" s="16">
        <f>IF($J638="",0,LEN($J638))</f>
        <v/>
      </c>
      <c r="L638" s="16">
        <f>IF($I638="","",TEXT(IFERROR(INDEX(tblVeriB[BelgeTarihi],ROW()-ROW(tblVeriB[[#Headers]])),""),"yyyymmdd")&amp;"|"&amp;TEXT(IFERROR(INDEX(tblVeriB[Tutar],ROW()-ROW(tblVeriB[[#Headers]])),0),"0.00"))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 ","")))</f>
        <v/>
      </c>
      <c r="C639" s="16">
        <f>IF($B639="",0,LEN($B639))</f>
        <v/>
      </c>
      <c r="D639" s="16">
        <f>IF($A639="","",TEXT(IFERROR(INDEX(tblVeriA[Tarih],ROW()-ROW(tblVeriA[[#Headers]])),""),"yyyymmdd")&amp;"|"&amp;TEXT(IFERROR(INDEX(tblVeriA[Toplam],ROW()-ROW(tblVeriA[[#Headers]])),0),"0.00"))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 ","")))</f>
        <v/>
      </c>
      <c r="K639" s="16">
        <f>IF($J639="",0,LEN($J639))</f>
        <v/>
      </c>
      <c r="L639" s="16">
        <f>IF($I639="","",TEXT(IFERROR(INDEX(tblVeriB[BelgeTarihi],ROW()-ROW(tblVeriB[[#Headers]])),""),"yyyymmdd")&amp;"|"&amp;TEXT(IFERROR(INDEX(tblVeriB[Tutar],ROW()-ROW(tblVeriB[[#Headers]])),0),"0.00"))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 ","")))</f>
        <v/>
      </c>
      <c r="C640" s="16">
        <f>IF($B640="",0,LEN($B640))</f>
        <v/>
      </c>
      <c r="D640" s="16">
        <f>IF($A640="","",TEXT(IFERROR(INDEX(tblVeriA[Tarih],ROW()-ROW(tblVeriA[[#Headers]])),""),"yyyymmdd")&amp;"|"&amp;TEXT(IFERROR(INDEX(tblVeriA[Toplam],ROW()-ROW(tblVeriA[[#Headers]])),0),"0.00"))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 ","")))</f>
        <v/>
      </c>
      <c r="K640" s="16">
        <f>IF($J640="",0,LEN($J640))</f>
        <v/>
      </c>
      <c r="L640" s="16">
        <f>IF($I640="","",TEXT(IFERROR(INDEX(tblVeriB[BelgeTarihi],ROW()-ROW(tblVeriB[[#Headers]])),""),"yyyymmdd")&amp;"|"&amp;TEXT(IFERROR(INDEX(tblVeriB[Tutar],ROW()-ROW(tblVeriB[[#Headers]])),0),"0.00"))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 ","")))</f>
        <v/>
      </c>
      <c r="C641" s="16">
        <f>IF($B641="",0,LEN($B641))</f>
        <v/>
      </c>
      <c r="D641" s="16">
        <f>IF($A641="","",TEXT(IFERROR(INDEX(tblVeriA[Tarih],ROW()-ROW(tblVeriA[[#Headers]])),""),"yyyymmdd")&amp;"|"&amp;TEXT(IFERROR(INDEX(tblVeriA[Toplam],ROW()-ROW(tblVeriA[[#Headers]])),0),"0.00"))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 ","")))</f>
        <v/>
      </c>
      <c r="K641" s="16">
        <f>IF($J641="",0,LEN($J641))</f>
        <v/>
      </c>
      <c r="L641" s="16">
        <f>IF($I641="","",TEXT(IFERROR(INDEX(tblVeriB[BelgeTarihi],ROW()-ROW(tblVeriB[[#Headers]])),""),"yyyymmdd")&amp;"|"&amp;TEXT(IFERROR(INDEX(tblVeriB[Tutar],ROW()-ROW(tblVeriB[[#Headers]])),0),"0.00"))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 ","")))</f>
        <v/>
      </c>
      <c r="C642" s="16">
        <f>IF($B642="",0,LEN($B642))</f>
        <v/>
      </c>
      <c r="D642" s="16">
        <f>IF($A642="","",TEXT(IFERROR(INDEX(tblVeriA[Tarih],ROW()-ROW(tblVeriA[[#Headers]])),""),"yyyymmdd")&amp;"|"&amp;TEXT(IFERROR(INDEX(tblVeriA[Toplam],ROW()-ROW(tblVeriA[[#Headers]])),0),"0.00"))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 ","")))</f>
        <v/>
      </c>
      <c r="K642" s="16">
        <f>IF($J642="",0,LEN($J642))</f>
        <v/>
      </c>
      <c r="L642" s="16">
        <f>IF($I642="","",TEXT(IFERROR(INDEX(tblVeriB[BelgeTarihi],ROW()-ROW(tblVeriB[[#Headers]])),""),"yyyymmdd")&amp;"|"&amp;TEXT(IFERROR(INDEX(tblVeriB[Tutar],ROW()-ROW(tblVeriB[[#Headers]])),0),"0.00"))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 ","")))</f>
        <v/>
      </c>
      <c r="C643" s="16">
        <f>IF($B643="",0,LEN($B643))</f>
        <v/>
      </c>
      <c r="D643" s="16">
        <f>IF($A643="","",TEXT(IFERROR(INDEX(tblVeriA[Tarih],ROW()-ROW(tblVeriA[[#Headers]])),""),"yyyymmdd")&amp;"|"&amp;TEXT(IFERROR(INDEX(tblVeriA[Toplam],ROW()-ROW(tblVeriA[[#Headers]])),0),"0.00"))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 ","")))</f>
        <v/>
      </c>
      <c r="K643" s="16">
        <f>IF($J643="",0,LEN($J643))</f>
        <v/>
      </c>
      <c r="L643" s="16">
        <f>IF($I643="","",TEXT(IFERROR(INDEX(tblVeriB[BelgeTarihi],ROW()-ROW(tblVeriB[[#Headers]])),""),"yyyymmdd")&amp;"|"&amp;TEXT(IFERROR(INDEX(tblVeriB[Tutar],ROW()-ROW(tblVeriB[[#Headers]])),0),"0.00"))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 ","")))</f>
        <v/>
      </c>
      <c r="C644" s="16">
        <f>IF($B644="",0,LEN($B644))</f>
        <v/>
      </c>
      <c r="D644" s="16">
        <f>IF($A644="","",TEXT(IFERROR(INDEX(tblVeriA[Tarih],ROW()-ROW(tblVeriA[[#Headers]])),""),"yyyymmdd")&amp;"|"&amp;TEXT(IFERROR(INDEX(tblVeriA[Toplam],ROW()-ROW(tblVeriA[[#Headers]])),0),"0.00"))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 ","")))</f>
        <v/>
      </c>
      <c r="K644" s="16">
        <f>IF($J644="",0,LEN($J644))</f>
        <v/>
      </c>
      <c r="L644" s="16">
        <f>IF($I644="","",TEXT(IFERROR(INDEX(tblVeriB[BelgeTarihi],ROW()-ROW(tblVeriB[[#Headers]])),""),"yyyymmdd")&amp;"|"&amp;TEXT(IFERROR(INDEX(tblVeriB[Tutar],ROW()-ROW(tblVeriB[[#Headers]])),0),"0.00"))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 ","")))</f>
        <v/>
      </c>
      <c r="C645" s="16">
        <f>IF($B645="",0,LEN($B645))</f>
        <v/>
      </c>
      <c r="D645" s="16">
        <f>IF($A645="","",TEXT(IFERROR(INDEX(tblVeriA[Tarih],ROW()-ROW(tblVeriA[[#Headers]])),""),"yyyymmdd")&amp;"|"&amp;TEXT(IFERROR(INDEX(tblVeriA[Toplam],ROW()-ROW(tblVeriA[[#Headers]])),0),"0.00"))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 ","")))</f>
        <v/>
      </c>
      <c r="K645" s="16">
        <f>IF($J645="",0,LEN($J645))</f>
        <v/>
      </c>
      <c r="L645" s="16">
        <f>IF($I645="","",TEXT(IFERROR(INDEX(tblVeriB[BelgeTarihi],ROW()-ROW(tblVeriB[[#Headers]])),""),"yyyymmdd")&amp;"|"&amp;TEXT(IFERROR(INDEX(tblVeriB[Tutar],ROW()-ROW(tblVeriB[[#Headers]])),0),"0.00"))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 ","")))</f>
        <v/>
      </c>
      <c r="C646" s="16">
        <f>IF($B646="",0,LEN($B646))</f>
        <v/>
      </c>
      <c r="D646" s="16">
        <f>IF($A646="","",TEXT(IFERROR(INDEX(tblVeriA[Tarih],ROW()-ROW(tblVeriA[[#Headers]])),""),"yyyymmdd")&amp;"|"&amp;TEXT(IFERROR(INDEX(tblVeriA[Toplam],ROW()-ROW(tblVeriA[[#Headers]])),0),"0.00"))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 ","")))</f>
        <v/>
      </c>
      <c r="K646" s="16">
        <f>IF($J646="",0,LEN($J646))</f>
        <v/>
      </c>
      <c r="L646" s="16">
        <f>IF($I646="","",TEXT(IFERROR(INDEX(tblVeriB[BelgeTarihi],ROW()-ROW(tblVeriB[[#Headers]])),""),"yyyymmdd")&amp;"|"&amp;TEXT(IFERROR(INDEX(tblVeriB[Tutar],ROW()-ROW(tblVeriB[[#Headers]])),0),"0.00"))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 ","")))</f>
        <v/>
      </c>
      <c r="C647" s="16">
        <f>IF($B647="",0,LEN($B647))</f>
        <v/>
      </c>
      <c r="D647" s="16">
        <f>IF($A647="","",TEXT(IFERROR(INDEX(tblVeriA[Tarih],ROW()-ROW(tblVeriA[[#Headers]])),""),"yyyymmdd")&amp;"|"&amp;TEXT(IFERROR(INDEX(tblVeriA[Toplam],ROW()-ROW(tblVeriA[[#Headers]])),0),"0.00"))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 ","")))</f>
        <v/>
      </c>
      <c r="K647" s="16">
        <f>IF($J647="",0,LEN($J647))</f>
        <v/>
      </c>
      <c r="L647" s="16">
        <f>IF($I647="","",TEXT(IFERROR(INDEX(tblVeriB[BelgeTarihi],ROW()-ROW(tblVeriB[[#Headers]])),""),"yyyymmdd")&amp;"|"&amp;TEXT(IFERROR(INDEX(tblVeriB[Tutar],ROW()-ROW(tblVeriB[[#Headers]])),0),"0.00"))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 ","")))</f>
        <v/>
      </c>
      <c r="C648" s="16">
        <f>IF($B648="",0,LEN($B648))</f>
        <v/>
      </c>
      <c r="D648" s="16">
        <f>IF($A648="","",TEXT(IFERROR(INDEX(tblVeriA[Tarih],ROW()-ROW(tblVeriA[[#Headers]])),""),"yyyymmdd")&amp;"|"&amp;TEXT(IFERROR(INDEX(tblVeriA[Toplam],ROW()-ROW(tblVeriA[[#Headers]])),0),"0.00"))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 ","")))</f>
        <v/>
      </c>
      <c r="K648" s="16">
        <f>IF($J648="",0,LEN($J648))</f>
        <v/>
      </c>
      <c r="L648" s="16">
        <f>IF($I648="","",TEXT(IFERROR(INDEX(tblVeriB[BelgeTarihi],ROW()-ROW(tblVeriB[[#Headers]])),""),"yyyymmdd")&amp;"|"&amp;TEXT(IFERROR(INDEX(tblVeriB[Tutar],ROW()-ROW(tblVeriB[[#Headers]])),0),"0.00"))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 ","")))</f>
        <v/>
      </c>
      <c r="C649" s="16">
        <f>IF($B649="",0,LEN($B649))</f>
        <v/>
      </c>
      <c r="D649" s="16">
        <f>IF($A649="","",TEXT(IFERROR(INDEX(tblVeriA[Tarih],ROW()-ROW(tblVeriA[[#Headers]])),""),"yyyymmdd")&amp;"|"&amp;TEXT(IFERROR(INDEX(tblVeriA[Toplam],ROW()-ROW(tblVeriA[[#Headers]])),0),"0.00"))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 ","")))</f>
        <v/>
      </c>
      <c r="K649" s="16">
        <f>IF($J649="",0,LEN($J649))</f>
        <v/>
      </c>
      <c r="L649" s="16">
        <f>IF($I649="","",TEXT(IFERROR(INDEX(tblVeriB[BelgeTarihi],ROW()-ROW(tblVeriB[[#Headers]])),""),"yyyymmdd")&amp;"|"&amp;TEXT(IFERROR(INDEX(tblVeriB[Tutar],ROW()-ROW(tblVeriB[[#Headers]])),0),"0.00"))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 ","")))</f>
        <v/>
      </c>
      <c r="C650" s="16">
        <f>IF($B650="",0,LEN($B650))</f>
        <v/>
      </c>
      <c r="D650" s="16">
        <f>IF($A650="","",TEXT(IFERROR(INDEX(tblVeriA[Tarih],ROW()-ROW(tblVeriA[[#Headers]])),""),"yyyymmdd")&amp;"|"&amp;TEXT(IFERROR(INDEX(tblVeriA[Toplam],ROW()-ROW(tblVeriA[[#Headers]])),0),"0.00"))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 ","")))</f>
        <v/>
      </c>
      <c r="K650" s="16">
        <f>IF($J650="",0,LEN($J650))</f>
        <v/>
      </c>
      <c r="L650" s="16">
        <f>IF($I650="","",TEXT(IFERROR(INDEX(tblVeriB[BelgeTarihi],ROW()-ROW(tblVeriB[[#Headers]])),""),"yyyymmdd")&amp;"|"&amp;TEXT(IFERROR(INDEX(tblVeriB[Tutar],ROW()-ROW(tblVeriB[[#Headers]])),0),"0.00"))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 ","")))</f>
        <v/>
      </c>
      <c r="C651" s="16">
        <f>IF($B651="",0,LEN($B651))</f>
        <v/>
      </c>
      <c r="D651" s="16">
        <f>IF($A651="","",TEXT(IFERROR(INDEX(tblVeriA[Tarih],ROW()-ROW(tblVeriA[[#Headers]])),""),"yyyymmdd")&amp;"|"&amp;TEXT(IFERROR(INDEX(tblVeriA[Toplam],ROW()-ROW(tblVeriA[[#Headers]])),0),"0.00"))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 ","")))</f>
        <v/>
      </c>
      <c r="K651" s="16">
        <f>IF($J651="",0,LEN($J651))</f>
        <v/>
      </c>
      <c r="L651" s="16">
        <f>IF($I651="","",TEXT(IFERROR(INDEX(tblVeriB[BelgeTarihi],ROW()-ROW(tblVeriB[[#Headers]])),""),"yyyymmdd")&amp;"|"&amp;TEXT(IFERROR(INDEX(tblVeriB[Tutar],ROW()-ROW(tblVeriB[[#Headers]])),0),"0.00"))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 ","")))</f>
        <v/>
      </c>
      <c r="C652" s="16">
        <f>IF($B652="",0,LEN($B652))</f>
        <v/>
      </c>
      <c r="D652" s="16">
        <f>IF($A652="","",TEXT(IFERROR(INDEX(tblVeriA[Tarih],ROW()-ROW(tblVeriA[[#Headers]])),""),"yyyymmdd")&amp;"|"&amp;TEXT(IFERROR(INDEX(tblVeriA[Toplam],ROW()-ROW(tblVeriA[[#Headers]])),0),"0.00"))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 ","")))</f>
        <v/>
      </c>
      <c r="K652" s="16">
        <f>IF($J652="",0,LEN($J652))</f>
        <v/>
      </c>
      <c r="L652" s="16">
        <f>IF($I652="","",TEXT(IFERROR(INDEX(tblVeriB[BelgeTarihi],ROW()-ROW(tblVeriB[[#Headers]])),""),"yyyymmdd")&amp;"|"&amp;TEXT(IFERROR(INDEX(tblVeriB[Tutar],ROW()-ROW(tblVeriB[[#Headers]])),0),"0.00"))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 ","")))</f>
        <v/>
      </c>
      <c r="C653" s="16">
        <f>IF($B653="",0,LEN($B653))</f>
        <v/>
      </c>
      <c r="D653" s="16">
        <f>IF($A653="","",TEXT(IFERROR(INDEX(tblVeriA[Tarih],ROW()-ROW(tblVeriA[[#Headers]])),""),"yyyymmdd")&amp;"|"&amp;TEXT(IFERROR(INDEX(tblVeriA[Toplam],ROW()-ROW(tblVeriA[[#Headers]])),0),"0.00"))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 ","")))</f>
        <v/>
      </c>
      <c r="K653" s="16">
        <f>IF($J653="",0,LEN($J653))</f>
        <v/>
      </c>
      <c r="L653" s="16">
        <f>IF($I653="","",TEXT(IFERROR(INDEX(tblVeriB[BelgeTarihi],ROW()-ROW(tblVeriB[[#Headers]])),""),"yyyymmdd")&amp;"|"&amp;TEXT(IFERROR(INDEX(tblVeriB[Tutar],ROW()-ROW(tblVeriB[[#Headers]])),0),"0.00"))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 ","")))</f>
        <v/>
      </c>
      <c r="C654" s="16">
        <f>IF($B654="",0,LEN($B654))</f>
        <v/>
      </c>
      <c r="D654" s="16">
        <f>IF($A654="","",TEXT(IFERROR(INDEX(tblVeriA[Tarih],ROW()-ROW(tblVeriA[[#Headers]])),""),"yyyymmdd")&amp;"|"&amp;TEXT(IFERROR(INDEX(tblVeriA[Toplam],ROW()-ROW(tblVeriA[[#Headers]])),0),"0.00"))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 ","")))</f>
        <v/>
      </c>
      <c r="K654" s="16">
        <f>IF($J654="",0,LEN($J654))</f>
        <v/>
      </c>
      <c r="L654" s="16">
        <f>IF($I654="","",TEXT(IFERROR(INDEX(tblVeriB[BelgeTarihi],ROW()-ROW(tblVeriB[[#Headers]])),""),"yyyymmdd")&amp;"|"&amp;TEXT(IFERROR(INDEX(tblVeriB[Tutar],ROW()-ROW(tblVeriB[[#Headers]])),0),"0.00"))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 ","")))</f>
        <v/>
      </c>
      <c r="C655" s="16">
        <f>IF($B655="",0,LEN($B655))</f>
        <v/>
      </c>
      <c r="D655" s="16">
        <f>IF($A655="","",TEXT(IFERROR(INDEX(tblVeriA[Tarih],ROW()-ROW(tblVeriA[[#Headers]])),""),"yyyymmdd")&amp;"|"&amp;TEXT(IFERROR(INDEX(tblVeriA[Toplam],ROW()-ROW(tblVeriA[[#Headers]])),0),"0.00"))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 ","")))</f>
        <v/>
      </c>
      <c r="K655" s="16">
        <f>IF($J655="",0,LEN($J655))</f>
        <v/>
      </c>
      <c r="L655" s="16">
        <f>IF($I655="","",TEXT(IFERROR(INDEX(tblVeriB[BelgeTarihi],ROW()-ROW(tblVeriB[[#Headers]])),""),"yyyymmdd")&amp;"|"&amp;TEXT(IFERROR(INDEX(tblVeriB[Tutar],ROW()-ROW(tblVeriB[[#Headers]])),0),"0.00"))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 ","")))</f>
        <v/>
      </c>
      <c r="C656" s="16">
        <f>IF($B656="",0,LEN($B656))</f>
        <v/>
      </c>
      <c r="D656" s="16">
        <f>IF($A656="","",TEXT(IFERROR(INDEX(tblVeriA[Tarih],ROW()-ROW(tblVeriA[[#Headers]])),""),"yyyymmdd")&amp;"|"&amp;TEXT(IFERROR(INDEX(tblVeriA[Toplam],ROW()-ROW(tblVeriA[[#Headers]])),0),"0.00"))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 ","")))</f>
        <v/>
      </c>
      <c r="K656" s="16">
        <f>IF($J656="",0,LEN($J656))</f>
        <v/>
      </c>
      <c r="L656" s="16">
        <f>IF($I656="","",TEXT(IFERROR(INDEX(tblVeriB[BelgeTarihi],ROW()-ROW(tblVeriB[[#Headers]])),""),"yyyymmdd")&amp;"|"&amp;TEXT(IFERROR(INDEX(tblVeriB[Tutar],ROW()-ROW(tblVeriB[[#Headers]])),0),"0.00"))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 ","")))</f>
        <v/>
      </c>
      <c r="C657" s="16">
        <f>IF($B657="",0,LEN($B657))</f>
        <v/>
      </c>
      <c r="D657" s="16">
        <f>IF($A657="","",TEXT(IFERROR(INDEX(tblVeriA[Tarih],ROW()-ROW(tblVeriA[[#Headers]])),""),"yyyymmdd")&amp;"|"&amp;TEXT(IFERROR(INDEX(tblVeriA[Toplam],ROW()-ROW(tblVeriA[[#Headers]])),0),"0.00"))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 ","")))</f>
        <v/>
      </c>
      <c r="K657" s="16">
        <f>IF($J657="",0,LEN($J657))</f>
        <v/>
      </c>
      <c r="L657" s="16">
        <f>IF($I657="","",TEXT(IFERROR(INDEX(tblVeriB[BelgeTarihi],ROW()-ROW(tblVeriB[[#Headers]])),""),"yyyymmdd")&amp;"|"&amp;TEXT(IFERROR(INDEX(tblVeriB[Tutar],ROW()-ROW(tblVeriB[[#Headers]])),0),"0.00"))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 ","")))</f>
        <v/>
      </c>
      <c r="C658" s="16">
        <f>IF($B658="",0,LEN($B658))</f>
        <v/>
      </c>
      <c r="D658" s="16">
        <f>IF($A658="","",TEXT(IFERROR(INDEX(tblVeriA[Tarih],ROW()-ROW(tblVeriA[[#Headers]])),""),"yyyymmdd")&amp;"|"&amp;TEXT(IFERROR(INDEX(tblVeriA[Toplam],ROW()-ROW(tblVeriA[[#Headers]])),0),"0.00"))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 ","")))</f>
        <v/>
      </c>
      <c r="K658" s="16">
        <f>IF($J658="",0,LEN($J658))</f>
        <v/>
      </c>
      <c r="L658" s="16">
        <f>IF($I658="","",TEXT(IFERROR(INDEX(tblVeriB[BelgeTarihi],ROW()-ROW(tblVeriB[[#Headers]])),""),"yyyymmdd")&amp;"|"&amp;TEXT(IFERROR(INDEX(tblVeriB[Tutar],ROW()-ROW(tblVeriB[[#Headers]])),0),"0.00"))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 ","")))</f>
        <v/>
      </c>
      <c r="C659" s="16">
        <f>IF($B659="",0,LEN($B659))</f>
        <v/>
      </c>
      <c r="D659" s="16">
        <f>IF($A659="","",TEXT(IFERROR(INDEX(tblVeriA[Tarih],ROW()-ROW(tblVeriA[[#Headers]])),""),"yyyymmdd")&amp;"|"&amp;TEXT(IFERROR(INDEX(tblVeriA[Toplam],ROW()-ROW(tblVeriA[[#Headers]])),0),"0.00"))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 ","")))</f>
        <v/>
      </c>
      <c r="K659" s="16">
        <f>IF($J659="",0,LEN($J659))</f>
        <v/>
      </c>
      <c r="L659" s="16">
        <f>IF($I659="","",TEXT(IFERROR(INDEX(tblVeriB[BelgeTarihi],ROW()-ROW(tblVeriB[[#Headers]])),""),"yyyymmdd")&amp;"|"&amp;TEXT(IFERROR(INDEX(tblVeriB[Tutar],ROW()-ROW(tblVeriB[[#Headers]])),0),"0.00"))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 ","")))</f>
        <v/>
      </c>
      <c r="C660" s="16">
        <f>IF($B660="",0,LEN($B660))</f>
        <v/>
      </c>
      <c r="D660" s="16">
        <f>IF($A660="","",TEXT(IFERROR(INDEX(tblVeriA[Tarih],ROW()-ROW(tblVeriA[[#Headers]])),""),"yyyymmdd")&amp;"|"&amp;TEXT(IFERROR(INDEX(tblVeriA[Toplam],ROW()-ROW(tblVeriA[[#Headers]])),0),"0.00"))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 ","")))</f>
        <v/>
      </c>
      <c r="K660" s="16">
        <f>IF($J660="",0,LEN($J660))</f>
        <v/>
      </c>
      <c r="L660" s="16">
        <f>IF($I660="","",TEXT(IFERROR(INDEX(tblVeriB[BelgeTarihi],ROW()-ROW(tblVeriB[[#Headers]])),""),"yyyymmdd")&amp;"|"&amp;TEXT(IFERROR(INDEX(tblVeriB[Tutar],ROW()-ROW(tblVeriB[[#Headers]])),0),"0.00"))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 ","")))</f>
        <v/>
      </c>
      <c r="C661" s="16">
        <f>IF($B661="",0,LEN($B661))</f>
        <v/>
      </c>
      <c r="D661" s="16">
        <f>IF($A661="","",TEXT(IFERROR(INDEX(tblVeriA[Tarih],ROW()-ROW(tblVeriA[[#Headers]])),""),"yyyymmdd")&amp;"|"&amp;TEXT(IFERROR(INDEX(tblVeriA[Toplam],ROW()-ROW(tblVeriA[[#Headers]])),0),"0.00"))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 ","")))</f>
        <v/>
      </c>
      <c r="K661" s="16">
        <f>IF($J661="",0,LEN($J661))</f>
        <v/>
      </c>
      <c r="L661" s="16">
        <f>IF($I661="","",TEXT(IFERROR(INDEX(tblVeriB[BelgeTarihi],ROW()-ROW(tblVeriB[[#Headers]])),""),"yyyymmdd")&amp;"|"&amp;TEXT(IFERROR(INDEX(tblVeriB[Tutar],ROW()-ROW(tblVeriB[[#Headers]])),0),"0.00"))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 ","")))</f>
        <v/>
      </c>
      <c r="C662" s="16">
        <f>IF($B662="",0,LEN($B662))</f>
        <v/>
      </c>
      <c r="D662" s="16">
        <f>IF($A662="","",TEXT(IFERROR(INDEX(tblVeriA[Tarih],ROW()-ROW(tblVeriA[[#Headers]])),""),"yyyymmdd")&amp;"|"&amp;TEXT(IFERROR(INDEX(tblVeriA[Toplam],ROW()-ROW(tblVeriA[[#Headers]])),0),"0.00"))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 ","")))</f>
        <v/>
      </c>
      <c r="K662" s="16">
        <f>IF($J662="",0,LEN($J662))</f>
        <v/>
      </c>
      <c r="L662" s="16">
        <f>IF($I662="","",TEXT(IFERROR(INDEX(tblVeriB[BelgeTarihi],ROW()-ROW(tblVeriB[[#Headers]])),""),"yyyymmdd")&amp;"|"&amp;TEXT(IFERROR(INDEX(tblVeriB[Tutar],ROW()-ROW(tblVeriB[[#Headers]])),0),"0.00"))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 ","")))</f>
        <v/>
      </c>
      <c r="C663" s="16">
        <f>IF($B663="",0,LEN($B663))</f>
        <v/>
      </c>
      <c r="D663" s="16">
        <f>IF($A663="","",TEXT(IFERROR(INDEX(tblVeriA[Tarih],ROW()-ROW(tblVeriA[[#Headers]])),""),"yyyymmdd")&amp;"|"&amp;TEXT(IFERROR(INDEX(tblVeriA[Toplam],ROW()-ROW(tblVeriA[[#Headers]])),0),"0.00"))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 ","")))</f>
        <v/>
      </c>
      <c r="K663" s="16">
        <f>IF($J663="",0,LEN($J663))</f>
        <v/>
      </c>
      <c r="L663" s="16">
        <f>IF($I663="","",TEXT(IFERROR(INDEX(tblVeriB[BelgeTarihi],ROW()-ROW(tblVeriB[[#Headers]])),""),"yyyymmdd")&amp;"|"&amp;TEXT(IFERROR(INDEX(tblVeriB[Tutar],ROW()-ROW(tblVeriB[[#Headers]])),0),"0.00"))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 ","")))</f>
        <v/>
      </c>
      <c r="C664" s="16">
        <f>IF($B664="",0,LEN($B664))</f>
        <v/>
      </c>
      <c r="D664" s="16">
        <f>IF($A664="","",TEXT(IFERROR(INDEX(tblVeriA[Tarih],ROW()-ROW(tblVeriA[[#Headers]])),""),"yyyymmdd")&amp;"|"&amp;TEXT(IFERROR(INDEX(tblVeriA[Toplam],ROW()-ROW(tblVeriA[[#Headers]])),0),"0.00"))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 ","")))</f>
        <v/>
      </c>
      <c r="K664" s="16">
        <f>IF($J664="",0,LEN($J664))</f>
        <v/>
      </c>
      <c r="L664" s="16">
        <f>IF($I664="","",TEXT(IFERROR(INDEX(tblVeriB[BelgeTarihi],ROW()-ROW(tblVeriB[[#Headers]])),""),"yyyymmdd")&amp;"|"&amp;TEXT(IFERROR(INDEX(tblVeriB[Tutar],ROW()-ROW(tblVeriB[[#Headers]])),0),"0.00"))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 ","")))</f>
        <v/>
      </c>
      <c r="C665" s="16">
        <f>IF($B665="",0,LEN($B665))</f>
        <v/>
      </c>
      <c r="D665" s="16">
        <f>IF($A665="","",TEXT(IFERROR(INDEX(tblVeriA[Tarih],ROW()-ROW(tblVeriA[[#Headers]])),""),"yyyymmdd")&amp;"|"&amp;TEXT(IFERROR(INDEX(tblVeriA[Toplam],ROW()-ROW(tblVeriA[[#Headers]])),0),"0.00"))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 ","")))</f>
        <v/>
      </c>
      <c r="K665" s="16">
        <f>IF($J665="",0,LEN($J665))</f>
        <v/>
      </c>
      <c r="L665" s="16">
        <f>IF($I665="","",TEXT(IFERROR(INDEX(tblVeriB[BelgeTarihi],ROW()-ROW(tblVeriB[[#Headers]])),""),"yyyymmdd")&amp;"|"&amp;TEXT(IFERROR(INDEX(tblVeriB[Tutar],ROW()-ROW(tblVeriB[[#Headers]])),0),"0.00"))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 ","")))</f>
        <v/>
      </c>
      <c r="C666" s="16">
        <f>IF($B666="",0,LEN($B666))</f>
        <v/>
      </c>
      <c r="D666" s="16">
        <f>IF($A666="","",TEXT(IFERROR(INDEX(tblVeriA[Tarih],ROW()-ROW(tblVeriA[[#Headers]])),""),"yyyymmdd")&amp;"|"&amp;TEXT(IFERROR(INDEX(tblVeriA[Toplam],ROW()-ROW(tblVeriA[[#Headers]])),0),"0.00"))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 ","")))</f>
        <v/>
      </c>
      <c r="K666" s="16">
        <f>IF($J666="",0,LEN($J666))</f>
        <v/>
      </c>
      <c r="L666" s="16">
        <f>IF($I666="","",TEXT(IFERROR(INDEX(tblVeriB[BelgeTarihi],ROW()-ROW(tblVeriB[[#Headers]])),""),"yyyymmdd")&amp;"|"&amp;TEXT(IFERROR(INDEX(tblVeriB[Tutar],ROW()-ROW(tblVeriB[[#Headers]])),0),"0.00"))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 ","")))</f>
        <v/>
      </c>
      <c r="C667" s="16">
        <f>IF($B667="",0,LEN($B667))</f>
        <v/>
      </c>
      <c r="D667" s="16">
        <f>IF($A667="","",TEXT(IFERROR(INDEX(tblVeriA[Tarih],ROW()-ROW(tblVeriA[[#Headers]])),""),"yyyymmdd")&amp;"|"&amp;TEXT(IFERROR(INDEX(tblVeriA[Toplam],ROW()-ROW(tblVeriA[[#Headers]])),0),"0.00"))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 ","")))</f>
        <v/>
      </c>
      <c r="K667" s="16">
        <f>IF($J667="",0,LEN($J667))</f>
        <v/>
      </c>
      <c r="L667" s="16">
        <f>IF($I667="","",TEXT(IFERROR(INDEX(tblVeriB[BelgeTarihi],ROW()-ROW(tblVeriB[[#Headers]])),""),"yyyymmdd")&amp;"|"&amp;TEXT(IFERROR(INDEX(tblVeriB[Tutar],ROW()-ROW(tblVeriB[[#Headers]])),0),"0.00"))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 ","")))</f>
        <v/>
      </c>
      <c r="C668" s="16">
        <f>IF($B668="",0,LEN($B668))</f>
        <v/>
      </c>
      <c r="D668" s="16">
        <f>IF($A668="","",TEXT(IFERROR(INDEX(tblVeriA[Tarih],ROW()-ROW(tblVeriA[[#Headers]])),""),"yyyymmdd")&amp;"|"&amp;TEXT(IFERROR(INDEX(tblVeriA[Toplam],ROW()-ROW(tblVeriA[[#Headers]])),0),"0.00"))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 ","")))</f>
        <v/>
      </c>
      <c r="K668" s="16">
        <f>IF($J668="",0,LEN($J668))</f>
        <v/>
      </c>
      <c r="L668" s="16">
        <f>IF($I668="","",TEXT(IFERROR(INDEX(tblVeriB[BelgeTarihi],ROW()-ROW(tblVeriB[[#Headers]])),""),"yyyymmdd")&amp;"|"&amp;TEXT(IFERROR(INDEX(tblVeriB[Tutar],ROW()-ROW(tblVeriB[[#Headers]])),0),"0.00"))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 ","")))</f>
        <v/>
      </c>
      <c r="C669" s="16">
        <f>IF($B669="",0,LEN($B669))</f>
        <v/>
      </c>
      <c r="D669" s="16">
        <f>IF($A669="","",TEXT(IFERROR(INDEX(tblVeriA[Tarih],ROW()-ROW(tblVeriA[[#Headers]])),""),"yyyymmdd")&amp;"|"&amp;TEXT(IFERROR(INDEX(tblVeriA[Toplam],ROW()-ROW(tblVeriA[[#Headers]])),0),"0.00"))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 ","")))</f>
        <v/>
      </c>
      <c r="K669" s="16">
        <f>IF($J669="",0,LEN($J669))</f>
        <v/>
      </c>
      <c r="L669" s="16">
        <f>IF($I669="","",TEXT(IFERROR(INDEX(tblVeriB[BelgeTarihi],ROW()-ROW(tblVeriB[[#Headers]])),""),"yyyymmdd")&amp;"|"&amp;TEXT(IFERROR(INDEX(tblVeriB[Tutar],ROW()-ROW(tblVeriB[[#Headers]])),0),"0.00"))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 ","")))</f>
        <v/>
      </c>
      <c r="C670" s="16">
        <f>IF($B670="",0,LEN($B670))</f>
        <v/>
      </c>
      <c r="D670" s="16">
        <f>IF($A670="","",TEXT(IFERROR(INDEX(tblVeriA[Tarih],ROW()-ROW(tblVeriA[[#Headers]])),""),"yyyymmdd")&amp;"|"&amp;TEXT(IFERROR(INDEX(tblVeriA[Toplam],ROW()-ROW(tblVeriA[[#Headers]])),0),"0.00"))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 ","")))</f>
        <v/>
      </c>
      <c r="K670" s="16">
        <f>IF($J670="",0,LEN($J670))</f>
        <v/>
      </c>
      <c r="L670" s="16">
        <f>IF($I670="","",TEXT(IFERROR(INDEX(tblVeriB[BelgeTarihi],ROW()-ROW(tblVeriB[[#Headers]])),""),"yyyymmdd")&amp;"|"&amp;TEXT(IFERROR(INDEX(tblVeriB[Tutar],ROW()-ROW(tblVeriB[[#Headers]])),0),"0.00"))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 ","")))</f>
        <v/>
      </c>
      <c r="C671" s="16">
        <f>IF($B671="",0,LEN($B671))</f>
        <v/>
      </c>
      <c r="D671" s="16">
        <f>IF($A671="","",TEXT(IFERROR(INDEX(tblVeriA[Tarih],ROW()-ROW(tblVeriA[[#Headers]])),""),"yyyymmdd")&amp;"|"&amp;TEXT(IFERROR(INDEX(tblVeriA[Toplam],ROW()-ROW(tblVeriA[[#Headers]])),0),"0.00"))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 ","")))</f>
        <v/>
      </c>
      <c r="K671" s="16">
        <f>IF($J671="",0,LEN($J671))</f>
        <v/>
      </c>
      <c r="L671" s="16">
        <f>IF($I671="","",TEXT(IFERROR(INDEX(tblVeriB[BelgeTarihi],ROW()-ROW(tblVeriB[[#Headers]])),""),"yyyymmdd")&amp;"|"&amp;TEXT(IFERROR(INDEX(tblVeriB[Tutar],ROW()-ROW(tblVeriB[[#Headers]])),0),"0.00"))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 ","")))</f>
        <v/>
      </c>
      <c r="C672" s="16">
        <f>IF($B672="",0,LEN($B672))</f>
        <v/>
      </c>
      <c r="D672" s="16">
        <f>IF($A672="","",TEXT(IFERROR(INDEX(tblVeriA[Tarih],ROW()-ROW(tblVeriA[[#Headers]])),""),"yyyymmdd")&amp;"|"&amp;TEXT(IFERROR(INDEX(tblVeriA[Toplam],ROW()-ROW(tblVeriA[[#Headers]])),0),"0.00"))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 ","")))</f>
        <v/>
      </c>
      <c r="K672" s="16">
        <f>IF($J672="",0,LEN($J672))</f>
        <v/>
      </c>
      <c r="L672" s="16">
        <f>IF($I672="","",TEXT(IFERROR(INDEX(tblVeriB[BelgeTarihi],ROW()-ROW(tblVeriB[[#Headers]])),""),"yyyymmdd")&amp;"|"&amp;TEXT(IFERROR(INDEX(tblVeriB[Tutar],ROW()-ROW(tblVeriB[[#Headers]])),0),"0.00"))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 ","")))</f>
        <v/>
      </c>
      <c r="C673" s="16">
        <f>IF($B673="",0,LEN($B673))</f>
        <v/>
      </c>
      <c r="D673" s="16">
        <f>IF($A673="","",TEXT(IFERROR(INDEX(tblVeriA[Tarih],ROW()-ROW(tblVeriA[[#Headers]])),""),"yyyymmdd")&amp;"|"&amp;TEXT(IFERROR(INDEX(tblVeriA[Toplam],ROW()-ROW(tblVeriA[[#Headers]])),0),"0.00"))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 ","")))</f>
        <v/>
      </c>
      <c r="K673" s="16">
        <f>IF($J673="",0,LEN($J673))</f>
        <v/>
      </c>
      <c r="L673" s="16">
        <f>IF($I673="","",TEXT(IFERROR(INDEX(tblVeriB[BelgeTarihi],ROW()-ROW(tblVeriB[[#Headers]])),""),"yyyymmdd")&amp;"|"&amp;TEXT(IFERROR(INDEX(tblVeriB[Tutar],ROW()-ROW(tblVeriB[[#Headers]])),0),"0.00"))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 ","")))</f>
        <v/>
      </c>
      <c r="C674" s="16">
        <f>IF($B674="",0,LEN($B674))</f>
        <v/>
      </c>
      <c r="D674" s="16">
        <f>IF($A674="","",TEXT(IFERROR(INDEX(tblVeriA[Tarih],ROW()-ROW(tblVeriA[[#Headers]])),""),"yyyymmdd")&amp;"|"&amp;TEXT(IFERROR(INDEX(tblVeriA[Toplam],ROW()-ROW(tblVeriA[[#Headers]])),0),"0.00"))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 ","")))</f>
        <v/>
      </c>
      <c r="K674" s="16">
        <f>IF($J674="",0,LEN($J674))</f>
        <v/>
      </c>
      <c r="L674" s="16">
        <f>IF($I674="","",TEXT(IFERROR(INDEX(tblVeriB[BelgeTarihi],ROW()-ROW(tblVeriB[[#Headers]])),""),"yyyymmdd")&amp;"|"&amp;TEXT(IFERROR(INDEX(tblVeriB[Tutar],ROW()-ROW(tblVeriB[[#Headers]])),0),"0.00"))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 ","")))</f>
        <v/>
      </c>
      <c r="C675" s="16">
        <f>IF($B675="",0,LEN($B675))</f>
        <v/>
      </c>
      <c r="D675" s="16">
        <f>IF($A675="","",TEXT(IFERROR(INDEX(tblVeriA[Tarih],ROW()-ROW(tblVeriA[[#Headers]])),""),"yyyymmdd")&amp;"|"&amp;TEXT(IFERROR(INDEX(tblVeriA[Toplam],ROW()-ROW(tblVeriA[[#Headers]])),0),"0.00"))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 ","")))</f>
        <v/>
      </c>
      <c r="K675" s="16">
        <f>IF($J675="",0,LEN($J675))</f>
        <v/>
      </c>
      <c r="L675" s="16">
        <f>IF($I675="","",TEXT(IFERROR(INDEX(tblVeriB[BelgeTarihi],ROW()-ROW(tblVeriB[[#Headers]])),""),"yyyymmdd")&amp;"|"&amp;TEXT(IFERROR(INDEX(tblVeriB[Tutar],ROW()-ROW(tblVeriB[[#Headers]])),0),"0.00"))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 ","")))</f>
        <v/>
      </c>
      <c r="C676" s="16">
        <f>IF($B676="",0,LEN($B676))</f>
        <v/>
      </c>
      <c r="D676" s="16">
        <f>IF($A676="","",TEXT(IFERROR(INDEX(tblVeriA[Tarih],ROW()-ROW(tblVeriA[[#Headers]])),""),"yyyymmdd")&amp;"|"&amp;TEXT(IFERROR(INDEX(tblVeriA[Toplam],ROW()-ROW(tblVeriA[[#Headers]])),0),"0.00"))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 ","")))</f>
        <v/>
      </c>
      <c r="K676" s="16">
        <f>IF($J676="",0,LEN($J676))</f>
        <v/>
      </c>
      <c r="L676" s="16">
        <f>IF($I676="","",TEXT(IFERROR(INDEX(tblVeriB[BelgeTarihi],ROW()-ROW(tblVeriB[[#Headers]])),""),"yyyymmdd")&amp;"|"&amp;TEXT(IFERROR(INDEX(tblVeriB[Tutar],ROW()-ROW(tblVeriB[[#Headers]])),0),"0.00"))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 ","")))</f>
        <v/>
      </c>
      <c r="C677" s="16">
        <f>IF($B677="",0,LEN($B677))</f>
        <v/>
      </c>
      <c r="D677" s="16">
        <f>IF($A677="","",TEXT(IFERROR(INDEX(tblVeriA[Tarih],ROW()-ROW(tblVeriA[[#Headers]])),""),"yyyymmdd")&amp;"|"&amp;TEXT(IFERROR(INDEX(tblVeriA[Toplam],ROW()-ROW(tblVeriA[[#Headers]])),0),"0.00"))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 ","")))</f>
        <v/>
      </c>
      <c r="K677" s="16">
        <f>IF($J677="",0,LEN($J677))</f>
        <v/>
      </c>
      <c r="L677" s="16">
        <f>IF($I677="","",TEXT(IFERROR(INDEX(tblVeriB[BelgeTarihi],ROW()-ROW(tblVeriB[[#Headers]])),""),"yyyymmdd")&amp;"|"&amp;TEXT(IFERROR(INDEX(tblVeriB[Tutar],ROW()-ROW(tblVeriB[[#Headers]])),0),"0.00"))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 ","")))</f>
        <v/>
      </c>
      <c r="C678" s="16">
        <f>IF($B678="",0,LEN($B678))</f>
        <v/>
      </c>
      <c r="D678" s="16">
        <f>IF($A678="","",TEXT(IFERROR(INDEX(tblVeriA[Tarih],ROW()-ROW(tblVeriA[[#Headers]])),""),"yyyymmdd")&amp;"|"&amp;TEXT(IFERROR(INDEX(tblVeriA[Toplam],ROW()-ROW(tblVeriA[[#Headers]])),0),"0.00"))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 ","")))</f>
        <v/>
      </c>
      <c r="K678" s="16">
        <f>IF($J678="",0,LEN($J678))</f>
        <v/>
      </c>
      <c r="L678" s="16">
        <f>IF($I678="","",TEXT(IFERROR(INDEX(tblVeriB[BelgeTarihi],ROW()-ROW(tblVeriB[[#Headers]])),""),"yyyymmdd")&amp;"|"&amp;TEXT(IFERROR(INDEX(tblVeriB[Tutar],ROW()-ROW(tblVeriB[[#Headers]])),0),"0.00"))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 ","")))</f>
        <v/>
      </c>
      <c r="C679" s="16">
        <f>IF($B679="",0,LEN($B679))</f>
        <v/>
      </c>
      <c r="D679" s="16">
        <f>IF($A679="","",TEXT(IFERROR(INDEX(tblVeriA[Tarih],ROW()-ROW(tblVeriA[[#Headers]])),""),"yyyymmdd")&amp;"|"&amp;TEXT(IFERROR(INDEX(tblVeriA[Toplam],ROW()-ROW(tblVeriA[[#Headers]])),0),"0.00"))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 ","")))</f>
        <v/>
      </c>
      <c r="K679" s="16">
        <f>IF($J679="",0,LEN($J679))</f>
        <v/>
      </c>
      <c r="L679" s="16">
        <f>IF($I679="","",TEXT(IFERROR(INDEX(tblVeriB[BelgeTarihi],ROW()-ROW(tblVeriB[[#Headers]])),""),"yyyymmdd")&amp;"|"&amp;TEXT(IFERROR(INDEX(tblVeriB[Tutar],ROW()-ROW(tblVeriB[[#Headers]])),0),"0.00"))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 ","")))</f>
        <v/>
      </c>
      <c r="C680" s="16">
        <f>IF($B680="",0,LEN($B680))</f>
        <v/>
      </c>
      <c r="D680" s="16">
        <f>IF($A680="","",TEXT(IFERROR(INDEX(tblVeriA[Tarih],ROW()-ROW(tblVeriA[[#Headers]])),""),"yyyymmdd")&amp;"|"&amp;TEXT(IFERROR(INDEX(tblVeriA[Toplam],ROW()-ROW(tblVeriA[[#Headers]])),0),"0.00"))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 ","")))</f>
        <v/>
      </c>
      <c r="K680" s="16">
        <f>IF($J680="",0,LEN($J680))</f>
        <v/>
      </c>
      <c r="L680" s="16">
        <f>IF($I680="","",TEXT(IFERROR(INDEX(tblVeriB[BelgeTarihi],ROW()-ROW(tblVeriB[[#Headers]])),""),"yyyymmdd")&amp;"|"&amp;TEXT(IFERROR(INDEX(tblVeriB[Tutar],ROW()-ROW(tblVeriB[[#Headers]])),0),"0.00"))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 ","")))</f>
        <v/>
      </c>
      <c r="C681" s="16">
        <f>IF($B681="",0,LEN($B681))</f>
        <v/>
      </c>
      <c r="D681" s="16">
        <f>IF($A681="","",TEXT(IFERROR(INDEX(tblVeriA[Tarih],ROW()-ROW(tblVeriA[[#Headers]])),""),"yyyymmdd")&amp;"|"&amp;TEXT(IFERROR(INDEX(tblVeriA[Toplam],ROW()-ROW(tblVeriA[[#Headers]])),0),"0.00"))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 ","")))</f>
        <v/>
      </c>
      <c r="K681" s="16">
        <f>IF($J681="",0,LEN($J681))</f>
        <v/>
      </c>
      <c r="L681" s="16">
        <f>IF($I681="","",TEXT(IFERROR(INDEX(tblVeriB[BelgeTarihi],ROW()-ROW(tblVeriB[[#Headers]])),""),"yyyymmdd")&amp;"|"&amp;TEXT(IFERROR(INDEX(tblVeriB[Tutar],ROW()-ROW(tblVeriB[[#Headers]])),0),"0.00"))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 ","")))</f>
        <v/>
      </c>
      <c r="C682" s="16">
        <f>IF($B682="",0,LEN($B682))</f>
        <v/>
      </c>
      <c r="D682" s="16">
        <f>IF($A682="","",TEXT(IFERROR(INDEX(tblVeriA[Tarih],ROW()-ROW(tblVeriA[[#Headers]])),""),"yyyymmdd")&amp;"|"&amp;TEXT(IFERROR(INDEX(tblVeriA[Toplam],ROW()-ROW(tblVeriA[[#Headers]])),0),"0.00"))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 ","")))</f>
        <v/>
      </c>
      <c r="K682" s="16">
        <f>IF($J682="",0,LEN($J682))</f>
        <v/>
      </c>
      <c r="L682" s="16">
        <f>IF($I682="","",TEXT(IFERROR(INDEX(tblVeriB[BelgeTarihi],ROW()-ROW(tblVeriB[[#Headers]])),""),"yyyymmdd")&amp;"|"&amp;TEXT(IFERROR(INDEX(tblVeriB[Tutar],ROW()-ROW(tblVeriB[[#Headers]])),0),"0.00"))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 ","")))</f>
        <v/>
      </c>
      <c r="C683" s="16">
        <f>IF($B683="",0,LEN($B683))</f>
        <v/>
      </c>
      <c r="D683" s="16">
        <f>IF($A683="","",TEXT(IFERROR(INDEX(tblVeriA[Tarih],ROW()-ROW(tblVeriA[[#Headers]])),""),"yyyymmdd")&amp;"|"&amp;TEXT(IFERROR(INDEX(tblVeriA[Toplam],ROW()-ROW(tblVeriA[[#Headers]])),0),"0.00"))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 ","")))</f>
        <v/>
      </c>
      <c r="K683" s="16">
        <f>IF($J683="",0,LEN($J683))</f>
        <v/>
      </c>
      <c r="L683" s="16">
        <f>IF($I683="","",TEXT(IFERROR(INDEX(tblVeriB[BelgeTarihi],ROW()-ROW(tblVeriB[[#Headers]])),""),"yyyymmdd")&amp;"|"&amp;TEXT(IFERROR(INDEX(tblVeriB[Tutar],ROW()-ROW(tblVeriB[[#Headers]])),0),"0.00"))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 ","")))</f>
        <v/>
      </c>
      <c r="C684" s="16">
        <f>IF($B684="",0,LEN($B684))</f>
        <v/>
      </c>
      <c r="D684" s="16">
        <f>IF($A684="","",TEXT(IFERROR(INDEX(tblVeriA[Tarih],ROW()-ROW(tblVeriA[[#Headers]])),""),"yyyymmdd")&amp;"|"&amp;TEXT(IFERROR(INDEX(tblVeriA[Toplam],ROW()-ROW(tblVeriA[[#Headers]])),0),"0.00"))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 ","")))</f>
        <v/>
      </c>
      <c r="K684" s="16">
        <f>IF($J684="",0,LEN($J684))</f>
        <v/>
      </c>
      <c r="L684" s="16">
        <f>IF($I684="","",TEXT(IFERROR(INDEX(tblVeriB[BelgeTarihi],ROW()-ROW(tblVeriB[[#Headers]])),""),"yyyymmdd")&amp;"|"&amp;TEXT(IFERROR(INDEX(tblVeriB[Tutar],ROW()-ROW(tblVeriB[[#Headers]])),0),"0.00"))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 ","")))</f>
        <v/>
      </c>
      <c r="C685" s="16">
        <f>IF($B685="",0,LEN($B685))</f>
        <v/>
      </c>
      <c r="D685" s="16">
        <f>IF($A685="","",TEXT(IFERROR(INDEX(tblVeriA[Tarih],ROW()-ROW(tblVeriA[[#Headers]])),""),"yyyymmdd")&amp;"|"&amp;TEXT(IFERROR(INDEX(tblVeriA[Toplam],ROW()-ROW(tblVeriA[[#Headers]])),0),"0.00"))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 ","")))</f>
        <v/>
      </c>
      <c r="K685" s="16">
        <f>IF($J685="",0,LEN($J685))</f>
        <v/>
      </c>
      <c r="L685" s="16">
        <f>IF($I685="","",TEXT(IFERROR(INDEX(tblVeriB[BelgeTarihi],ROW()-ROW(tblVeriB[[#Headers]])),""),"yyyymmdd")&amp;"|"&amp;TEXT(IFERROR(INDEX(tblVeriB[Tutar],ROW()-ROW(tblVeriB[[#Headers]])),0),"0.00"))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 ","")))</f>
        <v/>
      </c>
      <c r="C686" s="16">
        <f>IF($B686="",0,LEN($B686))</f>
        <v/>
      </c>
      <c r="D686" s="16">
        <f>IF($A686="","",TEXT(IFERROR(INDEX(tblVeriA[Tarih],ROW()-ROW(tblVeriA[[#Headers]])),""),"yyyymmdd")&amp;"|"&amp;TEXT(IFERROR(INDEX(tblVeriA[Toplam],ROW()-ROW(tblVeriA[[#Headers]])),0),"0.00"))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 ","")))</f>
        <v/>
      </c>
      <c r="K686" s="16">
        <f>IF($J686="",0,LEN($J686))</f>
        <v/>
      </c>
      <c r="L686" s="16">
        <f>IF($I686="","",TEXT(IFERROR(INDEX(tblVeriB[BelgeTarihi],ROW()-ROW(tblVeriB[[#Headers]])),""),"yyyymmdd")&amp;"|"&amp;TEXT(IFERROR(INDEX(tblVeriB[Tutar],ROW()-ROW(tblVeriB[[#Headers]])),0),"0.00"))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 ","")))</f>
        <v/>
      </c>
      <c r="C687" s="16">
        <f>IF($B687="",0,LEN($B687))</f>
        <v/>
      </c>
      <c r="D687" s="16">
        <f>IF($A687="","",TEXT(IFERROR(INDEX(tblVeriA[Tarih],ROW()-ROW(tblVeriA[[#Headers]])),""),"yyyymmdd")&amp;"|"&amp;TEXT(IFERROR(INDEX(tblVeriA[Toplam],ROW()-ROW(tblVeriA[[#Headers]])),0),"0.00"))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 ","")))</f>
        <v/>
      </c>
      <c r="K687" s="16">
        <f>IF($J687="",0,LEN($J687))</f>
        <v/>
      </c>
      <c r="L687" s="16">
        <f>IF($I687="","",TEXT(IFERROR(INDEX(tblVeriB[BelgeTarihi],ROW()-ROW(tblVeriB[[#Headers]])),""),"yyyymmdd")&amp;"|"&amp;TEXT(IFERROR(INDEX(tblVeriB[Tutar],ROW()-ROW(tblVeriB[[#Headers]])),0),"0.00"))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 ","")))</f>
        <v/>
      </c>
      <c r="C688" s="16">
        <f>IF($B688="",0,LEN($B688))</f>
        <v/>
      </c>
      <c r="D688" s="16">
        <f>IF($A688="","",TEXT(IFERROR(INDEX(tblVeriA[Tarih],ROW()-ROW(tblVeriA[[#Headers]])),""),"yyyymmdd")&amp;"|"&amp;TEXT(IFERROR(INDEX(tblVeriA[Toplam],ROW()-ROW(tblVeriA[[#Headers]])),0),"0.00"))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 ","")))</f>
        <v/>
      </c>
      <c r="K688" s="16">
        <f>IF($J688="",0,LEN($J688))</f>
        <v/>
      </c>
      <c r="L688" s="16">
        <f>IF($I688="","",TEXT(IFERROR(INDEX(tblVeriB[BelgeTarihi],ROW()-ROW(tblVeriB[[#Headers]])),""),"yyyymmdd")&amp;"|"&amp;TEXT(IFERROR(INDEX(tblVeriB[Tutar],ROW()-ROW(tblVeriB[[#Headers]])),0),"0.00"))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 ","")))</f>
        <v/>
      </c>
      <c r="C689" s="16">
        <f>IF($B689="",0,LEN($B689))</f>
        <v/>
      </c>
      <c r="D689" s="16">
        <f>IF($A689="","",TEXT(IFERROR(INDEX(tblVeriA[Tarih],ROW()-ROW(tblVeriA[[#Headers]])),""),"yyyymmdd")&amp;"|"&amp;TEXT(IFERROR(INDEX(tblVeriA[Toplam],ROW()-ROW(tblVeriA[[#Headers]])),0),"0.00"))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 ","")))</f>
        <v/>
      </c>
      <c r="K689" s="16">
        <f>IF($J689="",0,LEN($J689))</f>
        <v/>
      </c>
      <c r="L689" s="16">
        <f>IF($I689="","",TEXT(IFERROR(INDEX(tblVeriB[BelgeTarihi],ROW()-ROW(tblVeriB[[#Headers]])),""),"yyyymmdd")&amp;"|"&amp;TEXT(IFERROR(INDEX(tblVeriB[Tutar],ROW()-ROW(tblVeriB[[#Headers]])),0),"0.00"))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 ","")))</f>
        <v/>
      </c>
      <c r="C690" s="16">
        <f>IF($B690="",0,LEN($B690))</f>
        <v/>
      </c>
      <c r="D690" s="16">
        <f>IF($A690="","",TEXT(IFERROR(INDEX(tblVeriA[Tarih],ROW()-ROW(tblVeriA[[#Headers]])),""),"yyyymmdd")&amp;"|"&amp;TEXT(IFERROR(INDEX(tblVeriA[Toplam],ROW()-ROW(tblVeriA[[#Headers]])),0),"0.00"))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 ","")))</f>
        <v/>
      </c>
      <c r="K690" s="16">
        <f>IF($J690="",0,LEN($J690))</f>
        <v/>
      </c>
      <c r="L690" s="16">
        <f>IF($I690="","",TEXT(IFERROR(INDEX(tblVeriB[BelgeTarihi],ROW()-ROW(tblVeriB[[#Headers]])),""),"yyyymmdd")&amp;"|"&amp;TEXT(IFERROR(INDEX(tblVeriB[Tutar],ROW()-ROW(tblVeriB[[#Headers]])),0),"0.00"))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 ","")))</f>
        <v/>
      </c>
      <c r="C691" s="16">
        <f>IF($B691="",0,LEN($B691))</f>
        <v/>
      </c>
      <c r="D691" s="16">
        <f>IF($A691="","",TEXT(IFERROR(INDEX(tblVeriA[Tarih],ROW()-ROW(tblVeriA[[#Headers]])),""),"yyyymmdd")&amp;"|"&amp;TEXT(IFERROR(INDEX(tblVeriA[Toplam],ROW()-ROW(tblVeriA[[#Headers]])),0),"0.00"))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 ","")))</f>
        <v/>
      </c>
      <c r="K691" s="16">
        <f>IF($J691="",0,LEN($J691))</f>
        <v/>
      </c>
      <c r="L691" s="16">
        <f>IF($I691="","",TEXT(IFERROR(INDEX(tblVeriB[BelgeTarihi],ROW()-ROW(tblVeriB[[#Headers]])),""),"yyyymmdd")&amp;"|"&amp;TEXT(IFERROR(INDEX(tblVeriB[Tutar],ROW()-ROW(tblVeriB[[#Headers]])),0),"0.00"))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 ","")))</f>
        <v/>
      </c>
      <c r="C692" s="16">
        <f>IF($B692="",0,LEN($B692))</f>
        <v/>
      </c>
      <c r="D692" s="16">
        <f>IF($A692="","",TEXT(IFERROR(INDEX(tblVeriA[Tarih],ROW()-ROW(tblVeriA[[#Headers]])),""),"yyyymmdd")&amp;"|"&amp;TEXT(IFERROR(INDEX(tblVeriA[Toplam],ROW()-ROW(tblVeriA[[#Headers]])),0),"0.00"))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 ","")))</f>
        <v/>
      </c>
      <c r="K692" s="16">
        <f>IF($J692="",0,LEN($J692))</f>
        <v/>
      </c>
      <c r="L692" s="16">
        <f>IF($I692="","",TEXT(IFERROR(INDEX(tblVeriB[BelgeTarihi],ROW()-ROW(tblVeriB[[#Headers]])),""),"yyyymmdd")&amp;"|"&amp;TEXT(IFERROR(INDEX(tblVeriB[Tutar],ROW()-ROW(tblVeriB[[#Headers]])),0),"0.00"))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 ","")))</f>
        <v/>
      </c>
      <c r="C693" s="16">
        <f>IF($B693="",0,LEN($B693))</f>
        <v/>
      </c>
      <c r="D693" s="16">
        <f>IF($A693="","",TEXT(IFERROR(INDEX(tblVeriA[Tarih],ROW()-ROW(tblVeriA[[#Headers]])),""),"yyyymmdd")&amp;"|"&amp;TEXT(IFERROR(INDEX(tblVeriA[Toplam],ROW()-ROW(tblVeriA[[#Headers]])),0),"0.00"))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 ","")))</f>
        <v/>
      </c>
      <c r="K693" s="16">
        <f>IF($J693="",0,LEN($J693))</f>
        <v/>
      </c>
      <c r="L693" s="16">
        <f>IF($I693="","",TEXT(IFERROR(INDEX(tblVeriB[BelgeTarihi],ROW()-ROW(tblVeriB[[#Headers]])),""),"yyyymmdd")&amp;"|"&amp;TEXT(IFERROR(INDEX(tblVeriB[Tutar],ROW()-ROW(tblVeriB[[#Headers]])),0),"0.00"))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 ","")))</f>
        <v/>
      </c>
      <c r="C694" s="16">
        <f>IF($B694="",0,LEN($B694))</f>
        <v/>
      </c>
      <c r="D694" s="16">
        <f>IF($A694="","",TEXT(IFERROR(INDEX(tblVeriA[Tarih],ROW()-ROW(tblVeriA[[#Headers]])),""),"yyyymmdd")&amp;"|"&amp;TEXT(IFERROR(INDEX(tblVeriA[Toplam],ROW()-ROW(tblVeriA[[#Headers]])),0),"0.00"))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 ","")))</f>
        <v/>
      </c>
      <c r="K694" s="16">
        <f>IF($J694="",0,LEN($J694))</f>
        <v/>
      </c>
      <c r="L694" s="16">
        <f>IF($I694="","",TEXT(IFERROR(INDEX(tblVeriB[BelgeTarihi],ROW()-ROW(tblVeriB[[#Headers]])),""),"yyyymmdd")&amp;"|"&amp;TEXT(IFERROR(INDEX(tblVeriB[Tutar],ROW()-ROW(tblVeriB[[#Headers]])),0),"0.00"))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 ","")))</f>
        <v/>
      </c>
      <c r="C695" s="16">
        <f>IF($B695="",0,LEN($B695))</f>
        <v/>
      </c>
      <c r="D695" s="16">
        <f>IF($A695="","",TEXT(IFERROR(INDEX(tblVeriA[Tarih],ROW()-ROW(tblVeriA[[#Headers]])),""),"yyyymmdd")&amp;"|"&amp;TEXT(IFERROR(INDEX(tblVeriA[Toplam],ROW()-ROW(tblVeriA[[#Headers]])),0),"0.00"))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 ","")))</f>
        <v/>
      </c>
      <c r="K695" s="16">
        <f>IF($J695="",0,LEN($J695))</f>
        <v/>
      </c>
      <c r="L695" s="16">
        <f>IF($I695="","",TEXT(IFERROR(INDEX(tblVeriB[BelgeTarihi],ROW()-ROW(tblVeriB[[#Headers]])),""),"yyyymmdd")&amp;"|"&amp;TEXT(IFERROR(INDEX(tblVeriB[Tutar],ROW()-ROW(tblVeriB[[#Headers]])),0),"0.00"))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 ","")))</f>
        <v/>
      </c>
      <c r="C696" s="16">
        <f>IF($B696="",0,LEN($B696))</f>
        <v/>
      </c>
      <c r="D696" s="16">
        <f>IF($A696="","",TEXT(IFERROR(INDEX(tblVeriA[Tarih],ROW()-ROW(tblVeriA[[#Headers]])),""),"yyyymmdd")&amp;"|"&amp;TEXT(IFERROR(INDEX(tblVeriA[Toplam],ROW()-ROW(tblVeriA[[#Headers]])),0),"0.00"))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 ","")))</f>
        <v/>
      </c>
      <c r="K696" s="16">
        <f>IF($J696="",0,LEN($J696))</f>
        <v/>
      </c>
      <c r="L696" s="16">
        <f>IF($I696="","",TEXT(IFERROR(INDEX(tblVeriB[BelgeTarihi],ROW()-ROW(tblVeriB[[#Headers]])),""),"yyyymmdd")&amp;"|"&amp;TEXT(IFERROR(INDEX(tblVeriB[Tutar],ROW()-ROW(tblVeriB[[#Headers]])),0),"0.00"))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 ","")))</f>
        <v/>
      </c>
      <c r="C697" s="16">
        <f>IF($B697="",0,LEN($B697))</f>
        <v/>
      </c>
      <c r="D697" s="16">
        <f>IF($A697="","",TEXT(IFERROR(INDEX(tblVeriA[Tarih],ROW()-ROW(tblVeriA[[#Headers]])),""),"yyyymmdd")&amp;"|"&amp;TEXT(IFERROR(INDEX(tblVeriA[Toplam],ROW()-ROW(tblVeriA[[#Headers]])),0),"0.00"))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 ","")))</f>
        <v/>
      </c>
      <c r="K697" s="16">
        <f>IF($J697="",0,LEN($J697))</f>
        <v/>
      </c>
      <c r="L697" s="16">
        <f>IF($I697="","",TEXT(IFERROR(INDEX(tblVeriB[BelgeTarihi],ROW()-ROW(tblVeriB[[#Headers]])),""),"yyyymmdd")&amp;"|"&amp;TEXT(IFERROR(INDEX(tblVeriB[Tutar],ROW()-ROW(tblVeriB[[#Headers]])),0),"0.00"))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 ","")))</f>
        <v/>
      </c>
      <c r="C698" s="16">
        <f>IF($B698="",0,LEN($B698))</f>
        <v/>
      </c>
      <c r="D698" s="16">
        <f>IF($A698="","",TEXT(IFERROR(INDEX(tblVeriA[Tarih],ROW()-ROW(tblVeriA[[#Headers]])),""),"yyyymmdd")&amp;"|"&amp;TEXT(IFERROR(INDEX(tblVeriA[Toplam],ROW()-ROW(tblVeriA[[#Headers]])),0),"0.00"))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 ","")))</f>
        <v/>
      </c>
      <c r="K698" s="16">
        <f>IF($J698="",0,LEN($J698))</f>
        <v/>
      </c>
      <c r="L698" s="16">
        <f>IF($I698="","",TEXT(IFERROR(INDEX(tblVeriB[BelgeTarihi],ROW()-ROW(tblVeriB[[#Headers]])),""),"yyyymmdd")&amp;"|"&amp;TEXT(IFERROR(INDEX(tblVeriB[Tutar],ROW()-ROW(tblVeriB[[#Headers]])),0),"0.00"))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 ","")))</f>
        <v/>
      </c>
      <c r="C699" s="16">
        <f>IF($B699="",0,LEN($B699))</f>
        <v/>
      </c>
      <c r="D699" s="16">
        <f>IF($A699="","",TEXT(IFERROR(INDEX(tblVeriA[Tarih],ROW()-ROW(tblVeriA[[#Headers]])),""),"yyyymmdd")&amp;"|"&amp;TEXT(IFERROR(INDEX(tblVeriA[Toplam],ROW()-ROW(tblVeriA[[#Headers]])),0),"0.00"))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 ","")))</f>
        <v/>
      </c>
      <c r="K699" s="16">
        <f>IF($J699="",0,LEN($J699))</f>
        <v/>
      </c>
      <c r="L699" s="16">
        <f>IF($I699="","",TEXT(IFERROR(INDEX(tblVeriB[BelgeTarihi],ROW()-ROW(tblVeriB[[#Headers]])),""),"yyyymmdd")&amp;"|"&amp;TEXT(IFERROR(INDEX(tblVeriB[Tutar],ROW()-ROW(tblVeriB[[#Headers]])),0),"0.00"))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 ","")))</f>
        <v/>
      </c>
      <c r="C700" s="16">
        <f>IF($B700="",0,LEN($B700))</f>
        <v/>
      </c>
      <c r="D700" s="16">
        <f>IF($A700="","",TEXT(IFERROR(INDEX(tblVeriA[Tarih],ROW()-ROW(tblVeriA[[#Headers]])),""),"yyyymmdd")&amp;"|"&amp;TEXT(IFERROR(INDEX(tblVeriA[Toplam],ROW()-ROW(tblVeriA[[#Headers]])),0),"0.00"))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 ","")))</f>
        <v/>
      </c>
      <c r="K700" s="16">
        <f>IF($J700="",0,LEN($J700))</f>
        <v/>
      </c>
      <c r="L700" s="16">
        <f>IF($I700="","",TEXT(IFERROR(INDEX(tblVeriB[BelgeTarihi],ROW()-ROW(tblVeriB[[#Headers]])),""),"yyyymmdd")&amp;"|"&amp;TEXT(IFERROR(INDEX(tblVeriB[Tutar],ROW()-ROW(tblVeriB[[#Headers]])),0),"0.00"))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 ","")))</f>
        <v/>
      </c>
      <c r="C701" s="16">
        <f>IF($B701="",0,LEN($B701))</f>
        <v/>
      </c>
      <c r="D701" s="16">
        <f>IF($A701="","",TEXT(IFERROR(INDEX(tblVeriA[Tarih],ROW()-ROW(tblVeriA[[#Headers]])),""),"yyyymmdd")&amp;"|"&amp;TEXT(IFERROR(INDEX(tblVeriA[Toplam],ROW()-ROW(tblVeriA[[#Headers]])),0),"0.00"))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 ","")))</f>
        <v/>
      </c>
      <c r="K701" s="16">
        <f>IF($J701="",0,LEN($J701))</f>
        <v/>
      </c>
      <c r="L701" s="16">
        <f>IF($I701="","",TEXT(IFERROR(INDEX(tblVeriB[BelgeTarihi],ROW()-ROW(tblVeriB[[#Headers]])),""),"yyyymmdd")&amp;"|"&amp;TEXT(IFERROR(INDEX(tblVeriB[Tutar],ROW()-ROW(tblVeriB[[#Headers]])),0),"0.00"))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 ","")))</f>
        <v/>
      </c>
      <c r="C702" s="16">
        <f>IF($B702="",0,LEN($B702))</f>
        <v/>
      </c>
      <c r="D702" s="16">
        <f>IF($A702="","",TEXT(IFERROR(INDEX(tblVeriA[Tarih],ROW()-ROW(tblVeriA[[#Headers]])),""),"yyyymmdd")&amp;"|"&amp;TEXT(IFERROR(INDEX(tblVeriA[Toplam],ROW()-ROW(tblVeriA[[#Headers]])),0),"0.00"))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 ","")))</f>
        <v/>
      </c>
      <c r="K702" s="16">
        <f>IF($J702="",0,LEN($J702))</f>
        <v/>
      </c>
      <c r="L702" s="16">
        <f>IF($I702="","",TEXT(IFERROR(INDEX(tblVeriB[BelgeTarihi],ROW()-ROW(tblVeriB[[#Headers]])),""),"yyyymmdd")&amp;"|"&amp;TEXT(IFERROR(INDEX(tblVeriB[Tutar],ROW()-ROW(tblVeriB[[#Headers]])),0),"0.00"))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 ","")))</f>
        <v/>
      </c>
      <c r="C703" s="16">
        <f>IF($B703="",0,LEN($B703))</f>
        <v/>
      </c>
      <c r="D703" s="16">
        <f>IF($A703="","",TEXT(IFERROR(INDEX(tblVeriA[Tarih],ROW()-ROW(tblVeriA[[#Headers]])),""),"yyyymmdd")&amp;"|"&amp;TEXT(IFERROR(INDEX(tblVeriA[Toplam],ROW()-ROW(tblVeriA[[#Headers]])),0),"0.00"))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 ","")))</f>
        <v/>
      </c>
      <c r="K703" s="16">
        <f>IF($J703="",0,LEN($J703))</f>
        <v/>
      </c>
      <c r="L703" s="16">
        <f>IF($I703="","",TEXT(IFERROR(INDEX(tblVeriB[BelgeTarihi],ROW()-ROW(tblVeriB[[#Headers]])),""),"yyyymmdd")&amp;"|"&amp;TEXT(IFERROR(INDEX(tblVeriB[Tutar],ROW()-ROW(tblVeriB[[#Headers]])),0),"0.00"))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 ","")))</f>
        <v/>
      </c>
      <c r="C704" s="16">
        <f>IF($B704="",0,LEN($B704))</f>
        <v/>
      </c>
      <c r="D704" s="16">
        <f>IF($A704="","",TEXT(IFERROR(INDEX(tblVeriA[Tarih],ROW()-ROW(tblVeriA[[#Headers]])),""),"yyyymmdd")&amp;"|"&amp;TEXT(IFERROR(INDEX(tblVeriA[Toplam],ROW()-ROW(tblVeriA[[#Headers]])),0),"0.00"))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 ","")))</f>
        <v/>
      </c>
      <c r="K704" s="16">
        <f>IF($J704="",0,LEN($J704))</f>
        <v/>
      </c>
      <c r="L704" s="16">
        <f>IF($I704="","",TEXT(IFERROR(INDEX(tblVeriB[BelgeTarihi],ROW()-ROW(tblVeriB[[#Headers]])),""),"yyyymmdd")&amp;"|"&amp;TEXT(IFERROR(INDEX(tblVeriB[Tutar],ROW()-ROW(tblVeriB[[#Headers]])),0),"0.00"))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 ","")))</f>
        <v/>
      </c>
      <c r="C705" s="16">
        <f>IF($B705="",0,LEN($B705))</f>
        <v/>
      </c>
      <c r="D705" s="16">
        <f>IF($A705="","",TEXT(IFERROR(INDEX(tblVeriA[Tarih],ROW()-ROW(tblVeriA[[#Headers]])),""),"yyyymmdd")&amp;"|"&amp;TEXT(IFERROR(INDEX(tblVeriA[Toplam],ROW()-ROW(tblVeriA[[#Headers]])),0),"0.00"))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 ","")))</f>
        <v/>
      </c>
      <c r="K705" s="16">
        <f>IF($J705="",0,LEN($J705))</f>
        <v/>
      </c>
      <c r="L705" s="16">
        <f>IF($I705="","",TEXT(IFERROR(INDEX(tblVeriB[BelgeTarihi],ROW()-ROW(tblVeriB[[#Headers]])),""),"yyyymmdd")&amp;"|"&amp;TEXT(IFERROR(INDEX(tblVeriB[Tutar],ROW()-ROW(tblVeriB[[#Headers]])),0),"0.00"))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 ","")))</f>
        <v/>
      </c>
      <c r="C706" s="16">
        <f>IF($B706="",0,LEN($B706))</f>
        <v/>
      </c>
      <c r="D706" s="16">
        <f>IF($A706="","",TEXT(IFERROR(INDEX(tblVeriA[Tarih],ROW()-ROW(tblVeriA[[#Headers]])),""),"yyyymmdd")&amp;"|"&amp;TEXT(IFERROR(INDEX(tblVeriA[Toplam],ROW()-ROW(tblVeriA[[#Headers]])),0),"0.00"))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 ","")))</f>
        <v/>
      </c>
      <c r="K706" s="16">
        <f>IF($J706="",0,LEN($J706))</f>
        <v/>
      </c>
      <c r="L706" s="16">
        <f>IF($I706="","",TEXT(IFERROR(INDEX(tblVeriB[BelgeTarihi],ROW()-ROW(tblVeriB[[#Headers]])),""),"yyyymmdd")&amp;"|"&amp;TEXT(IFERROR(INDEX(tblVeriB[Tutar],ROW()-ROW(tblVeriB[[#Headers]])),0),"0.00"))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 ","")))</f>
        <v/>
      </c>
      <c r="C707" s="16">
        <f>IF($B707="",0,LEN($B707))</f>
        <v/>
      </c>
      <c r="D707" s="16">
        <f>IF($A707="","",TEXT(IFERROR(INDEX(tblVeriA[Tarih],ROW()-ROW(tblVeriA[[#Headers]])),""),"yyyymmdd")&amp;"|"&amp;TEXT(IFERROR(INDEX(tblVeriA[Toplam],ROW()-ROW(tblVeriA[[#Headers]])),0),"0.00"))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 ","")))</f>
        <v/>
      </c>
      <c r="K707" s="16">
        <f>IF($J707="",0,LEN($J707))</f>
        <v/>
      </c>
      <c r="L707" s="16">
        <f>IF($I707="","",TEXT(IFERROR(INDEX(tblVeriB[BelgeTarihi],ROW()-ROW(tblVeriB[[#Headers]])),""),"yyyymmdd")&amp;"|"&amp;TEXT(IFERROR(INDEX(tblVeriB[Tutar],ROW()-ROW(tblVeriB[[#Headers]])),0),"0.00"))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 ","")))</f>
        <v/>
      </c>
      <c r="C708" s="16">
        <f>IF($B708="",0,LEN($B708))</f>
        <v/>
      </c>
      <c r="D708" s="16">
        <f>IF($A708="","",TEXT(IFERROR(INDEX(tblVeriA[Tarih],ROW()-ROW(tblVeriA[[#Headers]])),""),"yyyymmdd")&amp;"|"&amp;TEXT(IFERROR(INDEX(tblVeriA[Toplam],ROW()-ROW(tblVeriA[[#Headers]])),0),"0.00"))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 ","")))</f>
        <v/>
      </c>
      <c r="K708" s="16">
        <f>IF($J708="",0,LEN($J708))</f>
        <v/>
      </c>
      <c r="L708" s="16">
        <f>IF($I708="","",TEXT(IFERROR(INDEX(tblVeriB[BelgeTarihi],ROW()-ROW(tblVeriB[[#Headers]])),""),"yyyymmdd")&amp;"|"&amp;TEXT(IFERROR(INDEX(tblVeriB[Tutar],ROW()-ROW(tblVeriB[[#Headers]])),0),"0.00"))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 ","")))</f>
        <v/>
      </c>
      <c r="C709" s="16">
        <f>IF($B709="",0,LEN($B709))</f>
        <v/>
      </c>
      <c r="D709" s="16">
        <f>IF($A709="","",TEXT(IFERROR(INDEX(tblVeriA[Tarih],ROW()-ROW(tblVeriA[[#Headers]])),""),"yyyymmdd")&amp;"|"&amp;TEXT(IFERROR(INDEX(tblVeriA[Toplam],ROW()-ROW(tblVeriA[[#Headers]])),0),"0.00"))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 ","")))</f>
        <v/>
      </c>
      <c r="K709" s="16">
        <f>IF($J709="",0,LEN($J709))</f>
        <v/>
      </c>
      <c r="L709" s="16">
        <f>IF($I709="","",TEXT(IFERROR(INDEX(tblVeriB[BelgeTarihi],ROW()-ROW(tblVeriB[[#Headers]])),""),"yyyymmdd")&amp;"|"&amp;TEXT(IFERROR(INDEX(tblVeriB[Tutar],ROW()-ROW(tblVeriB[[#Headers]])),0),"0.00"))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 ","")))</f>
        <v/>
      </c>
      <c r="C710" s="16">
        <f>IF($B710="",0,LEN($B710))</f>
        <v/>
      </c>
      <c r="D710" s="16">
        <f>IF($A710="","",TEXT(IFERROR(INDEX(tblVeriA[Tarih],ROW()-ROW(tblVeriA[[#Headers]])),""),"yyyymmdd")&amp;"|"&amp;TEXT(IFERROR(INDEX(tblVeriA[Toplam],ROW()-ROW(tblVeriA[[#Headers]])),0),"0.00"))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 ","")))</f>
        <v/>
      </c>
      <c r="K710" s="16">
        <f>IF($J710="",0,LEN($J710))</f>
        <v/>
      </c>
      <c r="L710" s="16">
        <f>IF($I710="","",TEXT(IFERROR(INDEX(tblVeriB[BelgeTarihi],ROW()-ROW(tblVeriB[[#Headers]])),""),"yyyymmdd")&amp;"|"&amp;TEXT(IFERROR(INDEX(tblVeriB[Tutar],ROW()-ROW(tblVeriB[[#Headers]])),0),"0.00"))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 ","")))</f>
        <v/>
      </c>
      <c r="C711" s="16">
        <f>IF($B711="",0,LEN($B711))</f>
        <v/>
      </c>
      <c r="D711" s="16">
        <f>IF($A711="","",TEXT(IFERROR(INDEX(tblVeriA[Tarih],ROW()-ROW(tblVeriA[[#Headers]])),""),"yyyymmdd")&amp;"|"&amp;TEXT(IFERROR(INDEX(tblVeriA[Toplam],ROW()-ROW(tblVeriA[[#Headers]])),0),"0.00"))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 ","")))</f>
        <v/>
      </c>
      <c r="K711" s="16">
        <f>IF($J711="",0,LEN($J711))</f>
        <v/>
      </c>
      <c r="L711" s="16">
        <f>IF($I711="","",TEXT(IFERROR(INDEX(tblVeriB[BelgeTarihi],ROW()-ROW(tblVeriB[[#Headers]])),""),"yyyymmdd")&amp;"|"&amp;TEXT(IFERROR(INDEX(tblVeriB[Tutar],ROW()-ROW(tblVeriB[[#Headers]])),0),"0.00"))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 ","")))</f>
        <v/>
      </c>
      <c r="C712" s="16">
        <f>IF($B712="",0,LEN($B712))</f>
        <v/>
      </c>
      <c r="D712" s="16">
        <f>IF($A712="","",TEXT(IFERROR(INDEX(tblVeriA[Tarih],ROW()-ROW(tblVeriA[[#Headers]])),""),"yyyymmdd")&amp;"|"&amp;TEXT(IFERROR(INDEX(tblVeriA[Toplam],ROW()-ROW(tblVeriA[[#Headers]])),0),"0.00"))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 ","")))</f>
        <v/>
      </c>
      <c r="K712" s="16">
        <f>IF($J712="",0,LEN($J712))</f>
        <v/>
      </c>
      <c r="L712" s="16">
        <f>IF($I712="","",TEXT(IFERROR(INDEX(tblVeriB[BelgeTarihi],ROW()-ROW(tblVeriB[[#Headers]])),""),"yyyymmdd")&amp;"|"&amp;TEXT(IFERROR(INDEX(tblVeriB[Tutar],ROW()-ROW(tblVeriB[[#Headers]])),0),"0.00"))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 ","")))</f>
        <v/>
      </c>
      <c r="C713" s="16">
        <f>IF($B713="",0,LEN($B713))</f>
        <v/>
      </c>
      <c r="D713" s="16">
        <f>IF($A713="","",TEXT(IFERROR(INDEX(tblVeriA[Tarih],ROW()-ROW(tblVeriA[[#Headers]])),""),"yyyymmdd")&amp;"|"&amp;TEXT(IFERROR(INDEX(tblVeriA[Toplam],ROW()-ROW(tblVeriA[[#Headers]])),0),"0.00"))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 ","")))</f>
        <v/>
      </c>
      <c r="K713" s="16">
        <f>IF($J713="",0,LEN($J713))</f>
        <v/>
      </c>
      <c r="L713" s="16">
        <f>IF($I713="","",TEXT(IFERROR(INDEX(tblVeriB[BelgeTarihi],ROW()-ROW(tblVeriB[[#Headers]])),""),"yyyymmdd")&amp;"|"&amp;TEXT(IFERROR(INDEX(tblVeriB[Tutar],ROW()-ROW(tblVeriB[[#Headers]])),0),"0.00"))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 ","")))</f>
        <v/>
      </c>
      <c r="C714" s="16">
        <f>IF($B714="",0,LEN($B714))</f>
        <v/>
      </c>
      <c r="D714" s="16">
        <f>IF($A714="","",TEXT(IFERROR(INDEX(tblVeriA[Tarih],ROW()-ROW(tblVeriA[[#Headers]])),""),"yyyymmdd")&amp;"|"&amp;TEXT(IFERROR(INDEX(tblVeriA[Toplam],ROW()-ROW(tblVeriA[[#Headers]])),0),"0.00"))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 ","")))</f>
        <v/>
      </c>
      <c r="K714" s="16">
        <f>IF($J714="",0,LEN($J714))</f>
        <v/>
      </c>
      <c r="L714" s="16">
        <f>IF($I714="","",TEXT(IFERROR(INDEX(tblVeriB[BelgeTarihi],ROW()-ROW(tblVeriB[[#Headers]])),""),"yyyymmdd")&amp;"|"&amp;TEXT(IFERROR(INDEX(tblVeriB[Tutar],ROW()-ROW(tblVeriB[[#Headers]])),0),"0.00"))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 ","")))</f>
        <v/>
      </c>
      <c r="C715" s="16">
        <f>IF($B715="",0,LEN($B715))</f>
        <v/>
      </c>
      <c r="D715" s="16">
        <f>IF($A715="","",TEXT(IFERROR(INDEX(tblVeriA[Tarih],ROW()-ROW(tblVeriA[[#Headers]])),""),"yyyymmdd")&amp;"|"&amp;TEXT(IFERROR(INDEX(tblVeriA[Toplam],ROW()-ROW(tblVeriA[[#Headers]])),0),"0.00"))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 ","")))</f>
        <v/>
      </c>
      <c r="K715" s="16">
        <f>IF($J715="",0,LEN($J715))</f>
        <v/>
      </c>
      <c r="L715" s="16">
        <f>IF($I715="","",TEXT(IFERROR(INDEX(tblVeriB[BelgeTarihi],ROW()-ROW(tblVeriB[[#Headers]])),""),"yyyymmdd")&amp;"|"&amp;TEXT(IFERROR(INDEX(tblVeriB[Tutar],ROW()-ROW(tblVeriB[[#Headers]])),0),"0.00"))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 ","")))</f>
        <v/>
      </c>
      <c r="C716" s="16">
        <f>IF($B716="",0,LEN($B716))</f>
        <v/>
      </c>
      <c r="D716" s="16">
        <f>IF($A716="","",TEXT(IFERROR(INDEX(tblVeriA[Tarih],ROW()-ROW(tblVeriA[[#Headers]])),""),"yyyymmdd")&amp;"|"&amp;TEXT(IFERROR(INDEX(tblVeriA[Toplam],ROW()-ROW(tblVeriA[[#Headers]])),0),"0.00"))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 ","")))</f>
        <v/>
      </c>
      <c r="K716" s="16">
        <f>IF($J716="",0,LEN($J716))</f>
        <v/>
      </c>
      <c r="L716" s="16">
        <f>IF($I716="","",TEXT(IFERROR(INDEX(tblVeriB[BelgeTarihi],ROW()-ROW(tblVeriB[[#Headers]])),""),"yyyymmdd")&amp;"|"&amp;TEXT(IFERROR(INDEX(tblVeriB[Tutar],ROW()-ROW(tblVeriB[[#Headers]])),0),"0.00"))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 ","")))</f>
        <v/>
      </c>
      <c r="C717" s="16">
        <f>IF($B717="",0,LEN($B717))</f>
        <v/>
      </c>
      <c r="D717" s="16">
        <f>IF($A717="","",TEXT(IFERROR(INDEX(tblVeriA[Tarih],ROW()-ROW(tblVeriA[[#Headers]])),""),"yyyymmdd")&amp;"|"&amp;TEXT(IFERROR(INDEX(tblVeriA[Toplam],ROW()-ROW(tblVeriA[[#Headers]])),0),"0.00"))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 ","")))</f>
        <v/>
      </c>
      <c r="K717" s="16">
        <f>IF($J717="",0,LEN($J717))</f>
        <v/>
      </c>
      <c r="L717" s="16">
        <f>IF($I717="","",TEXT(IFERROR(INDEX(tblVeriB[BelgeTarihi],ROW()-ROW(tblVeriB[[#Headers]])),""),"yyyymmdd")&amp;"|"&amp;TEXT(IFERROR(INDEX(tblVeriB[Tutar],ROW()-ROW(tblVeriB[[#Headers]])),0),"0.00"))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 ","")))</f>
        <v/>
      </c>
      <c r="C718" s="16">
        <f>IF($B718="",0,LEN($B718))</f>
        <v/>
      </c>
      <c r="D718" s="16">
        <f>IF($A718="","",TEXT(IFERROR(INDEX(tblVeriA[Tarih],ROW()-ROW(tblVeriA[[#Headers]])),""),"yyyymmdd")&amp;"|"&amp;TEXT(IFERROR(INDEX(tblVeriA[Toplam],ROW()-ROW(tblVeriA[[#Headers]])),0),"0.00"))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 ","")))</f>
        <v/>
      </c>
      <c r="K718" s="16">
        <f>IF($J718="",0,LEN($J718))</f>
        <v/>
      </c>
      <c r="L718" s="16">
        <f>IF($I718="","",TEXT(IFERROR(INDEX(tblVeriB[BelgeTarihi],ROW()-ROW(tblVeriB[[#Headers]])),""),"yyyymmdd")&amp;"|"&amp;TEXT(IFERROR(INDEX(tblVeriB[Tutar],ROW()-ROW(tblVeriB[[#Headers]])),0),"0.00"))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 ","")))</f>
        <v/>
      </c>
      <c r="C719" s="16">
        <f>IF($B719="",0,LEN($B719))</f>
        <v/>
      </c>
      <c r="D719" s="16">
        <f>IF($A719="","",TEXT(IFERROR(INDEX(tblVeriA[Tarih],ROW()-ROW(tblVeriA[[#Headers]])),""),"yyyymmdd")&amp;"|"&amp;TEXT(IFERROR(INDEX(tblVeriA[Toplam],ROW()-ROW(tblVeriA[[#Headers]])),0),"0.00"))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 ","")))</f>
        <v/>
      </c>
      <c r="K719" s="16">
        <f>IF($J719="",0,LEN($J719))</f>
        <v/>
      </c>
      <c r="L719" s="16">
        <f>IF($I719="","",TEXT(IFERROR(INDEX(tblVeriB[BelgeTarihi],ROW()-ROW(tblVeriB[[#Headers]])),""),"yyyymmdd")&amp;"|"&amp;TEXT(IFERROR(INDEX(tblVeriB[Tutar],ROW()-ROW(tblVeriB[[#Headers]])),0),"0.00"))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 ","")))</f>
        <v/>
      </c>
      <c r="C720" s="16">
        <f>IF($B720="",0,LEN($B720))</f>
        <v/>
      </c>
      <c r="D720" s="16">
        <f>IF($A720="","",TEXT(IFERROR(INDEX(tblVeriA[Tarih],ROW()-ROW(tblVeriA[[#Headers]])),""),"yyyymmdd")&amp;"|"&amp;TEXT(IFERROR(INDEX(tblVeriA[Toplam],ROW()-ROW(tblVeriA[[#Headers]])),0),"0.00"))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 ","")))</f>
        <v/>
      </c>
      <c r="K720" s="16">
        <f>IF($J720="",0,LEN($J720))</f>
        <v/>
      </c>
      <c r="L720" s="16">
        <f>IF($I720="","",TEXT(IFERROR(INDEX(tblVeriB[BelgeTarihi],ROW()-ROW(tblVeriB[[#Headers]])),""),"yyyymmdd")&amp;"|"&amp;TEXT(IFERROR(INDEX(tblVeriB[Tutar],ROW()-ROW(tblVeriB[[#Headers]])),0),"0.00"))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 ","")))</f>
        <v/>
      </c>
      <c r="C721" s="16">
        <f>IF($B721="",0,LEN($B721))</f>
        <v/>
      </c>
      <c r="D721" s="16">
        <f>IF($A721="","",TEXT(IFERROR(INDEX(tblVeriA[Tarih],ROW()-ROW(tblVeriA[[#Headers]])),""),"yyyymmdd")&amp;"|"&amp;TEXT(IFERROR(INDEX(tblVeriA[Toplam],ROW()-ROW(tblVeriA[[#Headers]])),0),"0.00"))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 ","")))</f>
        <v/>
      </c>
      <c r="K721" s="16">
        <f>IF($J721="",0,LEN($J721))</f>
        <v/>
      </c>
      <c r="L721" s="16">
        <f>IF($I721="","",TEXT(IFERROR(INDEX(tblVeriB[BelgeTarihi],ROW()-ROW(tblVeriB[[#Headers]])),""),"yyyymmdd")&amp;"|"&amp;TEXT(IFERROR(INDEX(tblVeriB[Tutar],ROW()-ROW(tblVeriB[[#Headers]])),0),"0.00"))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 ","")))</f>
        <v/>
      </c>
      <c r="C722" s="16">
        <f>IF($B722="",0,LEN($B722))</f>
        <v/>
      </c>
      <c r="D722" s="16">
        <f>IF($A722="","",TEXT(IFERROR(INDEX(tblVeriA[Tarih],ROW()-ROW(tblVeriA[[#Headers]])),""),"yyyymmdd")&amp;"|"&amp;TEXT(IFERROR(INDEX(tblVeriA[Toplam],ROW()-ROW(tblVeriA[[#Headers]])),0),"0.00"))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 ","")))</f>
        <v/>
      </c>
      <c r="K722" s="16">
        <f>IF($J722="",0,LEN($J722))</f>
        <v/>
      </c>
      <c r="L722" s="16">
        <f>IF($I722="","",TEXT(IFERROR(INDEX(tblVeriB[BelgeTarihi],ROW()-ROW(tblVeriB[[#Headers]])),""),"yyyymmdd")&amp;"|"&amp;TEXT(IFERROR(INDEX(tblVeriB[Tutar],ROW()-ROW(tblVeriB[[#Headers]])),0),"0.00"))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 ","")))</f>
        <v/>
      </c>
      <c r="C723" s="16">
        <f>IF($B723="",0,LEN($B723))</f>
        <v/>
      </c>
      <c r="D723" s="16">
        <f>IF($A723="","",TEXT(IFERROR(INDEX(tblVeriA[Tarih],ROW()-ROW(tblVeriA[[#Headers]])),""),"yyyymmdd")&amp;"|"&amp;TEXT(IFERROR(INDEX(tblVeriA[Toplam],ROW()-ROW(tblVeriA[[#Headers]])),0),"0.00"))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 ","")))</f>
        <v/>
      </c>
      <c r="K723" s="16">
        <f>IF($J723="",0,LEN($J723))</f>
        <v/>
      </c>
      <c r="L723" s="16">
        <f>IF($I723="","",TEXT(IFERROR(INDEX(tblVeriB[BelgeTarihi],ROW()-ROW(tblVeriB[[#Headers]])),""),"yyyymmdd")&amp;"|"&amp;TEXT(IFERROR(INDEX(tblVeriB[Tutar],ROW()-ROW(tblVeriB[[#Headers]])),0),"0.00"))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 ","")))</f>
        <v/>
      </c>
      <c r="C724" s="16">
        <f>IF($B724="",0,LEN($B724))</f>
        <v/>
      </c>
      <c r="D724" s="16">
        <f>IF($A724="","",TEXT(IFERROR(INDEX(tblVeriA[Tarih],ROW()-ROW(tblVeriA[[#Headers]])),""),"yyyymmdd")&amp;"|"&amp;TEXT(IFERROR(INDEX(tblVeriA[Toplam],ROW()-ROW(tblVeriA[[#Headers]])),0),"0.00"))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 ","")))</f>
        <v/>
      </c>
      <c r="K724" s="16">
        <f>IF($J724="",0,LEN($J724))</f>
        <v/>
      </c>
      <c r="L724" s="16">
        <f>IF($I724="","",TEXT(IFERROR(INDEX(tblVeriB[BelgeTarihi],ROW()-ROW(tblVeriB[[#Headers]])),""),"yyyymmdd")&amp;"|"&amp;TEXT(IFERROR(INDEX(tblVeriB[Tutar],ROW()-ROW(tblVeriB[[#Headers]])),0),"0.00"))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 ","")))</f>
        <v/>
      </c>
      <c r="C725" s="16">
        <f>IF($B725="",0,LEN($B725))</f>
        <v/>
      </c>
      <c r="D725" s="16">
        <f>IF($A725="","",TEXT(IFERROR(INDEX(tblVeriA[Tarih],ROW()-ROW(tblVeriA[[#Headers]])),""),"yyyymmdd")&amp;"|"&amp;TEXT(IFERROR(INDEX(tblVeriA[Toplam],ROW()-ROW(tblVeriA[[#Headers]])),0),"0.00"))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 ","")))</f>
        <v/>
      </c>
      <c r="K725" s="16">
        <f>IF($J725="",0,LEN($J725))</f>
        <v/>
      </c>
      <c r="L725" s="16">
        <f>IF($I725="","",TEXT(IFERROR(INDEX(tblVeriB[BelgeTarihi],ROW()-ROW(tblVeriB[[#Headers]])),""),"yyyymmdd")&amp;"|"&amp;TEXT(IFERROR(INDEX(tblVeriB[Tutar],ROW()-ROW(tblVeriB[[#Headers]])),0),"0.00"))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 ","")))</f>
        <v/>
      </c>
      <c r="C726" s="16">
        <f>IF($B726="",0,LEN($B726))</f>
        <v/>
      </c>
      <c r="D726" s="16">
        <f>IF($A726="","",TEXT(IFERROR(INDEX(tblVeriA[Tarih],ROW()-ROW(tblVeriA[[#Headers]])),""),"yyyymmdd")&amp;"|"&amp;TEXT(IFERROR(INDEX(tblVeriA[Toplam],ROW()-ROW(tblVeriA[[#Headers]])),0),"0.00"))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 ","")))</f>
        <v/>
      </c>
      <c r="K726" s="16">
        <f>IF($J726="",0,LEN($J726))</f>
        <v/>
      </c>
      <c r="L726" s="16">
        <f>IF($I726="","",TEXT(IFERROR(INDEX(tblVeriB[BelgeTarihi],ROW()-ROW(tblVeriB[[#Headers]])),""),"yyyymmdd")&amp;"|"&amp;TEXT(IFERROR(INDEX(tblVeriB[Tutar],ROW()-ROW(tblVeriB[[#Headers]])),0),"0.00"))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 ","")))</f>
        <v/>
      </c>
      <c r="C727" s="16">
        <f>IF($B727="",0,LEN($B727))</f>
        <v/>
      </c>
      <c r="D727" s="16">
        <f>IF($A727="","",TEXT(IFERROR(INDEX(tblVeriA[Tarih],ROW()-ROW(tblVeriA[[#Headers]])),""),"yyyymmdd")&amp;"|"&amp;TEXT(IFERROR(INDEX(tblVeriA[Toplam],ROW()-ROW(tblVeriA[[#Headers]])),0),"0.00"))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 ","")))</f>
        <v/>
      </c>
      <c r="K727" s="16">
        <f>IF($J727="",0,LEN($J727))</f>
        <v/>
      </c>
      <c r="L727" s="16">
        <f>IF($I727="","",TEXT(IFERROR(INDEX(tblVeriB[BelgeTarihi],ROW()-ROW(tblVeriB[[#Headers]])),""),"yyyymmdd")&amp;"|"&amp;TEXT(IFERROR(INDEX(tblVeriB[Tutar],ROW()-ROW(tblVeriB[[#Headers]])),0),"0.00"))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 ","")))</f>
        <v/>
      </c>
      <c r="C728" s="16">
        <f>IF($B728="",0,LEN($B728))</f>
        <v/>
      </c>
      <c r="D728" s="16">
        <f>IF($A728="","",TEXT(IFERROR(INDEX(tblVeriA[Tarih],ROW()-ROW(tblVeriA[[#Headers]])),""),"yyyymmdd")&amp;"|"&amp;TEXT(IFERROR(INDEX(tblVeriA[Toplam],ROW()-ROW(tblVeriA[[#Headers]])),0),"0.00"))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 ","")))</f>
        <v/>
      </c>
      <c r="K728" s="16">
        <f>IF($J728="",0,LEN($J728))</f>
        <v/>
      </c>
      <c r="L728" s="16">
        <f>IF($I728="","",TEXT(IFERROR(INDEX(tblVeriB[BelgeTarihi],ROW()-ROW(tblVeriB[[#Headers]])),""),"yyyymmdd")&amp;"|"&amp;TEXT(IFERROR(INDEX(tblVeriB[Tutar],ROW()-ROW(tblVeriB[[#Headers]])),0),"0.00"))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 ","")))</f>
        <v/>
      </c>
      <c r="C729" s="16">
        <f>IF($B729="",0,LEN($B729))</f>
        <v/>
      </c>
      <c r="D729" s="16">
        <f>IF($A729="","",TEXT(IFERROR(INDEX(tblVeriA[Tarih],ROW()-ROW(tblVeriA[[#Headers]])),""),"yyyymmdd")&amp;"|"&amp;TEXT(IFERROR(INDEX(tblVeriA[Toplam],ROW()-ROW(tblVeriA[[#Headers]])),0),"0.00"))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 ","")))</f>
        <v/>
      </c>
      <c r="K729" s="16">
        <f>IF($J729="",0,LEN($J729))</f>
        <v/>
      </c>
      <c r="L729" s="16">
        <f>IF($I729="","",TEXT(IFERROR(INDEX(tblVeriB[BelgeTarihi],ROW()-ROW(tblVeriB[[#Headers]])),""),"yyyymmdd")&amp;"|"&amp;TEXT(IFERROR(INDEX(tblVeriB[Tutar],ROW()-ROW(tblVeriB[[#Headers]])),0),"0.00"))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 ","")))</f>
        <v/>
      </c>
      <c r="C730" s="16">
        <f>IF($B730="",0,LEN($B730))</f>
        <v/>
      </c>
      <c r="D730" s="16">
        <f>IF($A730="","",TEXT(IFERROR(INDEX(tblVeriA[Tarih],ROW()-ROW(tblVeriA[[#Headers]])),""),"yyyymmdd")&amp;"|"&amp;TEXT(IFERROR(INDEX(tblVeriA[Toplam],ROW()-ROW(tblVeriA[[#Headers]])),0),"0.00"))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 ","")))</f>
        <v/>
      </c>
      <c r="K730" s="16">
        <f>IF($J730="",0,LEN($J730))</f>
        <v/>
      </c>
      <c r="L730" s="16">
        <f>IF($I730="","",TEXT(IFERROR(INDEX(tblVeriB[BelgeTarihi],ROW()-ROW(tblVeriB[[#Headers]])),""),"yyyymmdd")&amp;"|"&amp;TEXT(IFERROR(INDEX(tblVeriB[Tutar],ROW()-ROW(tblVeriB[[#Headers]])),0),"0.00"))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 ","")))</f>
        <v/>
      </c>
      <c r="C731" s="16">
        <f>IF($B731="",0,LEN($B731))</f>
        <v/>
      </c>
      <c r="D731" s="16">
        <f>IF($A731="","",TEXT(IFERROR(INDEX(tblVeriA[Tarih],ROW()-ROW(tblVeriA[[#Headers]])),""),"yyyymmdd")&amp;"|"&amp;TEXT(IFERROR(INDEX(tblVeriA[Toplam],ROW()-ROW(tblVeriA[[#Headers]])),0),"0.00"))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 ","")))</f>
        <v/>
      </c>
      <c r="K731" s="16">
        <f>IF($J731="",0,LEN($J731))</f>
        <v/>
      </c>
      <c r="L731" s="16">
        <f>IF($I731="","",TEXT(IFERROR(INDEX(tblVeriB[BelgeTarihi],ROW()-ROW(tblVeriB[[#Headers]])),""),"yyyymmdd")&amp;"|"&amp;TEXT(IFERROR(INDEX(tblVeriB[Tutar],ROW()-ROW(tblVeriB[[#Headers]])),0),"0.00"))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 ","")))</f>
        <v/>
      </c>
      <c r="C732" s="16">
        <f>IF($B732="",0,LEN($B732))</f>
        <v/>
      </c>
      <c r="D732" s="16">
        <f>IF($A732="","",TEXT(IFERROR(INDEX(tblVeriA[Tarih],ROW()-ROW(tblVeriA[[#Headers]])),""),"yyyymmdd")&amp;"|"&amp;TEXT(IFERROR(INDEX(tblVeriA[Toplam],ROW()-ROW(tblVeriA[[#Headers]])),0),"0.00"))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 ","")))</f>
        <v/>
      </c>
      <c r="K732" s="16">
        <f>IF($J732="",0,LEN($J732))</f>
        <v/>
      </c>
      <c r="L732" s="16">
        <f>IF($I732="","",TEXT(IFERROR(INDEX(tblVeriB[BelgeTarihi],ROW()-ROW(tblVeriB[[#Headers]])),""),"yyyymmdd")&amp;"|"&amp;TEXT(IFERROR(INDEX(tblVeriB[Tutar],ROW()-ROW(tblVeriB[[#Headers]])),0),"0.00"))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 ","")))</f>
        <v/>
      </c>
      <c r="C733" s="16">
        <f>IF($B733="",0,LEN($B733))</f>
        <v/>
      </c>
      <c r="D733" s="16">
        <f>IF($A733="","",TEXT(IFERROR(INDEX(tblVeriA[Tarih],ROW()-ROW(tblVeriA[[#Headers]])),""),"yyyymmdd")&amp;"|"&amp;TEXT(IFERROR(INDEX(tblVeriA[Toplam],ROW()-ROW(tblVeriA[[#Headers]])),0),"0.00"))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 ","")))</f>
        <v/>
      </c>
      <c r="K733" s="16">
        <f>IF($J733="",0,LEN($J733))</f>
        <v/>
      </c>
      <c r="L733" s="16">
        <f>IF($I733="","",TEXT(IFERROR(INDEX(tblVeriB[BelgeTarihi],ROW()-ROW(tblVeriB[[#Headers]])),""),"yyyymmdd")&amp;"|"&amp;TEXT(IFERROR(INDEX(tblVeriB[Tutar],ROW()-ROW(tblVeriB[[#Headers]])),0),"0.00"))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 ","")))</f>
        <v/>
      </c>
      <c r="C734" s="16">
        <f>IF($B734="",0,LEN($B734))</f>
        <v/>
      </c>
      <c r="D734" s="16">
        <f>IF($A734="","",TEXT(IFERROR(INDEX(tblVeriA[Tarih],ROW()-ROW(tblVeriA[[#Headers]])),""),"yyyymmdd")&amp;"|"&amp;TEXT(IFERROR(INDEX(tblVeriA[Toplam],ROW()-ROW(tblVeriA[[#Headers]])),0),"0.00"))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 ","")))</f>
        <v/>
      </c>
      <c r="K734" s="16">
        <f>IF($J734="",0,LEN($J734))</f>
        <v/>
      </c>
      <c r="L734" s="16">
        <f>IF($I734="","",TEXT(IFERROR(INDEX(tblVeriB[BelgeTarihi],ROW()-ROW(tblVeriB[[#Headers]])),""),"yyyymmdd")&amp;"|"&amp;TEXT(IFERROR(INDEX(tblVeriB[Tutar],ROW()-ROW(tblVeriB[[#Headers]])),0),"0.00"))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 ","")))</f>
        <v/>
      </c>
      <c r="C735" s="16">
        <f>IF($B735="",0,LEN($B735))</f>
        <v/>
      </c>
      <c r="D735" s="16">
        <f>IF($A735="","",TEXT(IFERROR(INDEX(tblVeriA[Tarih],ROW()-ROW(tblVeriA[[#Headers]])),""),"yyyymmdd")&amp;"|"&amp;TEXT(IFERROR(INDEX(tblVeriA[Toplam],ROW()-ROW(tblVeriA[[#Headers]])),0),"0.00"))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 ","")))</f>
        <v/>
      </c>
      <c r="K735" s="16">
        <f>IF($J735="",0,LEN($J735))</f>
        <v/>
      </c>
      <c r="L735" s="16">
        <f>IF($I735="","",TEXT(IFERROR(INDEX(tblVeriB[BelgeTarihi],ROW()-ROW(tblVeriB[[#Headers]])),""),"yyyymmdd")&amp;"|"&amp;TEXT(IFERROR(INDEX(tblVeriB[Tutar],ROW()-ROW(tblVeriB[[#Headers]])),0),"0.00"))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 ","")))</f>
        <v/>
      </c>
      <c r="C736" s="16">
        <f>IF($B736="",0,LEN($B736))</f>
        <v/>
      </c>
      <c r="D736" s="16">
        <f>IF($A736="","",TEXT(IFERROR(INDEX(tblVeriA[Tarih],ROW()-ROW(tblVeriA[[#Headers]])),""),"yyyymmdd")&amp;"|"&amp;TEXT(IFERROR(INDEX(tblVeriA[Toplam],ROW()-ROW(tblVeriA[[#Headers]])),0),"0.00"))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 ","")))</f>
        <v/>
      </c>
      <c r="K736" s="16">
        <f>IF($J736="",0,LEN($J736))</f>
        <v/>
      </c>
      <c r="L736" s="16">
        <f>IF($I736="","",TEXT(IFERROR(INDEX(tblVeriB[BelgeTarihi],ROW()-ROW(tblVeriB[[#Headers]])),""),"yyyymmdd")&amp;"|"&amp;TEXT(IFERROR(INDEX(tblVeriB[Tutar],ROW()-ROW(tblVeriB[[#Headers]])),0),"0.00"))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 ","")))</f>
        <v/>
      </c>
      <c r="C737" s="16">
        <f>IF($B737="",0,LEN($B737))</f>
        <v/>
      </c>
      <c r="D737" s="16">
        <f>IF($A737="","",TEXT(IFERROR(INDEX(tblVeriA[Tarih],ROW()-ROW(tblVeriA[[#Headers]])),""),"yyyymmdd")&amp;"|"&amp;TEXT(IFERROR(INDEX(tblVeriA[Toplam],ROW()-ROW(tblVeriA[[#Headers]])),0),"0.00"))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 ","")))</f>
        <v/>
      </c>
      <c r="K737" s="16">
        <f>IF($J737="",0,LEN($J737))</f>
        <v/>
      </c>
      <c r="L737" s="16">
        <f>IF($I737="","",TEXT(IFERROR(INDEX(tblVeriB[BelgeTarihi],ROW()-ROW(tblVeriB[[#Headers]])),""),"yyyymmdd")&amp;"|"&amp;TEXT(IFERROR(INDEX(tblVeriB[Tutar],ROW()-ROW(tblVeriB[[#Headers]])),0),"0.00"))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 ","")))</f>
        <v/>
      </c>
      <c r="C738" s="16">
        <f>IF($B738="",0,LEN($B738))</f>
        <v/>
      </c>
      <c r="D738" s="16">
        <f>IF($A738="","",TEXT(IFERROR(INDEX(tblVeriA[Tarih],ROW()-ROW(tblVeriA[[#Headers]])),""),"yyyymmdd")&amp;"|"&amp;TEXT(IFERROR(INDEX(tblVeriA[Toplam],ROW()-ROW(tblVeriA[[#Headers]])),0),"0.00"))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 ","")))</f>
        <v/>
      </c>
      <c r="K738" s="16">
        <f>IF($J738="",0,LEN($J738))</f>
        <v/>
      </c>
      <c r="L738" s="16">
        <f>IF($I738="","",TEXT(IFERROR(INDEX(tblVeriB[BelgeTarihi],ROW()-ROW(tblVeriB[[#Headers]])),""),"yyyymmdd")&amp;"|"&amp;TEXT(IFERROR(INDEX(tblVeriB[Tutar],ROW()-ROW(tblVeriB[[#Headers]])),0),"0.00"))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 ","")))</f>
        <v/>
      </c>
      <c r="C739" s="16">
        <f>IF($B739="",0,LEN($B739))</f>
        <v/>
      </c>
      <c r="D739" s="16">
        <f>IF($A739="","",TEXT(IFERROR(INDEX(tblVeriA[Tarih],ROW()-ROW(tblVeriA[[#Headers]])),""),"yyyymmdd")&amp;"|"&amp;TEXT(IFERROR(INDEX(tblVeriA[Toplam],ROW()-ROW(tblVeriA[[#Headers]])),0),"0.00"))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 ","")))</f>
        <v/>
      </c>
      <c r="K739" s="16">
        <f>IF($J739="",0,LEN($J739))</f>
        <v/>
      </c>
      <c r="L739" s="16">
        <f>IF($I739="","",TEXT(IFERROR(INDEX(tblVeriB[BelgeTarihi],ROW()-ROW(tblVeriB[[#Headers]])),""),"yyyymmdd")&amp;"|"&amp;TEXT(IFERROR(INDEX(tblVeriB[Tutar],ROW()-ROW(tblVeriB[[#Headers]])),0),"0.00"))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 ","")))</f>
        <v/>
      </c>
      <c r="C740" s="16">
        <f>IF($B740="",0,LEN($B740))</f>
        <v/>
      </c>
      <c r="D740" s="16">
        <f>IF($A740="","",TEXT(IFERROR(INDEX(tblVeriA[Tarih],ROW()-ROW(tblVeriA[[#Headers]])),""),"yyyymmdd")&amp;"|"&amp;TEXT(IFERROR(INDEX(tblVeriA[Toplam],ROW()-ROW(tblVeriA[[#Headers]])),0),"0.00"))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 ","")))</f>
        <v/>
      </c>
      <c r="K740" s="16">
        <f>IF($J740="",0,LEN($J740))</f>
        <v/>
      </c>
      <c r="L740" s="16">
        <f>IF($I740="","",TEXT(IFERROR(INDEX(tblVeriB[BelgeTarihi],ROW()-ROW(tblVeriB[[#Headers]])),""),"yyyymmdd")&amp;"|"&amp;TEXT(IFERROR(INDEX(tblVeriB[Tutar],ROW()-ROW(tblVeriB[[#Headers]])),0),"0.00"))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 ","")))</f>
        <v/>
      </c>
      <c r="C741" s="16">
        <f>IF($B741="",0,LEN($B741))</f>
        <v/>
      </c>
      <c r="D741" s="16">
        <f>IF($A741="","",TEXT(IFERROR(INDEX(tblVeriA[Tarih],ROW()-ROW(tblVeriA[[#Headers]])),""),"yyyymmdd")&amp;"|"&amp;TEXT(IFERROR(INDEX(tblVeriA[Toplam],ROW()-ROW(tblVeriA[[#Headers]])),0),"0.00"))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 ","")))</f>
        <v/>
      </c>
      <c r="K741" s="16">
        <f>IF($J741="",0,LEN($J741))</f>
        <v/>
      </c>
      <c r="L741" s="16">
        <f>IF($I741="","",TEXT(IFERROR(INDEX(tblVeriB[BelgeTarihi],ROW()-ROW(tblVeriB[[#Headers]])),""),"yyyymmdd")&amp;"|"&amp;TEXT(IFERROR(INDEX(tblVeriB[Tutar],ROW()-ROW(tblVeriB[[#Headers]])),0),"0.00"))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 ","")))</f>
        <v/>
      </c>
      <c r="C742" s="16">
        <f>IF($B742="",0,LEN($B742))</f>
        <v/>
      </c>
      <c r="D742" s="16">
        <f>IF($A742="","",TEXT(IFERROR(INDEX(tblVeriA[Tarih],ROW()-ROW(tblVeriA[[#Headers]])),""),"yyyymmdd")&amp;"|"&amp;TEXT(IFERROR(INDEX(tblVeriA[Toplam],ROW()-ROW(tblVeriA[[#Headers]])),0),"0.00"))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 ","")))</f>
        <v/>
      </c>
      <c r="K742" s="16">
        <f>IF($J742="",0,LEN($J742))</f>
        <v/>
      </c>
      <c r="L742" s="16">
        <f>IF($I742="","",TEXT(IFERROR(INDEX(tblVeriB[BelgeTarihi],ROW()-ROW(tblVeriB[[#Headers]])),""),"yyyymmdd")&amp;"|"&amp;TEXT(IFERROR(INDEX(tblVeriB[Tutar],ROW()-ROW(tblVeriB[[#Headers]])),0),"0.00"))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 ","")))</f>
        <v/>
      </c>
      <c r="C743" s="16">
        <f>IF($B743="",0,LEN($B743))</f>
        <v/>
      </c>
      <c r="D743" s="16">
        <f>IF($A743="","",TEXT(IFERROR(INDEX(tblVeriA[Tarih],ROW()-ROW(tblVeriA[[#Headers]])),""),"yyyymmdd")&amp;"|"&amp;TEXT(IFERROR(INDEX(tblVeriA[Toplam],ROW()-ROW(tblVeriA[[#Headers]])),0),"0.00"))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 ","")))</f>
        <v/>
      </c>
      <c r="K743" s="16">
        <f>IF($J743="",0,LEN($J743))</f>
        <v/>
      </c>
      <c r="L743" s="16">
        <f>IF($I743="","",TEXT(IFERROR(INDEX(tblVeriB[BelgeTarihi],ROW()-ROW(tblVeriB[[#Headers]])),""),"yyyymmdd")&amp;"|"&amp;TEXT(IFERROR(INDEX(tblVeriB[Tutar],ROW()-ROW(tblVeriB[[#Headers]])),0),"0.00"))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 ","")))</f>
        <v/>
      </c>
      <c r="C744" s="16">
        <f>IF($B744="",0,LEN($B744))</f>
        <v/>
      </c>
      <c r="D744" s="16">
        <f>IF($A744="","",TEXT(IFERROR(INDEX(tblVeriA[Tarih],ROW()-ROW(tblVeriA[[#Headers]])),""),"yyyymmdd")&amp;"|"&amp;TEXT(IFERROR(INDEX(tblVeriA[Toplam],ROW()-ROW(tblVeriA[[#Headers]])),0),"0.00"))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 ","")))</f>
        <v/>
      </c>
      <c r="K744" s="16">
        <f>IF($J744="",0,LEN($J744))</f>
        <v/>
      </c>
      <c r="L744" s="16">
        <f>IF($I744="","",TEXT(IFERROR(INDEX(tblVeriB[BelgeTarihi],ROW()-ROW(tblVeriB[[#Headers]])),""),"yyyymmdd")&amp;"|"&amp;TEXT(IFERROR(INDEX(tblVeriB[Tutar],ROW()-ROW(tblVeriB[[#Headers]])),0),"0.00"))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 ","")))</f>
        <v/>
      </c>
      <c r="C745" s="16">
        <f>IF($B745="",0,LEN($B745))</f>
        <v/>
      </c>
      <c r="D745" s="16">
        <f>IF($A745="","",TEXT(IFERROR(INDEX(tblVeriA[Tarih],ROW()-ROW(tblVeriA[[#Headers]])),""),"yyyymmdd")&amp;"|"&amp;TEXT(IFERROR(INDEX(tblVeriA[Toplam],ROW()-ROW(tblVeriA[[#Headers]])),0),"0.00"))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 ","")))</f>
        <v/>
      </c>
      <c r="K745" s="16">
        <f>IF($J745="",0,LEN($J745))</f>
        <v/>
      </c>
      <c r="L745" s="16">
        <f>IF($I745="","",TEXT(IFERROR(INDEX(tblVeriB[BelgeTarihi],ROW()-ROW(tblVeriB[[#Headers]])),""),"yyyymmdd")&amp;"|"&amp;TEXT(IFERROR(INDEX(tblVeriB[Tutar],ROW()-ROW(tblVeriB[[#Headers]])),0),"0.00"))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 ","")))</f>
        <v/>
      </c>
      <c r="C746" s="16">
        <f>IF($B746="",0,LEN($B746))</f>
        <v/>
      </c>
      <c r="D746" s="16">
        <f>IF($A746="","",TEXT(IFERROR(INDEX(tblVeriA[Tarih],ROW()-ROW(tblVeriA[[#Headers]])),""),"yyyymmdd")&amp;"|"&amp;TEXT(IFERROR(INDEX(tblVeriA[Toplam],ROW()-ROW(tblVeriA[[#Headers]])),0),"0.00"))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 ","")))</f>
        <v/>
      </c>
      <c r="K746" s="16">
        <f>IF($J746="",0,LEN($J746))</f>
        <v/>
      </c>
      <c r="L746" s="16">
        <f>IF($I746="","",TEXT(IFERROR(INDEX(tblVeriB[BelgeTarihi],ROW()-ROW(tblVeriB[[#Headers]])),""),"yyyymmdd")&amp;"|"&amp;TEXT(IFERROR(INDEX(tblVeriB[Tutar],ROW()-ROW(tblVeriB[[#Headers]])),0),"0.00"))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 ","")))</f>
        <v/>
      </c>
      <c r="C747" s="16">
        <f>IF($B747="",0,LEN($B747))</f>
        <v/>
      </c>
      <c r="D747" s="16">
        <f>IF($A747="","",TEXT(IFERROR(INDEX(tblVeriA[Tarih],ROW()-ROW(tblVeriA[[#Headers]])),""),"yyyymmdd")&amp;"|"&amp;TEXT(IFERROR(INDEX(tblVeriA[Toplam],ROW()-ROW(tblVeriA[[#Headers]])),0),"0.00"))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 ","")))</f>
        <v/>
      </c>
      <c r="K747" s="16">
        <f>IF($J747="",0,LEN($J747))</f>
        <v/>
      </c>
      <c r="L747" s="16">
        <f>IF($I747="","",TEXT(IFERROR(INDEX(tblVeriB[BelgeTarihi],ROW()-ROW(tblVeriB[[#Headers]])),""),"yyyymmdd")&amp;"|"&amp;TEXT(IFERROR(INDEX(tblVeriB[Tutar],ROW()-ROW(tblVeriB[[#Headers]])),0),"0.00"))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 ","")))</f>
        <v/>
      </c>
      <c r="C748" s="16">
        <f>IF($B748="",0,LEN($B748))</f>
        <v/>
      </c>
      <c r="D748" s="16">
        <f>IF($A748="","",TEXT(IFERROR(INDEX(tblVeriA[Tarih],ROW()-ROW(tblVeriA[[#Headers]])),""),"yyyymmdd")&amp;"|"&amp;TEXT(IFERROR(INDEX(tblVeriA[Toplam],ROW()-ROW(tblVeriA[[#Headers]])),0),"0.00"))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 ","")))</f>
        <v/>
      </c>
      <c r="K748" s="16">
        <f>IF($J748="",0,LEN($J748))</f>
        <v/>
      </c>
      <c r="L748" s="16">
        <f>IF($I748="","",TEXT(IFERROR(INDEX(tblVeriB[BelgeTarihi],ROW()-ROW(tblVeriB[[#Headers]])),""),"yyyymmdd")&amp;"|"&amp;TEXT(IFERROR(INDEX(tblVeriB[Tutar],ROW()-ROW(tblVeriB[[#Headers]])),0),"0.00"))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 ","")))</f>
        <v/>
      </c>
      <c r="C749" s="16">
        <f>IF($B749="",0,LEN($B749))</f>
        <v/>
      </c>
      <c r="D749" s="16">
        <f>IF($A749="","",TEXT(IFERROR(INDEX(tblVeriA[Tarih],ROW()-ROW(tblVeriA[[#Headers]])),""),"yyyymmdd")&amp;"|"&amp;TEXT(IFERROR(INDEX(tblVeriA[Toplam],ROW()-ROW(tblVeriA[[#Headers]])),0),"0.00"))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 ","")))</f>
        <v/>
      </c>
      <c r="K749" s="16">
        <f>IF($J749="",0,LEN($J749))</f>
        <v/>
      </c>
      <c r="L749" s="16">
        <f>IF($I749="","",TEXT(IFERROR(INDEX(tblVeriB[BelgeTarihi],ROW()-ROW(tblVeriB[[#Headers]])),""),"yyyymmdd")&amp;"|"&amp;TEXT(IFERROR(INDEX(tblVeriB[Tutar],ROW()-ROW(tblVeriB[[#Headers]])),0),"0.00"))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 ","")))</f>
        <v/>
      </c>
      <c r="C750" s="16">
        <f>IF($B750="",0,LEN($B750))</f>
        <v/>
      </c>
      <c r="D750" s="16">
        <f>IF($A750="","",TEXT(IFERROR(INDEX(tblVeriA[Tarih],ROW()-ROW(tblVeriA[[#Headers]])),""),"yyyymmdd")&amp;"|"&amp;TEXT(IFERROR(INDEX(tblVeriA[Toplam],ROW()-ROW(tblVeriA[[#Headers]])),0),"0.00"))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 ","")))</f>
        <v/>
      </c>
      <c r="K750" s="16">
        <f>IF($J750="",0,LEN($J750))</f>
        <v/>
      </c>
      <c r="L750" s="16">
        <f>IF($I750="","",TEXT(IFERROR(INDEX(tblVeriB[BelgeTarihi],ROW()-ROW(tblVeriB[[#Headers]])),""),"yyyymmdd")&amp;"|"&amp;TEXT(IFERROR(INDEX(tblVeriB[Tutar],ROW()-ROW(tblVeriB[[#Headers]])),0),"0.00"))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 ","")))</f>
        <v/>
      </c>
      <c r="C751" s="16">
        <f>IF($B751="",0,LEN($B751))</f>
        <v/>
      </c>
      <c r="D751" s="16">
        <f>IF($A751="","",TEXT(IFERROR(INDEX(tblVeriA[Tarih],ROW()-ROW(tblVeriA[[#Headers]])),""),"yyyymmdd")&amp;"|"&amp;TEXT(IFERROR(INDEX(tblVeriA[Toplam],ROW()-ROW(tblVeriA[[#Headers]])),0),"0.00"))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 ","")))</f>
        <v/>
      </c>
      <c r="K751" s="16">
        <f>IF($J751="",0,LEN($J751))</f>
        <v/>
      </c>
      <c r="L751" s="16">
        <f>IF($I751="","",TEXT(IFERROR(INDEX(tblVeriB[BelgeTarihi],ROW()-ROW(tblVeriB[[#Headers]])),""),"yyyymmdd")&amp;"|"&amp;TEXT(IFERROR(INDEX(tblVeriB[Tutar],ROW()-ROW(tblVeriB[[#Headers]])),0),"0.00"))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 ","")))</f>
        <v/>
      </c>
      <c r="C752" s="16">
        <f>IF($B752="",0,LEN($B752))</f>
        <v/>
      </c>
      <c r="D752" s="16">
        <f>IF($A752="","",TEXT(IFERROR(INDEX(tblVeriA[Tarih],ROW()-ROW(tblVeriA[[#Headers]])),""),"yyyymmdd")&amp;"|"&amp;TEXT(IFERROR(INDEX(tblVeriA[Toplam],ROW()-ROW(tblVeriA[[#Headers]])),0),"0.00"))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 ","")))</f>
        <v/>
      </c>
      <c r="K752" s="16">
        <f>IF($J752="",0,LEN($J752))</f>
        <v/>
      </c>
      <c r="L752" s="16">
        <f>IF($I752="","",TEXT(IFERROR(INDEX(tblVeriB[BelgeTarihi],ROW()-ROW(tblVeriB[[#Headers]])),""),"yyyymmdd")&amp;"|"&amp;TEXT(IFERROR(INDEX(tblVeriB[Tutar],ROW()-ROW(tblVeriB[[#Headers]])),0),"0.00"))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 ","")))</f>
        <v/>
      </c>
      <c r="C753" s="16">
        <f>IF($B753="",0,LEN($B753))</f>
        <v/>
      </c>
      <c r="D753" s="16">
        <f>IF($A753="","",TEXT(IFERROR(INDEX(tblVeriA[Tarih],ROW()-ROW(tblVeriA[[#Headers]])),""),"yyyymmdd")&amp;"|"&amp;TEXT(IFERROR(INDEX(tblVeriA[Toplam],ROW()-ROW(tblVeriA[[#Headers]])),0),"0.00"))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 ","")))</f>
        <v/>
      </c>
      <c r="K753" s="16">
        <f>IF($J753="",0,LEN($J753))</f>
        <v/>
      </c>
      <c r="L753" s="16">
        <f>IF($I753="","",TEXT(IFERROR(INDEX(tblVeriB[BelgeTarihi],ROW()-ROW(tblVeriB[[#Headers]])),""),"yyyymmdd")&amp;"|"&amp;TEXT(IFERROR(INDEX(tblVeriB[Tutar],ROW()-ROW(tblVeriB[[#Headers]])),0),"0.00"))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 ","")))</f>
        <v/>
      </c>
      <c r="C754" s="16">
        <f>IF($B754="",0,LEN($B754))</f>
        <v/>
      </c>
      <c r="D754" s="16">
        <f>IF($A754="","",TEXT(IFERROR(INDEX(tblVeriA[Tarih],ROW()-ROW(tblVeriA[[#Headers]])),""),"yyyymmdd")&amp;"|"&amp;TEXT(IFERROR(INDEX(tblVeriA[Toplam],ROW()-ROW(tblVeriA[[#Headers]])),0),"0.00"))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 ","")))</f>
        <v/>
      </c>
      <c r="K754" s="16">
        <f>IF($J754="",0,LEN($J754))</f>
        <v/>
      </c>
      <c r="L754" s="16">
        <f>IF($I754="","",TEXT(IFERROR(INDEX(tblVeriB[BelgeTarihi],ROW()-ROW(tblVeriB[[#Headers]])),""),"yyyymmdd")&amp;"|"&amp;TEXT(IFERROR(INDEX(tblVeriB[Tutar],ROW()-ROW(tblVeriB[[#Headers]])),0),"0.00"))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 ","")))</f>
        <v/>
      </c>
      <c r="C755" s="16">
        <f>IF($B755="",0,LEN($B755))</f>
        <v/>
      </c>
      <c r="D755" s="16">
        <f>IF($A755="","",TEXT(IFERROR(INDEX(tblVeriA[Tarih],ROW()-ROW(tblVeriA[[#Headers]])),""),"yyyymmdd")&amp;"|"&amp;TEXT(IFERROR(INDEX(tblVeriA[Toplam],ROW()-ROW(tblVeriA[[#Headers]])),0),"0.00"))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 ","")))</f>
        <v/>
      </c>
      <c r="K755" s="16">
        <f>IF($J755="",0,LEN($J755))</f>
        <v/>
      </c>
      <c r="L755" s="16">
        <f>IF($I755="","",TEXT(IFERROR(INDEX(tblVeriB[BelgeTarihi],ROW()-ROW(tblVeriB[[#Headers]])),""),"yyyymmdd")&amp;"|"&amp;TEXT(IFERROR(INDEX(tblVeriB[Tutar],ROW()-ROW(tblVeriB[[#Headers]])),0),"0.00"))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 ","")))</f>
        <v/>
      </c>
      <c r="C756" s="16">
        <f>IF($B756="",0,LEN($B756))</f>
        <v/>
      </c>
      <c r="D756" s="16">
        <f>IF($A756="","",TEXT(IFERROR(INDEX(tblVeriA[Tarih],ROW()-ROW(tblVeriA[[#Headers]])),""),"yyyymmdd")&amp;"|"&amp;TEXT(IFERROR(INDEX(tblVeriA[Toplam],ROW()-ROW(tblVeriA[[#Headers]])),0),"0.00"))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 ","")))</f>
        <v/>
      </c>
      <c r="K756" s="16">
        <f>IF($J756="",0,LEN($J756))</f>
        <v/>
      </c>
      <c r="L756" s="16">
        <f>IF($I756="","",TEXT(IFERROR(INDEX(tblVeriB[BelgeTarihi],ROW()-ROW(tblVeriB[[#Headers]])),""),"yyyymmdd")&amp;"|"&amp;TEXT(IFERROR(INDEX(tblVeriB[Tutar],ROW()-ROW(tblVeriB[[#Headers]])),0),"0.00"))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 ","")))</f>
        <v/>
      </c>
      <c r="C757" s="16">
        <f>IF($B757="",0,LEN($B757))</f>
        <v/>
      </c>
      <c r="D757" s="16">
        <f>IF($A757="","",TEXT(IFERROR(INDEX(tblVeriA[Tarih],ROW()-ROW(tblVeriA[[#Headers]])),""),"yyyymmdd")&amp;"|"&amp;TEXT(IFERROR(INDEX(tblVeriA[Toplam],ROW()-ROW(tblVeriA[[#Headers]])),0),"0.00"))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 ","")))</f>
        <v/>
      </c>
      <c r="K757" s="16">
        <f>IF($J757="",0,LEN($J757))</f>
        <v/>
      </c>
      <c r="L757" s="16">
        <f>IF($I757="","",TEXT(IFERROR(INDEX(tblVeriB[BelgeTarihi],ROW()-ROW(tblVeriB[[#Headers]])),""),"yyyymmdd")&amp;"|"&amp;TEXT(IFERROR(INDEX(tblVeriB[Tutar],ROW()-ROW(tblVeriB[[#Headers]])),0),"0.00"))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 ","")))</f>
        <v/>
      </c>
      <c r="C758" s="16">
        <f>IF($B758="",0,LEN($B758))</f>
        <v/>
      </c>
      <c r="D758" s="16">
        <f>IF($A758="","",TEXT(IFERROR(INDEX(tblVeriA[Tarih],ROW()-ROW(tblVeriA[[#Headers]])),""),"yyyymmdd")&amp;"|"&amp;TEXT(IFERROR(INDEX(tblVeriA[Toplam],ROW()-ROW(tblVeriA[[#Headers]])),0),"0.00"))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 ","")))</f>
        <v/>
      </c>
      <c r="K758" s="16">
        <f>IF($J758="",0,LEN($J758))</f>
        <v/>
      </c>
      <c r="L758" s="16">
        <f>IF($I758="","",TEXT(IFERROR(INDEX(tblVeriB[BelgeTarihi],ROW()-ROW(tblVeriB[[#Headers]])),""),"yyyymmdd")&amp;"|"&amp;TEXT(IFERROR(INDEX(tblVeriB[Tutar],ROW()-ROW(tblVeriB[[#Headers]])),0),"0.00"))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 ","")))</f>
        <v/>
      </c>
      <c r="C759" s="16">
        <f>IF($B759="",0,LEN($B759))</f>
        <v/>
      </c>
      <c r="D759" s="16">
        <f>IF($A759="","",TEXT(IFERROR(INDEX(tblVeriA[Tarih],ROW()-ROW(tblVeriA[[#Headers]])),""),"yyyymmdd")&amp;"|"&amp;TEXT(IFERROR(INDEX(tblVeriA[Toplam],ROW()-ROW(tblVeriA[[#Headers]])),0),"0.00"))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 ","")))</f>
        <v/>
      </c>
      <c r="K759" s="16">
        <f>IF($J759="",0,LEN($J759))</f>
        <v/>
      </c>
      <c r="L759" s="16">
        <f>IF($I759="","",TEXT(IFERROR(INDEX(tblVeriB[BelgeTarihi],ROW()-ROW(tblVeriB[[#Headers]])),""),"yyyymmdd")&amp;"|"&amp;TEXT(IFERROR(INDEX(tblVeriB[Tutar],ROW()-ROW(tblVeriB[[#Headers]])),0),"0.00"))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 ","")))</f>
        <v/>
      </c>
      <c r="C760" s="16">
        <f>IF($B760="",0,LEN($B760))</f>
        <v/>
      </c>
      <c r="D760" s="16">
        <f>IF($A760="","",TEXT(IFERROR(INDEX(tblVeriA[Tarih],ROW()-ROW(tblVeriA[[#Headers]])),""),"yyyymmdd")&amp;"|"&amp;TEXT(IFERROR(INDEX(tblVeriA[Toplam],ROW()-ROW(tblVeriA[[#Headers]])),0),"0.00"))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 ","")))</f>
        <v/>
      </c>
      <c r="K760" s="16">
        <f>IF($J760="",0,LEN($J760))</f>
        <v/>
      </c>
      <c r="L760" s="16">
        <f>IF($I760="","",TEXT(IFERROR(INDEX(tblVeriB[BelgeTarihi],ROW()-ROW(tblVeriB[[#Headers]])),""),"yyyymmdd")&amp;"|"&amp;TEXT(IFERROR(INDEX(tblVeriB[Tutar],ROW()-ROW(tblVeriB[[#Headers]])),0),"0.00"))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 ","")))</f>
        <v/>
      </c>
      <c r="C761" s="16">
        <f>IF($B761="",0,LEN($B761))</f>
        <v/>
      </c>
      <c r="D761" s="16">
        <f>IF($A761="","",TEXT(IFERROR(INDEX(tblVeriA[Tarih],ROW()-ROW(tblVeriA[[#Headers]])),""),"yyyymmdd")&amp;"|"&amp;TEXT(IFERROR(INDEX(tblVeriA[Toplam],ROW()-ROW(tblVeriA[[#Headers]])),0),"0.00"))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 ","")))</f>
        <v/>
      </c>
      <c r="K761" s="16">
        <f>IF($J761="",0,LEN($J761))</f>
        <v/>
      </c>
      <c r="L761" s="16">
        <f>IF($I761="","",TEXT(IFERROR(INDEX(tblVeriB[BelgeTarihi],ROW()-ROW(tblVeriB[[#Headers]])),""),"yyyymmdd")&amp;"|"&amp;TEXT(IFERROR(INDEX(tblVeriB[Tutar],ROW()-ROW(tblVeriB[[#Headers]])),0),"0.00"))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 ","")))</f>
        <v/>
      </c>
      <c r="C762" s="16">
        <f>IF($B762="",0,LEN($B762))</f>
        <v/>
      </c>
      <c r="D762" s="16">
        <f>IF($A762="","",TEXT(IFERROR(INDEX(tblVeriA[Tarih],ROW()-ROW(tblVeriA[[#Headers]])),""),"yyyymmdd")&amp;"|"&amp;TEXT(IFERROR(INDEX(tblVeriA[Toplam],ROW()-ROW(tblVeriA[[#Headers]])),0),"0.00"))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 ","")))</f>
        <v/>
      </c>
      <c r="K762" s="16">
        <f>IF($J762="",0,LEN($J762))</f>
        <v/>
      </c>
      <c r="L762" s="16">
        <f>IF($I762="","",TEXT(IFERROR(INDEX(tblVeriB[BelgeTarihi],ROW()-ROW(tblVeriB[[#Headers]])),""),"yyyymmdd")&amp;"|"&amp;TEXT(IFERROR(INDEX(tblVeriB[Tutar],ROW()-ROW(tblVeriB[[#Headers]])),0),"0.00"))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 ","")))</f>
        <v/>
      </c>
      <c r="C763" s="16">
        <f>IF($B763="",0,LEN($B763))</f>
        <v/>
      </c>
      <c r="D763" s="16">
        <f>IF($A763="","",TEXT(IFERROR(INDEX(tblVeriA[Tarih],ROW()-ROW(tblVeriA[[#Headers]])),""),"yyyymmdd")&amp;"|"&amp;TEXT(IFERROR(INDEX(tblVeriA[Toplam],ROW()-ROW(tblVeriA[[#Headers]])),0),"0.00"))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 ","")))</f>
        <v/>
      </c>
      <c r="K763" s="16">
        <f>IF($J763="",0,LEN($J763))</f>
        <v/>
      </c>
      <c r="L763" s="16">
        <f>IF($I763="","",TEXT(IFERROR(INDEX(tblVeriB[BelgeTarihi],ROW()-ROW(tblVeriB[[#Headers]])),""),"yyyymmdd")&amp;"|"&amp;TEXT(IFERROR(INDEX(tblVeriB[Tutar],ROW()-ROW(tblVeriB[[#Headers]])),0),"0.00"))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 ","")))</f>
        <v/>
      </c>
      <c r="C764" s="16">
        <f>IF($B764="",0,LEN($B764))</f>
        <v/>
      </c>
      <c r="D764" s="16">
        <f>IF($A764="","",TEXT(IFERROR(INDEX(tblVeriA[Tarih],ROW()-ROW(tblVeriA[[#Headers]])),""),"yyyymmdd")&amp;"|"&amp;TEXT(IFERROR(INDEX(tblVeriA[Toplam],ROW()-ROW(tblVeriA[[#Headers]])),0),"0.00"))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 ","")))</f>
        <v/>
      </c>
      <c r="K764" s="16">
        <f>IF($J764="",0,LEN($J764))</f>
        <v/>
      </c>
      <c r="L764" s="16">
        <f>IF($I764="","",TEXT(IFERROR(INDEX(tblVeriB[BelgeTarihi],ROW()-ROW(tblVeriB[[#Headers]])),""),"yyyymmdd")&amp;"|"&amp;TEXT(IFERROR(INDEX(tblVeriB[Tutar],ROW()-ROW(tblVeriB[[#Headers]])),0),"0.00"))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 ","")))</f>
        <v/>
      </c>
      <c r="C765" s="16">
        <f>IF($B765="",0,LEN($B765))</f>
        <v/>
      </c>
      <c r="D765" s="16">
        <f>IF($A765="","",TEXT(IFERROR(INDEX(tblVeriA[Tarih],ROW()-ROW(tblVeriA[[#Headers]])),""),"yyyymmdd")&amp;"|"&amp;TEXT(IFERROR(INDEX(tblVeriA[Toplam],ROW()-ROW(tblVeriA[[#Headers]])),0),"0.00"))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 ","")))</f>
        <v/>
      </c>
      <c r="K765" s="16">
        <f>IF($J765="",0,LEN($J765))</f>
        <v/>
      </c>
      <c r="L765" s="16">
        <f>IF($I765="","",TEXT(IFERROR(INDEX(tblVeriB[BelgeTarihi],ROW()-ROW(tblVeriB[[#Headers]])),""),"yyyymmdd")&amp;"|"&amp;TEXT(IFERROR(INDEX(tblVeriB[Tutar],ROW()-ROW(tblVeriB[[#Headers]])),0),"0.00"))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 ","")))</f>
        <v/>
      </c>
      <c r="C766" s="16">
        <f>IF($B766="",0,LEN($B766))</f>
        <v/>
      </c>
      <c r="D766" s="16">
        <f>IF($A766="","",TEXT(IFERROR(INDEX(tblVeriA[Tarih],ROW()-ROW(tblVeriA[[#Headers]])),""),"yyyymmdd")&amp;"|"&amp;TEXT(IFERROR(INDEX(tblVeriA[Toplam],ROW()-ROW(tblVeriA[[#Headers]])),0),"0.00"))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 ","")))</f>
        <v/>
      </c>
      <c r="K766" s="16">
        <f>IF($J766="",0,LEN($J766))</f>
        <v/>
      </c>
      <c r="L766" s="16">
        <f>IF($I766="","",TEXT(IFERROR(INDEX(tblVeriB[BelgeTarihi],ROW()-ROW(tblVeriB[[#Headers]])),""),"yyyymmdd")&amp;"|"&amp;TEXT(IFERROR(INDEX(tblVeriB[Tutar],ROW()-ROW(tblVeriB[[#Headers]])),0),"0.00"))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 ","")))</f>
        <v/>
      </c>
      <c r="C767" s="16">
        <f>IF($B767="",0,LEN($B767))</f>
        <v/>
      </c>
      <c r="D767" s="16">
        <f>IF($A767="","",TEXT(IFERROR(INDEX(tblVeriA[Tarih],ROW()-ROW(tblVeriA[[#Headers]])),""),"yyyymmdd")&amp;"|"&amp;TEXT(IFERROR(INDEX(tblVeriA[Toplam],ROW()-ROW(tblVeriA[[#Headers]])),0),"0.00"))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 ","")))</f>
        <v/>
      </c>
      <c r="K767" s="16">
        <f>IF($J767="",0,LEN($J767))</f>
        <v/>
      </c>
      <c r="L767" s="16">
        <f>IF($I767="","",TEXT(IFERROR(INDEX(tblVeriB[BelgeTarihi],ROW()-ROW(tblVeriB[[#Headers]])),""),"yyyymmdd")&amp;"|"&amp;TEXT(IFERROR(INDEX(tblVeriB[Tutar],ROW()-ROW(tblVeriB[[#Headers]])),0),"0.00"))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 ","")))</f>
        <v/>
      </c>
      <c r="C768" s="16">
        <f>IF($B768="",0,LEN($B768))</f>
        <v/>
      </c>
      <c r="D768" s="16">
        <f>IF($A768="","",TEXT(IFERROR(INDEX(tblVeriA[Tarih],ROW()-ROW(tblVeriA[[#Headers]])),""),"yyyymmdd")&amp;"|"&amp;TEXT(IFERROR(INDEX(tblVeriA[Toplam],ROW()-ROW(tblVeriA[[#Headers]])),0),"0.00"))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 ","")))</f>
        <v/>
      </c>
      <c r="K768" s="16">
        <f>IF($J768="",0,LEN($J768))</f>
        <v/>
      </c>
      <c r="L768" s="16">
        <f>IF($I768="","",TEXT(IFERROR(INDEX(tblVeriB[BelgeTarihi],ROW()-ROW(tblVeriB[[#Headers]])),""),"yyyymmdd")&amp;"|"&amp;TEXT(IFERROR(INDEX(tblVeriB[Tutar],ROW()-ROW(tblVeriB[[#Headers]])),0),"0.00"))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 ","")))</f>
        <v/>
      </c>
      <c r="C769" s="16">
        <f>IF($B769="",0,LEN($B769))</f>
        <v/>
      </c>
      <c r="D769" s="16">
        <f>IF($A769="","",TEXT(IFERROR(INDEX(tblVeriA[Tarih],ROW()-ROW(tblVeriA[[#Headers]])),""),"yyyymmdd")&amp;"|"&amp;TEXT(IFERROR(INDEX(tblVeriA[Toplam],ROW()-ROW(tblVeriA[[#Headers]])),0),"0.00"))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 ","")))</f>
        <v/>
      </c>
      <c r="K769" s="16">
        <f>IF($J769="",0,LEN($J769))</f>
        <v/>
      </c>
      <c r="L769" s="16">
        <f>IF($I769="","",TEXT(IFERROR(INDEX(tblVeriB[BelgeTarihi],ROW()-ROW(tblVeriB[[#Headers]])),""),"yyyymmdd")&amp;"|"&amp;TEXT(IFERROR(INDEX(tblVeriB[Tutar],ROW()-ROW(tblVeriB[[#Headers]])),0),"0.00"))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 ","")))</f>
        <v/>
      </c>
      <c r="C770" s="16">
        <f>IF($B770="",0,LEN($B770))</f>
        <v/>
      </c>
      <c r="D770" s="16">
        <f>IF($A770="","",TEXT(IFERROR(INDEX(tblVeriA[Tarih],ROW()-ROW(tblVeriA[[#Headers]])),""),"yyyymmdd")&amp;"|"&amp;TEXT(IFERROR(INDEX(tblVeriA[Toplam],ROW()-ROW(tblVeriA[[#Headers]])),0),"0.00"))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 ","")))</f>
        <v/>
      </c>
      <c r="K770" s="16">
        <f>IF($J770="",0,LEN($J770))</f>
        <v/>
      </c>
      <c r="L770" s="16">
        <f>IF($I770="","",TEXT(IFERROR(INDEX(tblVeriB[BelgeTarihi],ROW()-ROW(tblVeriB[[#Headers]])),""),"yyyymmdd")&amp;"|"&amp;TEXT(IFERROR(INDEX(tblVeriB[Tutar],ROW()-ROW(tblVeriB[[#Headers]])),0),"0.00"))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 ","")))</f>
        <v/>
      </c>
      <c r="C771" s="16">
        <f>IF($B771="",0,LEN($B771))</f>
        <v/>
      </c>
      <c r="D771" s="16">
        <f>IF($A771="","",TEXT(IFERROR(INDEX(tblVeriA[Tarih],ROW()-ROW(tblVeriA[[#Headers]])),""),"yyyymmdd")&amp;"|"&amp;TEXT(IFERROR(INDEX(tblVeriA[Toplam],ROW()-ROW(tblVeriA[[#Headers]])),0),"0.00"))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 ","")))</f>
        <v/>
      </c>
      <c r="K771" s="16">
        <f>IF($J771="",0,LEN($J771))</f>
        <v/>
      </c>
      <c r="L771" s="16">
        <f>IF($I771="","",TEXT(IFERROR(INDEX(tblVeriB[BelgeTarihi],ROW()-ROW(tblVeriB[[#Headers]])),""),"yyyymmdd")&amp;"|"&amp;TEXT(IFERROR(INDEX(tblVeriB[Tutar],ROW()-ROW(tblVeriB[[#Headers]])),0),"0.00"))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 ","")))</f>
        <v/>
      </c>
      <c r="C772" s="16">
        <f>IF($B772="",0,LEN($B772))</f>
        <v/>
      </c>
      <c r="D772" s="16">
        <f>IF($A772="","",TEXT(IFERROR(INDEX(tblVeriA[Tarih],ROW()-ROW(tblVeriA[[#Headers]])),""),"yyyymmdd")&amp;"|"&amp;TEXT(IFERROR(INDEX(tblVeriA[Toplam],ROW()-ROW(tblVeriA[[#Headers]])),0),"0.00"))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 ","")))</f>
        <v/>
      </c>
      <c r="K772" s="16">
        <f>IF($J772="",0,LEN($J772))</f>
        <v/>
      </c>
      <c r="L772" s="16">
        <f>IF($I772="","",TEXT(IFERROR(INDEX(tblVeriB[BelgeTarihi],ROW()-ROW(tblVeriB[[#Headers]])),""),"yyyymmdd")&amp;"|"&amp;TEXT(IFERROR(INDEX(tblVeriB[Tutar],ROW()-ROW(tblVeriB[[#Headers]])),0),"0.00"))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 ","")))</f>
        <v/>
      </c>
      <c r="C773" s="16">
        <f>IF($B773="",0,LEN($B773))</f>
        <v/>
      </c>
      <c r="D773" s="16">
        <f>IF($A773="","",TEXT(IFERROR(INDEX(tblVeriA[Tarih],ROW()-ROW(tblVeriA[[#Headers]])),""),"yyyymmdd")&amp;"|"&amp;TEXT(IFERROR(INDEX(tblVeriA[Toplam],ROW()-ROW(tblVeriA[[#Headers]])),0),"0.00"))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 ","")))</f>
        <v/>
      </c>
      <c r="K773" s="16">
        <f>IF($J773="",0,LEN($J773))</f>
        <v/>
      </c>
      <c r="L773" s="16">
        <f>IF($I773="","",TEXT(IFERROR(INDEX(tblVeriB[BelgeTarihi],ROW()-ROW(tblVeriB[[#Headers]])),""),"yyyymmdd")&amp;"|"&amp;TEXT(IFERROR(INDEX(tblVeriB[Tutar],ROW()-ROW(tblVeriB[[#Headers]])),0),"0.00"))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 ","")))</f>
        <v/>
      </c>
      <c r="C774" s="16">
        <f>IF($B774="",0,LEN($B774))</f>
        <v/>
      </c>
      <c r="D774" s="16">
        <f>IF($A774="","",TEXT(IFERROR(INDEX(tblVeriA[Tarih],ROW()-ROW(tblVeriA[[#Headers]])),""),"yyyymmdd")&amp;"|"&amp;TEXT(IFERROR(INDEX(tblVeriA[Toplam],ROW()-ROW(tblVeriA[[#Headers]])),0),"0.00"))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 ","")))</f>
        <v/>
      </c>
      <c r="K774" s="16">
        <f>IF($J774="",0,LEN($J774))</f>
        <v/>
      </c>
      <c r="L774" s="16">
        <f>IF($I774="","",TEXT(IFERROR(INDEX(tblVeriB[BelgeTarihi],ROW()-ROW(tblVeriB[[#Headers]])),""),"yyyymmdd")&amp;"|"&amp;TEXT(IFERROR(INDEX(tblVeriB[Tutar],ROW()-ROW(tblVeriB[[#Headers]])),0),"0.00"))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 ","")))</f>
        <v/>
      </c>
      <c r="C775" s="16">
        <f>IF($B775="",0,LEN($B775))</f>
        <v/>
      </c>
      <c r="D775" s="16">
        <f>IF($A775="","",TEXT(IFERROR(INDEX(tblVeriA[Tarih],ROW()-ROW(tblVeriA[[#Headers]])),""),"yyyymmdd")&amp;"|"&amp;TEXT(IFERROR(INDEX(tblVeriA[Toplam],ROW()-ROW(tblVeriA[[#Headers]])),0),"0.00"))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 ","")))</f>
        <v/>
      </c>
      <c r="K775" s="16">
        <f>IF($J775="",0,LEN($J775))</f>
        <v/>
      </c>
      <c r="L775" s="16">
        <f>IF($I775="","",TEXT(IFERROR(INDEX(tblVeriB[BelgeTarihi],ROW()-ROW(tblVeriB[[#Headers]])),""),"yyyymmdd")&amp;"|"&amp;TEXT(IFERROR(INDEX(tblVeriB[Tutar],ROW()-ROW(tblVeriB[[#Headers]])),0),"0.00"))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 ","")))</f>
        <v/>
      </c>
      <c r="C776" s="16">
        <f>IF($B776="",0,LEN($B776))</f>
        <v/>
      </c>
      <c r="D776" s="16">
        <f>IF($A776="","",TEXT(IFERROR(INDEX(tblVeriA[Tarih],ROW()-ROW(tblVeriA[[#Headers]])),""),"yyyymmdd")&amp;"|"&amp;TEXT(IFERROR(INDEX(tblVeriA[Toplam],ROW()-ROW(tblVeriA[[#Headers]])),0),"0.00"))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 ","")))</f>
        <v/>
      </c>
      <c r="K776" s="16">
        <f>IF($J776="",0,LEN($J776))</f>
        <v/>
      </c>
      <c r="L776" s="16">
        <f>IF($I776="","",TEXT(IFERROR(INDEX(tblVeriB[BelgeTarihi],ROW()-ROW(tblVeriB[[#Headers]])),""),"yyyymmdd")&amp;"|"&amp;TEXT(IFERROR(INDEX(tblVeriB[Tutar],ROW()-ROW(tblVeriB[[#Headers]])),0),"0.00"))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 ","")))</f>
        <v/>
      </c>
      <c r="C777" s="16">
        <f>IF($B777="",0,LEN($B777))</f>
        <v/>
      </c>
      <c r="D777" s="16">
        <f>IF($A777="","",TEXT(IFERROR(INDEX(tblVeriA[Tarih],ROW()-ROW(tblVeriA[[#Headers]])),""),"yyyymmdd")&amp;"|"&amp;TEXT(IFERROR(INDEX(tblVeriA[Toplam],ROW()-ROW(tblVeriA[[#Headers]])),0),"0.00"))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 ","")))</f>
        <v/>
      </c>
      <c r="K777" s="16">
        <f>IF($J777="",0,LEN($J777))</f>
        <v/>
      </c>
      <c r="L777" s="16">
        <f>IF($I777="","",TEXT(IFERROR(INDEX(tblVeriB[BelgeTarihi],ROW()-ROW(tblVeriB[[#Headers]])),""),"yyyymmdd")&amp;"|"&amp;TEXT(IFERROR(INDEX(tblVeriB[Tutar],ROW()-ROW(tblVeriB[[#Headers]])),0),"0.00"))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 ","")))</f>
        <v/>
      </c>
      <c r="C778" s="16">
        <f>IF($B778="",0,LEN($B778))</f>
        <v/>
      </c>
      <c r="D778" s="16">
        <f>IF($A778="","",TEXT(IFERROR(INDEX(tblVeriA[Tarih],ROW()-ROW(tblVeriA[[#Headers]])),""),"yyyymmdd")&amp;"|"&amp;TEXT(IFERROR(INDEX(tblVeriA[Toplam],ROW()-ROW(tblVeriA[[#Headers]])),0),"0.00"))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 ","")))</f>
        <v/>
      </c>
      <c r="K778" s="16">
        <f>IF($J778="",0,LEN($J778))</f>
        <v/>
      </c>
      <c r="L778" s="16">
        <f>IF($I778="","",TEXT(IFERROR(INDEX(tblVeriB[BelgeTarihi],ROW()-ROW(tblVeriB[[#Headers]])),""),"yyyymmdd")&amp;"|"&amp;TEXT(IFERROR(INDEX(tblVeriB[Tutar],ROW()-ROW(tblVeriB[[#Headers]])),0),"0.00"))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 ","")))</f>
        <v/>
      </c>
      <c r="C779" s="16">
        <f>IF($B779="",0,LEN($B779))</f>
        <v/>
      </c>
      <c r="D779" s="16">
        <f>IF($A779="","",TEXT(IFERROR(INDEX(tblVeriA[Tarih],ROW()-ROW(tblVeriA[[#Headers]])),""),"yyyymmdd")&amp;"|"&amp;TEXT(IFERROR(INDEX(tblVeriA[Toplam],ROW()-ROW(tblVeriA[[#Headers]])),0),"0.00"))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 ","")))</f>
        <v/>
      </c>
      <c r="K779" s="16">
        <f>IF($J779="",0,LEN($J779))</f>
        <v/>
      </c>
      <c r="L779" s="16">
        <f>IF($I779="","",TEXT(IFERROR(INDEX(tblVeriB[BelgeTarihi],ROW()-ROW(tblVeriB[[#Headers]])),""),"yyyymmdd")&amp;"|"&amp;TEXT(IFERROR(INDEX(tblVeriB[Tutar],ROW()-ROW(tblVeriB[[#Headers]])),0),"0.00"))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 ","")))</f>
        <v/>
      </c>
      <c r="C780" s="16">
        <f>IF($B780="",0,LEN($B780))</f>
        <v/>
      </c>
      <c r="D780" s="16">
        <f>IF($A780="","",TEXT(IFERROR(INDEX(tblVeriA[Tarih],ROW()-ROW(tblVeriA[[#Headers]])),""),"yyyymmdd")&amp;"|"&amp;TEXT(IFERROR(INDEX(tblVeriA[Toplam],ROW()-ROW(tblVeriA[[#Headers]])),0),"0.00"))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 ","")))</f>
        <v/>
      </c>
      <c r="K780" s="16">
        <f>IF($J780="",0,LEN($J780))</f>
        <v/>
      </c>
      <c r="L780" s="16">
        <f>IF($I780="","",TEXT(IFERROR(INDEX(tblVeriB[BelgeTarihi],ROW()-ROW(tblVeriB[[#Headers]])),""),"yyyymmdd")&amp;"|"&amp;TEXT(IFERROR(INDEX(tblVeriB[Tutar],ROW()-ROW(tblVeriB[[#Headers]])),0),"0.00"))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 ","")))</f>
        <v/>
      </c>
      <c r="C781" s="16">
        <f>IF($B781="",0,LEN($B781))</f>
        <v/>
      </c>
      <c r="D781" s="16">
        <f>IF($A781="","",TEXT(IFERROR(INDEX(tblVeriA[Tarih],ROW()-ROW(tblVeriA[[#Headers]])),""),"yyyymmdd")&amp;"|"&amp;TEXT(IFERROR(INDEX(tblVeriA[Toplam],ROW()-ROW(tblVeriA[[#Headers]])),0),"0.00"))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 ","")))</f>
        <v/>
      </c>
      <c r="K781" s="16">
        <f>IF($J781="",0,LEN($J781))</f>
        <v/>
      </c>
      <c r="L781" s="16">
        <f>IF($I781="","",TEXT(IFERROR(INDEX(tblVeriB[BelgeTarihi],ROW()-ROW(tblVeriB[[#Headers]])),""),"yyyymmdd")&amp;"|"&amp;TEXT(IFERROR(INDEX(tblVeriB[Tutar],ROW()-ROW(tblVeriB[[#Headers]])),0),"0.00"))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 ","")))</f>
        <v/>
      </c>
      <c r="C782" s="16">
        <f>IF($B782="",0,LEN($B782))</f>
        <v/>
      </c>
      <c r="D782" s="16">
        <f>IF($A782="","",TEXT(IFERROR(INDEX(tblVeriA[Tarih],ROW()-ROW(tblVeriA[[#Headers]])),""),"yyyymmdd")&amp;"|"&amp;TEXT(IFERROR(INDEX(tblVeriA[Toplam],ROW()-ROW(tblVeriA[[#Headers]])),0),"0.00"))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 ","")))</f>
        <v/>
      </c>
      <c r="K782" s="16">
        <f>IF($J782="",0,LEN($J782))</f>
        <v/>
      </c>
      <c r="L782" s="16">
        <f>IF($I782="","",TEXT(IFERROR(INDEX(tblVeriB[BelgeTarihi],ROW()-ROW(tblVeriB[[#Headers]])),""),"yyyymmdd")&amp;"|"&amp;TEXT(IFERROR(INDEX(tblVeriB[Tutar],ROW()-ROW(tblVeriB[[#Headers]])),0),"0.00"))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 ","")))</f>
        <v/>
      </c>
      <c r="C783" s="16">
        <f>IF($B783="",0,LEN($B783))</f>
        <v/>
      </c>
      <c r="D783" s="16">
        <f>IF($A783="","",TEXT(IFERROR(INDEX(tblVeriA[Tarih],ROW()-ROW(tblVeriA[[#Headers]])),""),"yyyymmdd")&amp;"|"&amp;TEXT(IFERROR(INDEX(tblVeriA[Toplam],ROW()-ROW(tblVeriA[[#Headers]])),0),"0.00"))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 ","")))</f>
        <v/>
      </c>
      <c r="K783" s="16">
        <f>IF($J783="",0,LEN($J783))</f>
        <v/>
      </c>
      <c r="L783" s="16">
        <f>IF($I783="","",TEXT(IFERROR(INDEX(tblVeriB[BelgeTarihi],ROW()-ROW(tblVeriB[[#Headers]])),""),"yyyymmdd")&amp;"|"&amp;TEXT(IFERROR(INDEX(tblVeriB[Tutar],ROW()-ROW(tblVeriB[[#Headers]])),0),"0.00"))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 ","")))</f>
        <v/>
      </c>
      <c r="C784" s="16">
        <f>IF($B784="",0,LEN($B784))</f>
        <v/>
      </c>
      <c r="D784" s="16">
        <f>IF($A784="","",TEXT(IFERROR(INDEX(tblVeriA[Tarih],ROW()-ROW(tblVeriA[[#Headers]])),""),"yyyymmdd")&amp;"|"&amp;TEXT(IFERROR(INDEX(tblVeriA[Toplam],ROW()-ROW(tblVeriA[[#Headers]])),0),"0.00"))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 ","")))</f>
        <v/>
      </c>
      <c r="K784" s="16">
        <f>IF($J784="",0,LEN($J784))</f>
        <v/>
      </c>
      <c r="L784" s="16">
        <f>IF($I784="","",TEXT(IFERROR(INDEX(tblVeriB[BelgeTarihi],ROW()-ROW(tblVeriB[[#Headers]])),""),"yyyymmdd")&amp;"|"&amp;TEXT(IFERROR(INDEX(tblVeriB[Tutar],ROW()-ROW(tblVeriB[[#Headers]])),0),"0.00"))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 ","")))</f>
        <v/>
      </c>
      <c r="C785" s="16">
        <f>IF($B785="",0,LEN($B785))</f>
        <v/>
      </c>
      <c r="D785" s="16">
        <f>IF($A785="","",TEXT(IFERROR(INDEX(tblVeriA[Tarih],ROW()-ROW(tblVeriA[[#Headers]])),""),"yyyymmdd")&amp;"|"&amp;TEXT(IFERROR(INDEX(tblVeriA[Toplam],ROW()-ROW(tblVeriA[[#Headers]])),0),"0.00"))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 ","")))</f>
        <v/>
      </c>
      <c r="K785" s="16">
        <f>IF($J785="",0,LEN($J785))</f>
        <v/>
      </c>
      <c r="L785" s="16">
        <f>IF($I785="","",TEXT(IFERROR(INDEX(tblVeriB[BelgeTarihi],ROW()-ROW(tblVeriB[[#Headers]])),""),"yyyymmdd")&amp;"|"&amp;TEXT(IFERROR(INDEX(tblVeriB[Tutar],ROW()-ROW(tblVeriB[[#Headers]])),0),"0.00"))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 ","")))</f>
        <v/>
      </c>
      <c r="C786" s="16">
        <f>IF($B786="",0,LEN($B786))</f>
        <v/>
      </c>
      <c r="D786" s="16">
        <f>IF($A786="","",TEXT(IFERROR(INDEX(tblVeriA[Tarih],ROW()-ROW(tblVeriA[[#Headers]])),""),"yyyymmdd")&amp;"|"&amp;TEXT(IFERROR(INDEX(tblVeriA[Toplam],ROW()-ROW(tblVeriA[[#Headers]])),0),"0.00"))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 ","")))</f>
        <v/>
      </c>
      <c r="K786" s="16">
        <f>IF($J786="",0,LEN($J786))</f>
        <v/>
      </c>
      <c r="L786" s="16">
        <f>IF($I786="","",TEXT(IFERROR(INDEX(tblVeriB[BelgeTarihi],ROW()-ROW(tblVeriB[[#Headers]])),""),"yyyymmdd")&amp;"|"&amp;TEXT(IFERROR(INDEX(tblVeriB[Tutar],ROW()-ROW(tblVeriB[[#Headers]])),0),"0.00"))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 ","")))</f>
        <v/>
      </c>
      <c r="C787" s="16">
        <f>IF($B787="",0,LEN($B787))</f>
        <v/>
      </c>
      <c r="D787" s="16">
        <f>IF($A787="","",TEXT(IFERROR(INDEX(tblVeriA[Tarih],ROW()-ROW(tblVeriA[[#Headers]])),""),"yyyymmdd")&amp;"|"&amp;TEXT(IFERROR(INDEX(tblVeriA[Toplam],ROW()-ROW(tblVeriA[[#Headers]])),0),"0.00"))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 ","")))</f>
        <v/>
      </c>
      <c r="K787" s="16">
        <f>IF($J787="",0,LEN($J787))</f>
        <v/>
      </c>
      <c r="L787" s="16">
        <f>IF($I787="","",TEXT(IFERROR(INDEX(tblVeriB[BelgeTarihi],ROW()-ROW(tblVeriB[[#Headers]])),""),"yyyymmdd")&amp;"|"&amp;TEXT(IFERROR(INDEX(tblVeriB[Tutar],ROW()-ROW(tblVeriB[[#Headers]])),0),"0.00"))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 ","")))</f>
        <v/>
      </c>
      <c r="C788" s="16">
        <f>IF($B788="",0,LEN($B788))</f>
        <v/>
      </c>
      <c r="D788" s="16">
        <f>IF($A788="","",TEXT(IFERROR(INDEX(tblVeriA[Tarih],ROW()-ROW(tblVeriA[[#Headers]])),""),"yyyymmdd")&amp;"|"&amp;TEXT(IFERROR(INDEX(tblVeriA[Toplam],ROW()-ROW(tblVeriA[[#Headers]])),0),"0.00"))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 ","")))</f>
        <v/>
      </c>
      <c r="K788" s="16">
        <f>IF($J788="",0,LEN($J788))</f>
        <v/>
      </c>
      <c r="L788" s="16">
        <f>IF($I788="","",TEXT(IFERROR(INDEX(tblVeriB[BelgeTarihi],ROW()-ROW(tblVeriB[[#Headers]])),""),"yyyymmdd")&amp;"|"&amp;TEXT(IFERROR(INDEX(tblVeriB[Tutar],ROW()-ROW(tblVeriB[[#Headers]])),0),"0.00"))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 ","")))</f>
        <v/>
      </c>
      <c r="C789" s="16">
        <f>IF($B789="",0,LEN($B789))</f>
        <v/>
      </c>
      <c r="D789" s="16">
        <f>IF($A789="","",TEXT(IFERROR(INDEX(tblVeriA[Tarih],ROW()-ROW(tblVeriA[[#Headers]])),""),"yyyymmdd")&amp;"|"&amp;TEXT(IFERROR(INDEX(tblVeriA[Toplam],ROW()-ROW(tblVeriA[[#Headers]])),0),"0.00"))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 ","")))</f>
        <v/>
      </c>
      <c r="K789" s="16">
        <f>IF($J789="",0,LEN($J789))</f>
        <v/>
      </c>
      <c r="L789" s="16">
        <f>IF($I789="","",TEXT(IFERROR(INDEX(tblVeriB[BelgeTarihi],ROW()-ROW(tblVeriB[[#Headers]])),""),"yyyymmdd")&amp;"|"&amp;TEXT(IFERROR(INDEX(tblVeriB[Tutar],ROW()-ROW(tblVeriB[[#Headers]])),0),"0.00"))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 ","")))</f>
        <v/>
      </c>
      <c r="C790" s="16">
        <f>IF($B790="",0,LEN($B790))</f>
        <v/>
      </c>
      <c r="D790" s="16">
        <f>IF($A790="","",TEXT(IFERROR(INDEX(tblVeriA[Tarih],ROW()-ROW(tblVeriA[[#Headers]])),""),"yyyymmdd")&amp;"|"&amp;TEXT(IFERROR(INDEX(tblVeriA[Toplam],ROW()-ROW(tblVeriA[[#Headers]])),0),"0.00"))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 ","")))</f>
        <v/>
      </c>
      <c r="K790" s="16">
        <f>IF($J790="",0,LEN($J790))</f>
        <v/>
      </c>
      <c r="L790" s="16">
        <f>IF($I790="","",TEXT(IFERROR(INDEX(tblVeriB[BelgeTarihi],ROW()-ROW(tblVeriB[[#Headers]])),""),"yyyymmdd")&amp;"|"&amp;TEXT(IFERROR(INDEX(tblVeriB[Tutar],ROW()-ROW(tblVeriB[[#Headers]])),0),"0.00"))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 ","")))</f>
        <v/>
      </c>
      <c r="C791" s="16">
        <f>IF($B791="",0,LEN($B791))</f>
        <v/>
      </c>
      <c r="D791" s="16">
        <f>IF($A791="","",TEXT(IFERROR(INDEX(tblVeriA[Tarih],ROW()-ROW(tblVeriA[[#Headers]])),""),"yyyymmdd")&amp;"|"&amp;TEXT(IFERROR(INDEX(tblVeriA[Toplam],ROW()-ROW(tblVeriA[[#Headers]])),0),"0.00"))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 ","")))</f>
        <v/>
      </c>
      <c r="K791" s="16">
        <f>IF($J791="",0,LEN($J791))</f>
        <v/>
      </c>
      <c r="L791" s="16">
        <f>IF($I791="","",TEXT(IFERROR(INDEX(tblVeriB[BelgeTarihi],ROW()-ROW(tblVeriB[[#Headers]])),""),"yyyymmdd")&amp;"|"&amp;TEXT(IFERROR(INDEX(tblVeriB[Tutar],ROW()-ROW(tblVeriB[[#Headers]])),0),"0.00"))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 ","")))</f>
        <v/>
      </c>
      <c r="C792" s="16">
        <f>IF($B792="",0,LEN($B792))</f>
        <v/>
      </c>
      <c r="D792" s="16">
        <f>IF($A792="","",TEXT(IFERROR(INDEX(tblVeriA[Tarih],ROW()-ROW(tblVeriA[[#Headers]])),""),"yyyymmdd")&amp;"|"&amp;TEXT(IFERROR(INDEX(tblVeriA[Toplam],ROW()-ROW(tblVeriA[[#Headers]])),0),"0.00"))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 ","")))</f>
        <v/>
      </c>
      <c r="K792" s="16">
        <f>IF($J792="",0,LEN($J792))</f>
        <v/>
      </c>
      <c r="L792" s="16">
        <f>IF($I792="","",TEXT(IFERROR(INDEX(tblVeriB[BelgeTarihi],ROW()-ROW(tblVeriB[[#Headers]])),""),"yyyymmdd")&amp;"|"&amp;TEXT(IFERROR(INDEX(tblVeriB[Tutar],ROW()-ROW(tblVeriB[[#Headers]])),0),"0.00"))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 ","")))</f>
        <v/>
      </c>
      <c r="C793" s="16">
        <f>IF($B793="",0,LEN($B793))</f>
        <v/>
      </c>
      <c r="D793" s="16">
        <f>IF($A793="","",TEXT(IFERROR(INDEX(tblVeriA[Tarih],ROW()-ROW(tblVeriA[[#Headers]])),""),"yyyymmdd")&amp;"|"&amp;TEXT(IFERROR(INDEX(tblVeriA[Toplam],ROW()-ROW(tblVeriA[[#Headers]])),0),"0.00"))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 ","")))</f>
        <v/>
      </c>
      <c r="K793" s="16">
        <f>IF($J793="",0,LEN($J793))</f>
        <v/>
      </c>
      <c r="L793" s="16">
        <f>IF($I793="","",TEXT(IFERROR(INDEX(tblVeriB[BelgeTarihi],ROW()-ROW(tblVeriB[[#Headers]])),""),"yyyymmdd")&amp;"|"&amp;TEXT(IFERROR(INDEX(tblVeriB[Tutar],ROW()-ROW(tblVeriB[[#Headers]])),0),"0.00"))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 ","")))</f>
        <v/>
      </c>
      <c r="C794" s="16">
        <f>IF($B794="",0,LEN($B794))</f>
        <v/>
      </c>
      <c r="D794" s="16">
        <f>IF($A794="","",TEXT(IFERROR(INDEX(tblVeriA[Tarih],ROW()-ROW(tblVeriA[[#Headers]])),""),"yyyymmdd")&amp;"|"&amp;TEXT(IFERROR(INDEX(tblVeriA[Toplam],ROW()-ROW(tblVeriA[[#Headers]])),0),"0.00"))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 ","")))</f>
        <v/>
      </c>
      <c r="K794" s="16">
        <f>IF($J794="",0,LEN($J794))</f>
        <v/>
      </c>
      <c r="L794" s="16">
        <f>IF($I794="","",TEXT(IFERROR(INDEX(tblVeriB[BelgeTarihi],ROW()-ROW(tblVeriB[[#Headers]])),""),"yyyymmdd")&amp;"|"&amp;TEXT(IFERROR(INDEX(tblVeriB[Tutar],ROW()-ROW(tblVeriB[[#Headers]])),0),"0.00"))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 ","")))</f>
        <v/>
      </c>
      <c r="C795" s="16">
        <f>IF($B795="",0,LEN($B795))</f>
        <v/>
      </c>
      <c r="D795" s="16">
        <f>IF($A795="","",TEXT(IFERROR(INDEX(tblVeriA[Tarih],ROW()-ROW(tblVeriA[[#Headers]])),""),"yyyymmdd")&amp;"|"&amp;TEXT(IFERROR(INDEX(tblVeriA[Toplam],ROW()-ROW(tblVeriA[[#Headers]])),0),"0.00"))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 ","")))</f>
        <v/>
      </c>
      <c r="K795" s="16">
        <f>IF($J795="",0,LEN($J795))</f>
        <v/>
      </c>
      <c r="L795" s="16">
        <f>IF($I795="","",TEXT(IFERROR(INDEX(tblVeriB[BelgeTarihi],ROW()-ROW(tblVeriB[[#Headers]])),""),"yyyymmdd")&amp;"|"&amp;TEXT(IFERROR(INDEX(tblVeriB[Tutar],ROW()-ROW(tblVeriB[[#Headers]])),0),"0.00"))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 ","")))</f>
        <v/>
      </c>
      <c r="C796" s="16">
        <f>IF($B796="",0,LEN($B796))</f>
        <v/>
      </c>
      <c r="D796" s="16">
        <f>IF($A796="","",TEXT(IFERROR(INDEX(tblVeriA[Tarih],ROW()-ROW(tblVeriA[[#Headers]])),""),"yyyymmdd")&amp;"|"&amp;TEXT(IFERROR(INDEX(tblVeriA[Toplam],ROW()-ROW(tblVeriA[[#Headers]])),0),"0.00"))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 ","")))</f>
        <v/>
      </c>
      <c r="K796" s="16">
        <f>IF($J796="",0,LEN($J796))</f>
        <v/>
      </c>
      <c r="L796" s="16">
        <f>IF($I796="","",TEXT(IFERROR(INDEX(tblVeriB[BelgeTarihi],ROW()-ROW(tblVeriB[[#Headers]])),""),"yyyymmdd")&amp;"|"&amp;TEXT(IFERROR(INDEX(tblVeriB[Tutar],ROW()-ROW(tblVeriB[[#Headers]])),0),"0.00"))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 ","")))</f>
        <v/>
      </c>
      <c r="C797" s="16">
        <f>IF($B797="",0,LEN($B797))</f>
        <v/>
      </c>
      <c r="D797" s="16">
        <f>IF($A797="","",TEXT(IFERROR(INDEX(tblVeriA[Tarih],ROW()-ROW(tblVeriA[[#Headers]])),""),"yyyymmdd")&amp;"|"&amp;TEXT(IFERROR(INDEX(tblVeriA[Toplam],ROW()-ROW(tblVeriA[[#Headers]])),0),"0.00"))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 ","")))</f>
        <v/>
      </c>
      <c r="K797" s="16">
        <f>IF($J797="",0,LEN($J797))</f>
        <v/>
      </c>
      <c r="L797" s="16">
        <f>IF($I797="","",TEXT(IFERROR(INDEX(tblVeriB[BelgeTarihi],ROW()-ROW(tblVeriB[[#Headers]])),""),"yyyymmdd")&amp;"|"&amp;TEXT(IFERROR(INDEX(tblVeriB[Tutar],ROW()-ROW(tblVeriB[[#Headers]])),0),"0.00"))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 ","")))</f>
        <v/>
      </c>
      <c r="C798" s="16">
        <f>IF($B798="",0,LEN($B798))</f>
        <v/>
      </c>
      <c r="D798" s="16">
        <f>IF($A798="","",TEXT(IFERROR(INDEX(tblVeriA[Tarih],ROW()-ROW(tblVeriA[[#Headers]])),""),"yyyymmdd")&amp;"|"&amp;TEXT(IFERROR(INDEX(tblVeriA[Toplam],ROW()-ROW(tblVeriA[[#Headers]])),0),"0.00"))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 ","")))</f>
        <v/>
      </c>
      <c r="K798" s="16">
        <f>IF($J798="",0,LEN($J798))</f>
        <v/>
      </c>
      <c r="L798" s="16">
        <f>IF($I798="","",TEXT(IFERROR(INDEX(tblVeriB[BelgeTarihi],ROW()-ROW(tblVeriB[[#Headers]])),""),"yyyymmdd")&amp;"|"&amp;TEXT(IFERROR(INDEX(tblVeriB[Tutar],ROW()-ROW(tblVeriB[[#Headers]])),0),"0.00"))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 ","")))</f>
        <v/>
      </c>
      <c r="C799" s="16">
        <f>IF($B799="",0,LEN($B799))</f>
        <v/>
      </c>
      <c r="D799" s="16">
        <f>IF($A799="","",TEXT(IFERROR(INDEX(tblVeriA[Tarih],ROW()-ROW(tblVeriA[[#Headers]])),""),"yyyymmdd")&amp;"|"&amp;TEXT(IFERROR(INDEX(tblVeriA[Toplam],ROW()-ROW(tblVeriA[[#Headers]])),0),"0.00"))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 ","")))</f>
        <v/>
      </c>
      <c r="K799" s="16">
        <f>IF($J799="",0,LEN($J799))</f>
        <v/>
      </c>
      <c r="L799" s="16">
        <f>IF($I799="","",TEXT(IFERROR(INDEX(tblVeriB[BelgeTarihi],ROW()-ROW(tblVeriB[[#Headers]])),""),"yyyymmdd")&amp;"|"&amp;TEXT(IFERROR(INDEX(tblVeriB[Tutar],ROW()-ROW(tblVeriB[[#Headers]])),0),"0.00"))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 ","")))</f>
        <v/>
      </c>
      <c r="C800" s="16">
        <f>IF($B800="",0,LEN($B800))</f>
        <v/>
      </c>
      <c r="D800" s="16">
        <f>IF($A800="","",TEXT(IFERROR(INDEX(tblVeriA[Tarih],ROW()-ROW(tblVeriA[[#Headers]])),""),"yyyymmdd")&amp;"|"&amp;TEXT(IFERROR(INDEX(tblVeriA[Toplam],ROW()-ROW(tblVeriA[[#Headers]])),0),"0.00"))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 ","")))</f>
        <v/>
      </c>
      <c r="K800" s="16">
        <f>IF($J800="",0,LEN($J800))</f>
        <v/>
      </c>
      <c r="L800" s="16">
        <f>IF($I800="","",TEXT(IFERROR(INDEX(tblVeriB[BelgeTarihi],ROW()-ROW(tblVeriB[[#Headers]])),""),"yyyymmdd")&amp;"|"&amp;TEXT(IFERROR(INDEX(tblVeriB[Tutar],ROW()-ROW(tblVeriB[[#Headers]])),0),"0.00"))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 ","")))</f>
        <v/>
      </c>
      <c r="C801" s="16">
        <f>IF($B801="",0,LEN($B801))</f>
        <v/>
      </c>
      <c r="D801" s="16">
        <f>IF($A801="","",TEXT(IFERROR(INDEX(tblVeriA[Tarih],ROW()-ROW(tblVeriA[[#Headers]])),""),"yyyymmdd")&amp;"|"&amp;TEXT(IFERROR(INDEX(tblVeriA[Toplam],ROW()-ROW(tblVeriA[[#Headers]])),0),"0.00"))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 ","")))</f>
        <v/>
      </c>
      <c r="K801" s="16">
        <f>IF($J801="",0,LEN($J801))</f>
        <v/>
      </c>
      <c r="L801" s="16">
        <f>IF($I801="","",TEXT(IFERROR(INDEX(tblVeriB[BelgeTarihi],ROW()-ROW(tblVeriB[[#Headers]])),""),"yyyymmdd")&amp;"|"&amp;TEXT(IFERROR(INDEX(tblVeriB[Tutar],ROW()-ROW(tblVeriB[[#Headers]])),0),"0.00"))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 ","")))</f>
        <v/>
      </c>
      <c r="C802" s="16">
        <f>IF($B802="",0,LEN($B802))</f>
        <v/>
      </c>
      <c r="D802" s="16">
        <f>IF($A802="","",TEXT(IFERROR(INDEX(tblVeriA[Tarih],ROW()-ROW(tblVeriA[[#Headers]])),""),"yyyymmdd")&amp;"|"&amp;TEXT(IFERROR(INDEX(tblVeriA[Toplam],ROW()-ROW(tblVeriA[[#Headers]])),0),"0.00"))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 ","")))</f>
        <v/>
      </c>
      <c r="K802" s="16">
        <f>IF($J802="",0,LEN($J802))</f>
        <v/>
      </c>
      <c r="L802" s="16">
        <f>IF($I802="","",TEXT(IFERROR(INDEX(tblVeriB[BelgeTarihi],ROW()-ROW(tblVeriB[[#Headers]])),""),"yyyymmdd")&amp;"|"&amp;TEXT(IFERROR(INDEX(tblVeriB[Tutar],ROW()-ROW(tblVeriB[[#Headers]])),0),"0.00"))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 ","")))</f>
        <v/>
      </c>
      <c r="C803" s="16">
        <f>IF($B803="",0,LEN($B803))</f>
        <v/>
      </c>
      <c r="D803" s="16">
        <f>IF($A803="","",TEXT(IFERROR(INDEX(tblVeriA[Tarih],ROW()-ROW(tblVeriA[[#Headers]])),""),"yyyymmdd")&amp;"|"&amp;TEXT(IFERROR(INDEX(tblVeriA[Toplam],ROW()-ROW(tblVeriA[[#Headers]])),0),"0.00"))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 ","")))</f>
        <v/>
      </c>
      <c r="K803" s="16">
        <f>IF($J803="",0,LEN($J803))</f>
        <v/>
      </c>
      <c r="L803" s="16">
        <f>IF($I803="","",TEXT(IFERROR(INDEX(tblVeriB[BelgeTarihi],ROW()-ROW(tblVeriB[[#Headers]])),""),"yyyymmdd")&amp;"|"&amp;TEXT(IFERROR(INDEX(tblVeriB[Tutar],ROW()-ROW(tblVeriB[[#Headers]])),0),"0.00"))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 ","")))</f>
        <v/>
      </c>
      <c r="C804" s="16">
        <f>IF($B804="",0,LEN($B804))</f>
        <v/>
      </c>
      <c r="D804" s="16">
        <f>IF($A804="","",TEXT(IFERROR(INDEX(tblVeriA[Tarih],ROW()-ROW(tblVeriA[[#Headers]])),""),"yyyymmdd")&amp;"|"&amp;TEXT(IFERROR(INDEX(tblVeriA[Toplam],ROW()-ROW(tblVeriA[[#Headers]])),0),"0.00"))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 ","")))</f>
        <v/>
      </c>
      <c r="K804" s="16">
        <f>IF($J804="",0,LEN($J804))</f>
        <v/>
      </c>
      <c r="L804" s="16">
        <f>IF($I804="","",TEXT(IFERROR(INDEX(tblVeriB[BelgeTarihi],ROW()-ROW(tblVeriB[[#Headers]])),""),"yyyymmdd")&amp;"|"&amp;TEXT(IFERROR(INDEX(tblVeriB[Tutar],ROW()-ROW(tblVeriB[[#Headers]])),0),"0.00"))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 ","")))</f>
        <v/>
      </c>
      <c r="C805" s="16">
        <f>IF($B805="",0,LEN($B805))</f>
        <v/>
      </c>
      <c r="D805" s="16">
        <f>IF($A805="","",TEXT(IFERROR(INDEX(tblVeriA[Tarih],ROW()-ROW(tblVeriA[[#Headers]])),""),"yyyymmdd")&amp;"|"&amp;TEXT(IFERROR(INDEX(tblVeriA[Toplam],ROW()-ROW(tblVeriA[[#Headers]])),0),"0.00"))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 ","")))</f>
        <v/>
      </c>
      <c r="K805" s="16">
        <f>IF($J805="",0,LEN($J805))</f>
        <v/>
      </c>
      <c r="L805" s="16">
        <f>IF($I805="","",TEXT(IFERROR(INDEX(tblVeriB[BelgeTarihi],ROW()-ROW(tblVeriB[[#Headers]])),""),"yyyymmdd")&amp;"|"&amp;TEXT(IFERROR(INDEX(tblVeriB[Tutar],ROW()-ROW(tblVeriB[[#Headers]])),0),"0.00"))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 ","")))</f>
        <v/>
      </c>
      <c r="C806" s="16">
        <f>IF($B806="",0,LEN($B806))</f>
        <v/>
      </c>
      <c r="D806" s="16">
        <f>IF($A806="","",TEXT(IFERROR(INDEX(tblVeriA[Tarih],ROW()-ROW(tblVeriA[[#Headers]])),""),"yyyymmdd")&amp;"|"&amp;TEXT(IFERROR(INDEX(tblVeriA[Toplam],ROW()-ROW(tblVeriA[[#Headers]])),0),"0.00"))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 ","")))</f>
        <v/>
      </c>
      <c r="K806" s="16">
        <f>IF($J806="",0,LEN($J806))</f>
        <v/>
      </c>
      <c r="L806" s="16">
        <f>IF($I806="","",TEXT(IFERROR(INDEX(tblVeriB[BelgeTarihi],ROW()-ROW(tblVeriB[[#Headers]])),""),"yyyymmdd")&amp;"|"&amp;TEXT(IFERROR(INDEX(tblVeriB[Tutar],ROW()-ROW(tblVeriB[[#Headers]])),0),"0.00"))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 ","")))</f>
        <v/>
      </c>
      <c r="C807" s="16">
        <f>IF($B807="",0,LEN($B807))</f>
        <v/>
      </c>
      <c r="D807" s="16">
        <f>IF($A807="","",TEXT(IFERROR(INDEX(tblVeriA[Tarih],ROW()-ROW(tblVeriA[[#Headers]])),""),"yyyymmdd")&amp;"|"&amp;TEXT(IFERROR(INDEX(tblVeriA[Toplam],ROW()-ROW(tblVeriA[[#Headers]])),0),"0.00"))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 ","")))</f>
        <v/>
      </c>
      <c r="K807" s="16">
        <f>IF($J807="",0,LEN($J807))</f>
        <v/>
      </c>
      <c r="L807" s="16">
        <f>IF($I807="","",TEXT(IFERROR(INDEX(tblVeriB[BelgeTarihi],ROW()-ROW(tblVeriB[[#Headers]])),""),"yyyymmdd")&amp;"|"&amp;TEXT(IFERROR(INDEX(tblVeriB[Tutar],ROW()-ROW(tblVeriB[[#Headers]])),0),"0.00"))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 ","")))</f>
        <v/>
      </c>
      <c r="C808" s="16">
        <f>IF($B808="",0,LEN($B808))</f>
        <v/>
      </c>
      <c r="D808" s="16">
        <f>IF($A808="","",TEXT(IFERROR(INDEX(tblVeriA[Tarih],ROW()-ROW(tblVeriA[[#Headers]])),""),"yyyymmdd")&amp;"|"&amp;TEXT(IFERROR(INDEX(tblVeriA[Toplam],ROW()-ROW(tblVeriA[[#Headers]])),0),"0.00"))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 ","")))</f>
        <v/>
      </c>
      <c r="K808" s="16">
        <f>IF($J808="",0,LEN($J808))</f>
        <v/>
      </c>
      <c r="L808" s="16">
        <f>IF($I808="","",TEXT(IFERROR(INDEX(tblVeriB[BelgeTarihi],ROW()-ROW(tblVeriB[[#Headers]])),""),"yyyymmdd")&amp;"|"&amp;TEXT(IFERROR(INDEX(tblVeriB[Tutar],ROW()-ROW(tblVeriB[[#Headers]])),0),"0.00"))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 ","")))</f>
        <v/>
      </c>
      <c r="C809" s="16">
        <f>IF($B809="",0,LEN($B809))</f>
        <v/>
      </c>
      <c r="D809" s="16">
        <f>IF($A809="","",TEXT(IFERROR(INDEX(tblVeriA[Tarih],ROW()-ROW(tblVeriA[[#Headers]])),""),"yyyymmdd")&amp;"|"&amp;TEXT(IFERROR(INDEX(tblVeriA[Toplam],ROW()-ROW(tblVeriA[[#Headers]])),0),"0.00"))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 ","")))</f>
        <v/>
      </c>
      <c r="K809" s="16">
        <f>IF($J809="",0,LEN($J809))</f>
        <v/>
      </c>
      <c r="L809" s="16">
        <f>IF($I809="","",TEXT(IFERROR(INDEX(tblVeriB[BelgeTarihi],ROW()-ROW(tblVeriB[[#Headers]])),""),"yyyymmdd")&amp;"|"&amp;TEXT(IFERROR(INDEX(tblVeriB[Tutar],ROW()-ROW(tblVeriB[[#Headers]])),0),"0.00"))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 ","")))</f>
        <v/>
      </c>
      <c r="C810" s="16">
        <f>IF($B810="",0,LEN($B810))</f>
        <v/>
      </c>
      <c r="D810" s="16">
        <f>IF($A810="","",TEXT(IFERROR(INDEX(tblVeriA[Tarih],ROW()-ROW(tblVeriA[[#Headers]])),""),"yyyymmdd")&amp;"|"&amp;TEXT(IFERROR(INDEX(tblVeriA[Toplam],ROW()-ROW(tblVeriA[[#Headers]])),0),"0.00"))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 ","")))</f>
        <v/>
      </c>
      <c r="K810" s="16">
        <f>IF($J810="",0,LEN($J810))</f>
        <v/>
      </c>
      <c r="L810" s="16">
        <f>IF($I810="","",TEXT(IFERROR(INDEX(tblVeriB[BelgeTarihi],ROW()-ROW(tblVeriB[[#Headers]])),""),"yyyymmdd")&amp;"|"&amp;TEXT(IFERROR(INDEX(tblVeriB[Tutar],ROW()-ROW(tblVeriB[[#Headers]])),0),"0.00"))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 ","")))</f>
        <v/>
      </c>
      <c r="C811" s="16">
        <f>IF($B811="",0,LEN($B811))</f>
        <v/>
      </c>
      <c r="D811" s="16">
        <f>IF($A811="","",TEXT(IFERROR(INDEX(tblVeriA[Tarih],ROW()-ROW(tblVeriA[[#Headers]])),""),"yyyymmdd")&amp;"|"&amp;TEXT(IFERROR(INDEX(tblVeriA[Toplam],ROW()-ROW(tblVeriA[[#Headers]])),0),"0.00"))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 ","")))</f>
        <v/>
      </c>
      <c r="K811" s="16">
        <f>IF($J811="",0,LEN($J811))</f>
        <v/>
      </c>
      <c r="L811" s="16">
        <f>IF($I811="","",TEXT(IFERROR(INDEX(tblVeriB[BelgeTarihi],ROW()-ROW(tblVeriB[[#Headers]])),""),"yyyymmdd")&amp;"|"&amp;TEXT(IFERROR(INDEX(tblVeriB[Tutar],ROW()-ROW(tblVeriB[[#Headers]])),0),"0.00"))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 ","")))</f>
        <v/>
      </c>
      <c r="C812" s="16">
        <f>IF($B812="",0,LEN($B812))</f>
        <v/>
      </c>
      <c r="D812" s="16">
        <f>IF($A812="","",TEXT(IFERROR(INDEX(tblVeriA[Tarih],ROW()-ROW(tblVeriA[[#Headers]])),""),"yyyymmdd")&amp;"|"&amp;TEXT(IFERROR(INDEX(tblVeriA[Toplam],ROW()-ROW(tblVeriA[[#Headers]])),0),"0.00"))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 ","")))</f>
        <v/>
      </c>
      <c r="K812" s="16">
        <f>IF($J812="",0,LEN($J812))</f>
        <v/>
      </c>
      <c r="L812" s="16">
        <f>IF($I812="","",TEXT(IFERROR(INDEX(tblVeriB[BelgeTarihi],ROW()-ROW(tblVeriB[[#Headers]])),""),"yyyymmdd")&amp;"|"&amp;TEXT(IFERROR(INDEX(tblVeriB[Tutar],ROW()-ROW(tblVeriB[[#Headers]])),0),"0.00"))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 ","")))</f>
        <v/>
      </c>
      <c r="C813" s="16">
        <f>IF($B813="",0,LEN($B813))</f>
        <v/>
      </c>
      <c r="D813" s="16">
        <f>IF($A813="","",TEXT(IFERROR(INDEX(tblVeriA[Tarih],ROW()-ROW(tblVeriA[[#Headers]])),""),"yyyymmdd")&amp;"|"&amp;TEXT(IFERROR(INDEX(tblVeriA[Toplam],ROW()-ROW(tblVeriA[[#Headers]])),0),"0.00"))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 ","")))</f>
        <v/>
      </c>
      <c r="K813" s="16">
        <f>IF($J813="",0,LEN($J813))</f>
        <v/>
      </c>
      <c r="L813" s="16">
        <f>IF($I813="","",TEXT(IFERROR(INDEX(tblVeriB[BelgeTarihi],ROW()-ROW(tblVeriB[[#Headers]])),""),"yyyymmdd")&amp;"|"&amp;TEXT(IFERROR(INDEX(tblVeriB[Tutar],ROW()-ROW(tblVeriB[[#Headers]])),0),"0.00"))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 ","")))</f>
        <v/>
      </c>
      <c r="C814" s="16">
        <f>IF($B814="",0,LEN($B814))</f>
        <v/>
      </c>
      <c r="D814" s="16">
        <f>IF($A814="","",TEXT(IFERROR(INDEX(tblVeriA[Tarih],ROW()-ROW(tblVeriA[[#Headers]])),""),"yyyymmdd")&amp;"|"&amp;TEXT(IFERROR(INDEX(tblVeriA[Toplam],ROW()-ROW(tblVeriA[[#Headers]])),0),"0.00"))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 ","")))</f>
        <v/>
      </c>
      <c r="K814" s="16">
        <f>IF($J814="",0,LEN($J814))</f>
        <v/>
      </c>
      <c r="L814" s="16">
        <f>IF($I814="","",TEXT(IFERROR(INDEX(tblVeriB[BelgeTarihi],ROW()-ROW(tblVeriB[[#Headers]])),""),"yyyymmdd")&amp;"|"&amp;TEXT(IFERROR(INDEX(tblVeriB[Tutar],ROW()-ROW(tblVeriB[[#Headers]])),0),"0.00"))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 ","")))</f>
        <v/>
      </c>
      <c r="C815" s="16">
        <f>IF($B815="",0,LEN($B815))</f>
        <v/>
      </c>
      <c r="D815" s="16">
        <f>IF($A815="","",TEXT(IFERROR(INDEX(tblVeriA[Tarih],ROW()-ROW(tblVeriA[[#Headers]])),""),"yyyymmdd")&amp;"|"&amp;TEXT(IFERROR(INDEX(tblVeriA[Toplam],ROW()-ROW(tblVeriA[[#Headers]])),0),"0.00"))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 ","")))</f>
        <v/>
      </c>
      <c r="K815" s="16">
        <f>IF($J815="",0,LEN($J815))</f>
        <v/>
      </c>
      <c r="L815" s="16">
        <f>IF($I815="","",TEXT(IFERROR(INDEX(tblVeriB[BelgeTarihi],ROW()-ROW(tblVeriB[[#Headers]])),""),"yyyymmdd")&amp;"|"&amp;TEXT(IFERROR(INDEX(tblVeriB[Tutar],ROW()-ROW(tblVeriB[[#Headers]])),0),"0.00"))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 ","")))</f>
        <v/>
      </c>
      <c r="C816" s="16">
        <f>IF($B816="",0,LEN($B816))</f>
        <v/>
      </c>
      <c r="D816" s="16">
        <f>IF($A816="","",TEXT(IFERROR(INDEX(tblVeriA[Tarih],ROW()-ROW(tblVeriA[[#Headers]])),""),"yyyymmdd")&amp;"|"&amp;TEXT(IFERROR(INDEX(tblVeriA[Toplam],ROW()-ROW(tblVeriA[[#Headers]])),0),"0.00"))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 ","")))</f>
        <v/>
      </c>
      <c r="K816" s="16">
        <f>IF($J816="",0,LEN($J816))</f>
        <v/>
      </c>
      <c r="L816" s="16">
        <f>IF($I816="","",TEXT(IFERROR(INDEX(tblVeriB[BelgeTarihi],ROW()-ROW(tblVeriB[[#Headers]])),""),"yyyymmdd")&amp;"|"&amp;TEXT(IFERROR(INDEX(tblVeriB[Tutar],ROW()-ROW(tblVeriB[[#Headers]])),0),"0.00"))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 ","")))</f>
        <v/>
      </c>
      <c r="C817" s="16">
        <f>IF($B817="",0,LEN($B817))</f>
        <v/>
      </c>
      <c r="D817" s="16">
        <f>IF($A817="","",TEXT(IFERROR(INDEX(tblVeriA[Tarih],ROW()-ROW(tblVeriA[[#Headers]])),""),"yyyymmdd")&amp;"|"&amp;TEXT(IFERROR(INDEX(tblVeriA[Toplam],ROW()-ROW(tblVeriA[[#Headers]])),0),"0.00"))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 ","")))</f>
        <v/>
      </c>
      <c r="K817" s="16">
        <f>IF($J817="",0,LEN($J817))</f>
        <v/>
      </c>
      <c r="L817" s="16">
        <f>IF($I817="","",TEXT(IFERROR(INDEX(tblVeriB[BelgeTarihi],ROW()-ROW(tblVeriB[[#Headers]])),""),"yyyymmdd")&amp;"|"&amp;TEXT(IFERROR(INDEX(tblVeriB[Tutar],ROW()-ROW(tblVeriB[[#Headers]])),0),"0.00"))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 ","")))</f>
        <v/>
      </c>
      <c r="C818" s="16">
        <f>IF($B818="",0,LEN($B818))</f>
        <v/>
      </c>
      <c r="D818" s="16">
        <f>IF($A818="","",TEXT(IFERROR(INDEX(tblVeriA[Tarih],ROW()-ROW(tblVeriA[[#Headers]])),""),"yyyymmdd")&amp;"|"&amp;TEXT(IFERROR(INDEX(tblVeriA[Toplam],ROW()-ROW(tblVeriA[[#Headers]])),0),"0.00"))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 ","")))</f>
        <v/>
      </c>
      <c r="K818" s="16">
        <f>IF($J818="",0,LEN($J818))</f>
        <v/>
      </c>
      <c r="L818" s="16">
        <f>IF($I818="","",TEXT(IFERROR(INDEX(tblVeriB[BelgeTarihi],ROW()-ROW(tblVeriB[[#Headers]])),""),"yyyymmdd")&amp;"|"&amp;TEXT(IFERROR(INDEX(tblVeriB[Tutar],ROW()-ROW(tblVeriB[[#Headers]])),0),"0.00"))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 ","")))</f>
        <v/>
      </c>
      <c r="C819" s="16">
        <f>IF($B819="",0,LEN($B819))</f>
        <v/>
      </c>
      <c r="D819" s="16">
        <f>IF($A819="","",TEXT(IFERROR(INDEX(tblVeriA[Tarih],ROW()-ROW(tblVeriA[[#Headers]])),""),"yyyymmdd")&amp;"|"&amp;TEXT(IFERROR(INDEX(tblVeriA[Toplam],ROW()-ROW(tblVeriA[[#Headers]])),0),"0.00"))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 ","")))</f>
        <v/>
      </c>
      <c r="K819" s="16">
        <f>IF($J819="",0,LEN($J819))</f>
        <v/>
      </c>
      <c r="L819" s="16">
        <f>IF($I819="","",TEXT(IFERROR(INDEX(tblVeriB[BelgeTarihi],ROW()-ROW(tblVeriB[[#Headers]])),""),"yyyymmdd")&amp;"|"&amp;TEXT(IFERROR(INDEX(tblVeriB[Tutar],ROW()-ROW(tblVeriB[[#Headers]])),0),"0.00"))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 ","")))</f>
        <v/>
      </c>
      <c r="C820" s="16">
        <f>IF($B820="",0,LEN($B820))</f>
        <v/>
      </c>
      <c r="D820" s="16">
        <f>IF($A820="","",TEXT(IFERROR(INDEX(tblVeriA[Tarih],ROW()-ROW(tblVeriA[[#Headers]])),""),"yyyymmdd")&amp;"|"&amp;TEXT(IFERROR(INDEX(tblVeriA[Toplam],ROW()-ROW(tblVeriA[[#Headers]])),0),"0.00"))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 ","")))</f>
        <v/>
      </c>
      <c r="K820" s="16">
        <f>IF($J820="",0,LEN($J820))</f>
        <v/>
      </c>
      <c r="L820" s="16">
        <f>IF($I820="","",TEXT(IFERROR(INDEX(tblVeriB[BelgeTarihi],ROW()-ROW(tblVeriB[[#Headers]])),""),"yyyymmdd")&amp;"|"&amp;TEXT(IFERROR(INDEX(tblVeriB[Tutar],ROW()-ROW(tblVeriB[[#Headers]])),0),"0.00"))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 ","")))</f>
        <v/>
      </c>
      <c r="C821" s="16">
        <f>IF($B821="",0,LEN($B821))</f>
        <v/>
      </c>
      <c r="D821" s="16">
        <f>IF($A821="","",TEXT(IFERROR(INDEX(tblVeriA[Tarih],ROW()-ROW(tblVeriA[[#Headers]])),""),"yyyymmdd")&amp;"|"&amp;TEXT(IFERROR(INDEX(tblVeriA[Toplam],ROW()-ROW(tblVeriA[[#Headers]])),0),"0.00"))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 ","")))</f>
        <v/>
      </c>
      <c r="K821" s="16">
        <f>IF($J821="",0,LEN($J821))</f>
        <v/>
      </c>
      <c r="L821" s="16">
        <f>IF($I821="","",TEXT(IFERROR(INDEX(tblVeriB[BelgeTarihi],ROW()-ROW(tblVeriB[[#Headers]])),""),"yyyymmdd")&amp;"|"&amp;TEXT(IFERROR(INDEX(tblVeriB[Tutar],ROW()-ROW(tblVeriB[[#Headers]])),0),"0.00"))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 ","")))</f>
        <v/>
      </c>
      <c r="C822" s="16">
        <f>IF($B822="",0,LEN($B822))</f>
        <v/>
      </c>
      <c r="D822" s="16">
        <f>IF($A822="","",TEXT(IFERROR(INDEX(tblVeriA[Tarih],ROW()-ROW(tblVeriA[[#Headers]])),""),"yyyymmdd")&amp;"|"&amp;TEXT(IFERROR(INDEX(tblVeriA[Toplam],ROW()-ROW(tblVeriA[[#Headers]])),0),"0.00"))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 ","")))</f>
        <v/>
      </c>
      <c r="K822" s="16">
        <f>IF($J822="",0,LEN($J822))</f>
        <v/>
      </c>
      <c r="L822" s="16">
        <f>IF($I822="","",TEXT(IFERROR(INDEX(tblVeriB[BelgeTarihi],ROW()-ROW(tblVeriB[[#Headers]])),""),"yyyymmdd")&amp;"|"&amp;TEXT(IFERROR(INDEX(tblVeriB[Tutar],ROW()-ROW(tblVeriB[[#Headers]])),0),"0.00"))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 ","")))</f>
        <v/>
      </c>
      <c r="C823" s="16">
        <f>IF($B823="",0,LEN($B823))</f>
        <v/>
      </c>
      <c r="D823" s="16">
        <f>IF($A823="","",TEXT(IFERROR(INDEX(tblVeriA[Tarih],ROW()-ROW(tblVeriA[[#Headers]])),""),"yyyymmdd")&amp;"|"&amp;TEXT(IFERROR(INDEX(tblVeriA[Toplam],ROW()-ROW(tblVeriA[[#Headers]])),0),"0.00"))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 ","")))</f>
        <v/>
      </c>
      <c r="K823" s="16">
        <f>IF($J823="",0,LEN($J823))</f>
        <v/>
      </c>
      <c r="L823" s="16">
        <f>IF($I823="","",TEXT(IFERROR(INDEX(tblVeriB[BelgeTarihi],ROW()-ROW(tblVeriB[[#Headers]])),""),"yyyymmdd")&amp;"|"&amp;TEXT(IFERROR(INDEX(tblVeriB[Tutar],ROW()-ROW(tblVeriB[[#Headers]])),0),"0.00"))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 ","")))</f>
        <v/>
      </c>
      <c r="C824" s="16">
        <f>IF($B824="",0,LEN($B824))</f>
        <v/>
      </c>
      <c r="D824" s="16">
        <f>IF($A824="","",TEXT(IFERROR(INDEX(tblVeriA[Tarih],ROW()-ROW(tblVeriA[[#Headers]])),""),"yyyymmdd")&amp;"|"&amp;TEXT(IFERROR(INDEX(tblVeriA[Toplam],ROW()-ROW(tblVeriA[[#Headers]])),0),"0.00"))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 ","")))</f>
        <v/>
      </c>
      <c r="K824" s="16">
        <f>IF($J824="",0,LEN($J824))</f>
        <v/>
      </c>
      <c r="L824" s="16">
        <f>IF($I824="","",TEXT(IFERROR(INDEX(tblVeriB[BelgeTarihi],ROW()-ROW(tblVeriB[[#Headers]])),""),"yyyymmdd")&amp;"|"&amp;TEXT(IFERROR(INDEX(tblVeriB[Tutar],ROW()-ROW(tblVeriB[[#Headers]])),0),"0.00"))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 ","")))</f>
        <v/>
      </c>
      <c r="C825" s="16">
        <f>IF($B825="",0,LEN($B825))</f>
        <v/>
      </c>
      <c r="D825" s="16">
        <f>IF($A825="","",TEXT(IFERROR(INDEX(tblVeriA[Tarih],ROW()-ROW(tblVeriA[[#Headers]])),""),"yyyymmdd")&amp;"|"&amp;TEXT(IFERROR(INDEX(tblVeriA[Toplam],ROW()-ROW(tblVeriA[[#Headers]])),0),"0.00"))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 ","")))</f>
        <v/>
      </c>
      <c r="K825" s="16">
        <f>IF($J825="",0,LEN($J825))</f>
        <v/>
      </c>
      <c r="L825" s="16">
        <f>IF($I825="","",TEXT(IFERROR(INDEX(tblVeriB[BelgeTarihi],ROW()-ROW(tblVeriB[[#Headers]])),""),"yyyymmdd")&amp;"|"&amp;TEXT(IFERROR(INDEX(tblVeriB[Tutar],ROW()-ROW(tblVeriB[[#Headers]])),0),"0.00"))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 ","")))</f>
        <v/>
      </c>
      <c r="C826" s="16">
        <f>IF($B826="",0,LEN($B826))</f>
        <v/>
      </c>
      <c r="D826" s="16">
        <f>IF($A826="","",TEXT(IFERROR(INDEX(tblVeriA[Tarih],ROW()-ROW(tblVeriA[[#Headers]])),""),"yyyymmdd")&amp;"|"&amp;TEXT(IFERROR(INDEX(tblVeriA[Toplam],ROW()-ROW(tblVeriA[[#Headers]])),0),"0.00"))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 ","")))</f>
        <v/>
      </c>
      <c r="K826" s="16">
        <f>IF($J826="",0,LEN($J826))</f>
        <v/>
      </c>
      <c r="L826" s="16">
        <f>IF($I826="","",TEXT(IFERROR(INDEX(tblVeriB[BelgeTarihi],ROW()-ROW(tblVeriB[[#Headers]])),""),"yyyymmdd")&amp;"|"&amp;TEXT(IFERROR(INDEX(tblVeriB[Tutar],ROW()-ROW(tblVeriB[[#Headers]])),0),"0.00"))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 ","")))</f>
        <v/>
      </c>
      <c r="C827" s="16">
        <f>IF($B827="",0,LEN($B827))</f>
        <v/>
      </c>
      <c r="D827" s="16">
        <f>IF($A827="","",TEXT(IFERROR(INDEX(tblVeriA[Tarih],ROW()-ROW(tblVeriA[[#Headers]])),""),"yyyymmdd")&amp;"|"&amp;TEXT(IFERROR(INDEX(tblVeriA[Toplam],ROW()-ROW(tblVeriA[[#Headers]])),0),"0.00"))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 ","")))</f>
        <v/>
      </c>
      <c r="K827" s="16">
        <f>IF($J827="",0,LEN($J827))</f>
        <v/>
      </c>
      <c r="L827" s="16">
        <f>IF($I827="","",TEXT(IFERROR(INDEX(tblVeriB[BelgeTarihi],ROW()-ROW(tblVeriB[[#Headers]])),""),"yyyymmdd")&amp;"|"&amp;TEXT(IFERROR(INDEX(tblVeriB[Tutar],ROW()-ROW(tblVeriB[[#Headers]])),0),"0.00"))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 ","")))</f>
        <v/>
      </c>
      <c r="C828" s="16">
        <f>IF($B828="",0,LEN($B828))</f>
        <v/>
      </c>
      <c r="D828" s="16">
        <f>IF($A828="","",TEXT(IFERROR(INDEX(tblVeriA[Tarih],ROW()-ROW(tblVeriA[[#Headers]])),""),"yyyymmdd")&amp;"|"&amp;TEXT(IFERROR(INDEX(tblVeriA[Toplam],ROW()-ROW(tblVeriA[[#Headers]])),0),"0.00"))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 ","")))</f>
        <v/>
      </c>
      <c r="K828" s="16">
        <f>IF($J828="",0,LEN($J828))</f>
        <v/>
      </c>
      <c r="L828" s="16">
        <f>IF($I828="","",TEXT(IFERROR(INDEX(tblVeriB[BelgeTarihi],ROW()-ROW(tblVeriB[[#Headers]])),""),"yyyymmdd")&amp;"|"&amp;TEXT(IFERROR(INDEX(tblVeriB[Tutar],ROW()-ROW(tblVeriB[[#Headers]])),0),"0.00"))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 ","")))</f>
        <v/>
      </c>
      <c r="C829" s="16">
        <f>IF($B829="",0,LEN($B829))</f>
        <v/>
      </c>
      <c r="D829" s="16">
        <f>IF($A829="","",TEXT(IFERROR(INDEX(tblVeriA[Tarih],ROW()-ROW(tblVeriA[[#Headers]])),""),"yyyymmdd")&amp;"|"&amp;TEXT(IFERROR(INDEX(tblVeriA[Toplam],ROW()-ROW(tblVeriA[[#Headers]])),0),"0.00"))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 ","")))</f>
        <v/>
      </c>
      <c r="K829" s="16">
        <f>IF($J829="",0,LEN($J829))</f>
        <v/>
      </c>
      <c r="L829" s="16">
        <f>IF($I829="","",TEXT(IFERROR(INDEX(tblVeriB[BelgeTarihi],ROW()-ROW(tblVeriB[[#Headers]])),""),"yyyymmdd")&amp;"|"&amp;TEXT(IFERROR(INDEX(tblVeriB[Tutar],ROW()-ROW(tblVeriB[[#Headers]])),0),"0.00"))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 ","")))</f>
        <v/>
      </c>
      <c r="C830" s="16">
        <f>IF($B830="",0,LEN($B830))</f>
        <v/>
      </c>
      <c r="D830" s="16">
        <f>IF($A830="","",TEXT(IFERROR(INDEX(tblVeriA[Tarih],ROW()-ROW(tblVeriA[[#Headers]])),""),"yyyymmdd")&amp;"|"&amp;TEXT(IFERROR(INDEX(tblVeriA[Toplam],ROW()-ROW(tblVeriA[[#Headers]])),0),"0.00"))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 ","")))</f>
        <v/>
      </c>
      <c r="K830" s="16">
        <f>IF($J830="",0,LEN($J830))</f>
        <v/>
      </c>
      <c r="L830" s="16">
        <f>IF($I830="","",TEXT(IFERROR(INDEX(tblVeriB[BelgeTarihi],ROW()-ROW(tblVeriB[[#Headers]])),""),"yyyymmdd")&amp;"|"&amp;TEXT(IFERROR(INDEX(tblVeriB[Tutar],ROW()-ROW(tblVeriB[[#Headers]])),0),"0.00"))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 ","")))</f>
        <v/>
      </c>
      <c r="C831" s="16">
        <f>IF($B831="",0,LEN($B831))</f>
        <v/>
      </c>
      <c r="D831" s="16">
        <f>IF($A831="","",TEXT(IFERROR(INDEX(tblVeriA[Tarih],ROW()-ROW(tblVeriA[[#Headers]])),""),"yyyymmdd")&amp;"|"&amp;TEXT(IFERROR(INDEX(tblVeriA[Toplam],ROW()-ROW(tblVeriA[[#Headers]])),0),"0.00"))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 ","")))</f>
        <v/>
      </c>
      <c r="K831" s="16">
        <f>IF($J831="",0,LEN($J831))</f>
        <v/>
      </c>
      <c r="L831" s="16">
        <f>IF($I831="","",TEXT(IFERROR(INDEX(tblVeriB[BelgeTarihi],ROW()-ROW(tblVeriB[[#Headers]])),""),"yyyymmdd")&amp;"|"&amp;TEXT(IFERROR(INDEX(tblVeriB[Tutar],ROW()-ROW(tblVeriB[[#Headers]])),0),"0.00"))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 ","")))</f>
        <v/>
      </c>
      <c r="C832" s="16">
        <f>IF($B832="",0,LEN($B832))</f>
        <v/>
      </c>
      <c r="D832" s="16">
        <f>IF($A832="","",TEXT(IFERROR(INDEX(tblVeriA[Tarih],ROW()-ROW(tblVeriA[[#Headers]])),""),"yyyymmdd")&amp;"|"&amp;TEXT(IFERROR(INDEX(tblVeriA[Toplam],ROW()-ROW(tblVeriA[[#Headers]])),0),"0.00"))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 ","")))</f>
        <v/>
      </c>
      <c r="K832" s="16">
        <f>IF($J832="",0,LEN($J832))</f>
        <v/>
      </c>
      <c r="L832" s="16">
        <f>IF($I832="","",TEXT(IFERROR(INDEX(tblVeriB[BelgeTarihi],ROW()-ROW(tblVeriB[[#Headers]])),""),"yyyymmdd")&amp;"|"&amp;TEXT(IFERROR(INDEX(tblVeriB[Tutar],ROW()-ROW(tblVeriB[[#Headers]])),0),"0.00"))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 ","")))</f>
        <v/>
      </c>
      <c r="C833" s="16">
        <f>IF($B833="",0,LEN($B833))</f>
        <v/>
      </c>
      <c r="D833" s="16">
        <f>IF($A833="","",TEXT(IFERROR(INDEX(tblVeriA[Tarih],ROW()-ROW(tblVeriA[[#Headers]])),""),"yyyymmdd")&amp;"|"&amp;TEXT(IFERROR(INDEX(tblVeriA[Toplam],ROW()-ROW(tblVeriA[[#Headers]])),0),"0.00"))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 ","")))</f>
        <v/>
      </c>
      <c r="K833" s="16">
        <f>IF($J833="",0,LEN($J833))</f>
        <v/>
      </c>
      <c r="L833" s="16">
        <f>IF($I833="","",TEXT(IFERROR(INDEX(tblVeriB[BelgeTarihi],ROW()-ROW(tblVeriB[[#Headers]])),""),"yyyymmdd")&amp;"|"&amp;TEXT(IFERROR(INDEX(tblVeriB[Tutar],ROW()-ROW(tblVeriB[[#Headers]])),0),"0.00"))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 ","")))</f>
        <v/>
      </c>
      <c r="C834" s="16">
        <f>IF($B834="",0,LEN($B834))</f>
        <v/>
      </c>
      <c r="D834" s="16">
        <f>IF($A834="","",TEXT(IFERROR(INDEX(tblVeriA[Tarih],ROW()-ROW(tblVeriA[[#Headers]])),""),"yyyymmdd")&amp;"|"&amp;TEXT(IFERROR(INDEX(tblVeriA[Toplam],ROW()-ROW(tblVeriA[[#Headers]])),0),"0.00"))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 ","")))</f>
        <v/>
      </c>
      <c r="K834" s="16">
        <f>IF($J834="",0,LEN($J834))</f>
        <v/>
      </c>
      <c r="L834" s="16">
        <f>IF($I834="","",TEXT(IFERROR(INDEX(tblVeriB[BelgeTarihi],ROW()-ROW(tblVeriB[[#Headers]])),""),"yyyymmdd")&amp;"|"&amp;TEXT(IFERROR(INDEX(tblVeriB[Tutar],ROW()-ROW(tblVeriB[[#Headers]])),0),"0.00"))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 ","")))</f>
        <v/>
      </c>
      <c r="C835" s="16">
        <f>IF($B835="",0,LEN($B835))</f>
        <v/>
      </c>
      <c r="D835" s="16">
        <f>IF($A835="","",TEXT(IFERROR(INDEX(tblVeriA[Tarih],ROW()-ROW(tblVeriA[[#Headers]])),""),"yyyymmdd")&amp;"|"&amp;TEXT(IFERROR(INDEX(tblVeriA[Toplam],ROW()-ROW(tblVeriA[[#Headers]])),0),"0.00"))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 ","")))</f>
        <v/>
      </c>
      <c r="K835" s="16">
        <f>IF($J835="",0,LEN($J835))</f>
        <v/>
      </c>
      <c r="L835" s="16">
        <f>IF($I835="","",TEXT(IFERROR(INDEX(tblVeriB[BelgeTarihi],ROW()-ROW(tblVeriB[[#Headers]])),""),"yyyymmdd")&amp;"|"&amp;TEXT(IFERROR(INDEX(tblVeriB[Tutar],ROW()-ROW(tblVeriB[[#Headers]])),0),"0.00"))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 ","")))</f>
        <v/>
      </c>
      <c r="C836" s="16">
        <f>IF($B836="",0,LEN($B836))</f>
        <v/>
      </c>
      <c r="D836" s="16">
        <f>IF($A836="","",TEXT(IFERROR(INDEX(tblVeriA[Tarih],ROW()-ROW(tblVeriA[[#Headers]])),""),"yyyymmdd")&amp;"|"&amp;TEXT(IFERROR(INDEX(tblVeriA[Toplam],ROW()-ROW(tblVeriA[[#Headers]])),0),"0.00"))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 ","")))</f>
        <v/>
      </c>
      <c r="K836" s="16">
        <f>IF($J836="",0,LEN($J836))</f>
        <v/>
      </c>
      <c r="L836" s="16">
        <f>IF($I836="","",TEXT(IFERROR(INDEX(tblVeriB[BelgeTarihi],ROW()-ROW(tblVeriB[[#Headers]])),""),"yyyymmdd")&amp;"|"&amp;TEXT(IFERROR(INDEX(tblVeriB[Tutar],ROW()-ROW(tblVeriB[[#Headers]])),0),"0.00"))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 ","")))</f>
        <v/>
      </c>
      <c r="C837" s="16">
        <f>IF($B837="",0,LEN($B837))</f>
        <v/>
      </c>
      <c r="D837" s="16">
        <f>IF($A837="","",TEXT(IFERROR(INDEX(tblVeriA[Tarih],ROW()-ROW(tblVeriA[[#Headers]])),""),"yyyymmdd")&amp;"|"&amp;TEXT(IFERROR(INDEX(tblVeriA[Toplam],ROW()-ROW(tblVeriA[[#Headers]])),0),"0.00"))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 ","")))</f>
        <v/>
      </c>
      <c r="K837" s="16">
        <f>IF($J837="",0,LEN($J837))</f>
        <v/>
      </c>
      <c r="L837" s="16">
        <f>IF($I837="","",TEXT(IFERROR(INDEX(tblVeriB[BelgeTarihi],ROW()-ROW(tblVeriB[[#Headers]])),""),"yyyymmdd")&amp;"|"&amp;TEXT(IFERROR(INDEX(tblVeriB[Tutar],ROW()-ROW(tblVeriB[[#Headers]])),0),"0.00"))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 ","")))</f>
        <v/>
      </c>
      <c r="C838" s="16">
        <f>IF($B838="",0,LEN($B838))</f>
        <v/>
      </c>
      <c r="D838" s="16">
        <f>IF($A838="","",TEXT(IFERROR(INDEX(tblVeriA[Tarih],ROW()-ROW(tblVeriA[[#Headers]])),""),"yyyymmdd")&amp;"|"&amp;TEXT(IFERROR(INDEX(tblVeriA[Toplam],ROW()-ROW(tblVeriA[[#Headers]])),0),"0.00"))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 ","")))</f>
        <v/>
      </c>
      <c r="K838" s="16">
        <f>IF($J838="",0,LEN($J838))</f>
        <v/>
      </c>
      <c r="L838" s="16">
        <f>IF($I838="","",TEXT(IFERROR(INDEX(tblVeriB[BelgeTarihi],ROW()-ROW(tblVeriB[[#Headers]])),""),"yyyymmdd")&amp;"|"&amp;TEXT(IFERROR(INDEX(tblVeriB[Tutar],ROW()-ROW(tblVeriB[[#Headers]])),0),"0.00"))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 ","")))</f>
        <v/>
      </c>
      <c r="C839" s="16">
        <f>IF($B839="",0,LEN($B839))</f>
        <v/>
      </c>
      <c r="D839" s="16">
        <f>IF($A839="","",TEXT(IFERROR(INDEX(tblVeriA[Tarih],ROW()-ROW(tblVeriA[[#Headers]])),""),"yyyymmdd")&amp;"|"&amp;TEXT(IFERROR(INDEX(tblVeriA[Toplam],ROW()-ROW(tblVeriA[[#Headers]])),0),"0.00"))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 ","")))</f>
        <v/>
      </c>
      <c r="K839" s="16">
        <f>IF($J839="",0,LEN($J839))</f>
        <v/>
      </c>
      <c r="L839" s="16">
        <f>IF($I839="","",TEXT(IFERROR(INDEX(tblVeriB[BelgeTarihi],ROW()-ROW(tblVeriB[[#Headers]])),""),"yyyymmdd")&amp;"|"&amp;TEXT(IFERROR(INDEX(tblVeriB[Tutar],ROW()-ROW(tblVeriB[[#Headers]])),0),"0.00"))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 ","")))</f>
        <v/>
      </c>
      <c r="C840" s="16">
        <f>IF($B840="",0,LEN($B840))</f>
        <v/>
      </c>
      <c r="D840" s="16">
        <f>IF($A840="","",TEXT(IFERROR(INDEX(tblVeriA[Tarih],ROW()-ROW(tblVeriA[[#Headers]])),""),"yyyymmdd")&amp;"|"&amp;TEXT(IFERROR(INDEX(tblVeriA[Toplam],ROW()-ROW(tblVeriA[[#Headers]])),0),"0.00"))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 ","")))</f>
        <v/>
      </c>
      <c r="K840" s="16">
        <f>IF($J840="",0,LEN($J840))</f>
        <v/>
      </c>
      <c r="L840" s="16">
        <f>IF($I840="","",TEXT(IFERROR(INDEX(tblVeriB[BelgeTarihi],ROW()-ROW(tblVeriB[[#Headers]])),""),"yyyymmdd")&amp;"|"&amp;TEXT(IFERROR(INDEX(tblVeriB[Tutar],ROW()-ROW(tblVeriB[[#Headers]])),0),"0.00"))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 ","")))</f>
        <v/>
      </c>
      <c r="C841" s="16">
        <f>IF($B841="",0,LEN($B841))</f>
        <v/>
      </c>
      <c r="D841" s="16">
        <f>IF($A841="","",TEXT(IFERROR(INDEX(tblVeriA[Tarih],ROW()-ROW(tblVeriA[[#Headers]])),""),"yyyymmdd")&amp;"|"&amp;TEXT(IFERROR(INDEX(tblVeriA[Toplam],ROW()-ROW(tblVeriA[[#Headers]])),0),"0.00"))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 ","")))</f>
        <v/>
      </c>
      <c r="K841" s="16">
        <f>IF($J841="",0,LEN($J841))</f>
        <v/>
      </c>
      <c r="L841" s="16">
        <f>IF($I841="","",TEXT(IFERROR(INDEX(tblVeriB[BelgeTarihi],ROW()-ROW(tblVeriB[[#Headers]])),""),"yyyymmdd")&amp;"|"&amp;TEXT(IFERROR(INDEX(tblVeriB[Tutar],ROW()-ROW(tblVeriB[[#Headers]])),0),"0.00"))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 ","")))</f>
        <v/>
      </c>
      <c r="C842" s="16">
        <f>IF($B842="",0,LEN($B842))</f>
        <v/>
      </c>
      <c r="D842" s="16">
        <f>IF($A842="","",TEXT(IFERROR(INDEX(tblVeriA[Tarih],ROW()-ROW(tblVeriA[[#Headers]])),""),"yyyymmdd")&amp;"|"&amp;TEXT(IFERROR(INDEX(tblVeriA[Toplam],ROW()-ROW(tblVeriA[[#Headers]])),0),"0.00"))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 ","")))</f>
        <v/>
      </c>
      <c r="K842" s="16">
        <f>IF($J842="",0,LEN($J842))</f>
        <v/>
      </c>
      <c r="L842" s="16">
        <f>IF($I842="","",TEXT(IFERROR(INDEX(tblVeriB[BelgeTarihi],ROW()-ROW(tblVeriB[[#Headers]])),""),"yyyymmdd")&amp;"|"&amp;TEXT(IFERROR(INDEX(tblVeriB[Tutar],ROW()-ROW(tblVeriB[[#Headers]])),0),"0.00"))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 ","")))</f>
        <v/>
      </c>
      <c r="C843" s="16">
        <f>IF($B843="",0,LEN($B843))</f>
        <v/>
      </c>
      <c r="D843" s="16">
        <f>IF($A843="","",TEXT(IFERROR(INDEX(tblVeriA[Tarih],ROW()-ROW(tblVeriA[[#Headers]])),""),"yyyymmdd")&amp;"|"&amp;TEXT(IFERROR(INDEX(tblVeriA[Toplam],ROW()-ROW(tblVeriA[[#Headers]])),0),"0.00"))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 ","")))</f>
        <v/>
      </c>
      <c r="K843" s="16">
        <f>IF($J843="",0,LEN($J843))</f>
        <v/>
      </c>
      <c r="L843" s="16">
        <f>IF($I843="","",TEXT(IFERROR(INDEX(tblVeriB[BelgeTarihi],ROW()-ROW(tblVeriB[[#Headers]])),""),"yyyymmdd")&amp;"|"&amp;TEXT(IFERROR(INDEX(tblVeriB[Tutar],ROW()-ROW(tblVeriB[[#Headers]])),0),"0.00"))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 ","")))</f>
        <v/>
      </c>
      <c r="C844" s="16">
        <f>IF($B844="",0,LEN($B844))</f>
        <v/>
      </c>
      <c r="D844" s="16">
        <f>IF($A844="","",TEXT(IFERROR(INDEX(tblVeriA[Tarih],ROW()-ROW(tblVeriA[[#Headers]])),""),"yyyymmdd")&amp;"|"&amp;TEXT(IFERROR(INDEX(tblVeriA[Toplam],ROW()-ROW(tblVeriA[[#Headers]])),0),"0.00"))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 ","")))</f>
        <v/>
      </c>
      <c r="K844" s="16">
        <f>IF($J844="",0,LEN($J844))</f>
        <v/>
      </c>
      <c r="L844" s="16">
        <f>IF($I844="","",TEXT(IFERROR(INDEX(tblVeriB[BelgeTarihi],ROW()-ROW(tblVeriB[[#Headers]])),""),"yyyymmdd")&amp;"|"&amp;TEXT(IFERROR(INDEX(tblVeriB[Tutar],ROW()-ROW(tblVeriB[[#Headers]])),0),"0.00"))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 ","")))</f>
        <v/>
      </c>
      <c r="C845" s="16">
        <f>IF($B845="",0,LEN($B845))</f>
        <v/>
      </c>
      <c r="D845" s="16">
        <f>IF($A845="","",TEXT(IFERROR(INDEX(tblVeriA[Tarih],ROW()-ROW(tblVeriA[[#Headers]])),""),"yyyymmdd")&amp;"|"&amp;TEXT(IFERROR(INDEX(tblVeriA[Toplam],ROW()-ROW(tblVeriA[[#Headers]])),0),"0.00"))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 ","")))</f>
        <v/>
      </c>
      <c r="K845" s="16">
        <f>IF($J845="",0,LEN($J845))</f>
        <v/>
      </c>
      <c r="L845" s="16">
        <f>IF($I845="","",TEXT(IFERROR(INDEX(tblVeriB[BelgeTarihi],ROW()-ROW(tblVeriB[[#Headers]])),""),"yyyymmdd")&amp;"|"&amp;TEXT(IFERROR(INDEX(tblVeriB[Tutar],ROW()-ROW(tblVeriB[[#Headers]])),0),"0.00"))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 ","")))</f>
        <v/>
      </c>
      <c r="C846" s="16">
        <f>IF($B846="",0,LEN($B846))</f>
        <v/>
      </c>
      <c r="D846" s="16">
        <f>IF($A846="","",TEXT(IFERROR(INDEX(tblVeriA[Tarih],ROW()-ROW(tblVeriA[[#Headers]])),""),"yyyymmdd")&amp;"|"&amp;TEXT(IFERROR(INDEX(tblVeriA[Toplam],ROW()-ROW(tblVeriA[[#Headers]])),0),"0.00"))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 ","")))</f>
        <v/>
      </c>
      <c r="K846" s="16">
        <f>IF($J846="",0,LEN($J846))</f>
        <v/>
      </c>
      <c r="L846" s="16">
        <f>IF($I846="","",TEXT(IFERROR(INDEX(tblVeriB[BelgeTarihi],ROW()-ROW(tblVeriB[[#Headers]])),""),"yyyymmdd")&amp;"|"&amp;TEXT(IFERROR(INDEX(tblVeriB[Tutar],ROW()-ROW(tblVeriB[[#Headers]])),0),"0.00"))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 ","")))</f>
        <v/>
      </c>
      <c r="C847" s="16">
        <f>IF($B847="",0,LEN($B847))</f>
        <v/>
      </c>
      <c r="D847" s="16">
        <f>IF($A847="","",TEXT(IFERROR(INDEX(tblVeriA[Tarih],ROW()-ROW(tblVeriA[[#Headers]])),""),"yyyymmdd")&amp;"|"&amp;TEXT(IFERROR(INDEX(tblVeriA[Toplam],ROW()-ROW(tblVeriA[[#Headers]])),0),"0.00"))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 ","")))</f>
        <v/>
      </c>
      <c r="K847" s="16">
        <f>IF($J847="",0,LEN($J847))</f>
        <v/>
      </c>
      <c r="L847" s="16">
        <f>IF($I847="","",TEXT(IFERROR(INDEX(tblVeriB[BelgeTarihi],ROW()-ROW(tblVeriB[[#Headers]])),""),"yyyymmdd")&amp;"|"&amp;TEXT(IFERROR(INDEX(tblVeriB[Tutar],ROW()-ROW(tblVeriB[[#Headers]])),0),"0.00"))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 ","")))</f>
        <v/>
      </c>
      <c r="C848" s="16">
        <f>IF($B848="",0,LEN($B848))</f>
        <v/>
      </c>
      <c r="D848" s="16">
        <f>IF($A848="","",TEXT(IFERROR(INDEX(tblVeriA[Tarih],ROW()-ROW(tblVeriA[[#Headers]])),""),"yyyymmdd")&amp;"|"&amp;TEXT(IFERROR(INDEX(tblVeriA[Toplam],ROW()-ROW(tblVeriA[[#Headers]])),0),"0.00"))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 ","")))</f>
        <v/>
      </c>
      <c r="K848" s="16">
        <f>IF($J848="",0,LEN($J848))</f>
        <v/>
      </c>
      <c r="L848" s="16">
        <f>IF($I848="","",TEXT(IFERROR(INDEX(tblVeriB[BelgeTarihi],ROW()-ROW(tblVeriB[[#Headers]])),""),"yyyymmdd")&amp;"|"&amp;TEXT(IFERROR(INDEX(tblVeriB[Tutar],ROW()-ROW(tblVeriB[[#Headers]])),0),"0.00"))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 ","")))</f>
        <v/>
      </c>
      <c r="C849" s="16">
        <f>IF($B849="",0,LEN($B849))</f>
        <v/>
      </c>
      <c r="D849" s="16">
        <f>IF($A849="","",TEXT(IFERROR(INDEX(tblVeriA[Tarih],ROW()-ROW(tblVeriA[[#Headers]])),""),"yyyymmdd")&amp;"|"&amp;TEXT(IFERROR(INDEX(tblVeriA[Toplam],ROW()-ROW(tblVeriA[[#Headers]])),0),"0.00"))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 ","")))</f>
        <v/>
      </c>
      <c r="K849" s="16">
        <f>IF($J849="",0,LEN($J849))</f>
        <v/>
      </c>
      <c r="L849" s="16">
        <f>IF($I849="","",TEXT(IFERROR(INDEX(tblVeriB[BelgeTarihi],ROW()-ROW(tblVeriB[[#Headers]])),""),"yyyymmdd")&amp;"|"&amp;TEXT(IFERROR(INDEX(tblVeriB[Tutar],ROW()-ROW(tblVeriB[[#Headers]])),0),"0.00"))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 ","")))</f>
        <v/>
      </c>
      <c r="C850" s="16">
        <f>IF($B850="",0,LEN($B850))</f>
        <v/>
      </c>
      <c r="D850" s="16">
        <f>IF($A850="","",TEXT(IFERROR(INDEX(tblVeriA[Tarih],ROW()-ROW(tblVeriA[[#Headers]])),""),"yyyymmdd")&amp;"|"&amp;TEXT(IFERROR(INDEX(tblVeriA[Toplam],ROW()-ROW(tblVeriA[[#Headers]])),0),"0.00"))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 ","")))</f>
        <v/>
      </c>
      <c r="K850" s="16">
        <f>IF($J850="",0,LEN($J850))</f>
        <v/>
      </c>
      <c r="L850" s="16">
        <f>IF($I850="","",TEXT(IFERROR(INDEX(tblVeriB[BelgeTarihi],ROW()-ROW(tblVeriB[[#Headers]])),""),"yyyymmdd")&amp;"|"&amp;TEXT(IFERROR(INDEX(tblVeriB[Tutar],ROW()-ROW(tblVeriB[[#Headers]])),0),"0.00"))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 ","")))</f>
        <v/>
      </c>
      <c r="C851" s="16">
        <f>IF($B851="",0,LEN($B851))</f>
        <v/>
      </c>
      <c r="D851" s="16">
        <f>IF($A851="","",TEXT(IFERROR(INDEX(tblVeriA[Tarih],ROW()-ROW(tblVeriA[[#Headers]])),""),"yyyymmdd")&amp;"|"&amp;TEXT(IFERROR(INDEX(tblVeriA[Toplam],ROW()-ROW(tblVeriA[[#Headers]])),0),"0.00"))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 ","")))</f>
        <v/>
      </c>
      <c r="K851" s="16">
        <f>IF($J851="",0,LEN($J851))</f>
        <v/>
      </c>
      <c r="L851" s="16">
        <f>IF($I851="","",TEXT(IFERROR(INDEX(tblVeriB[BelgeTarihi],ROW()-ROW(tblVeriB[[#Headers]])),""),"yyyymmdd")&amp;"|"&amp;TEXT(IFERROR(INDEX(tblVeriB[Tutar],ROW()-ROW(tblVeriB[[#Headers]])),0),"0.00"))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 ","")))</f>
        <v/>
      </c>
      <c r="C852" s="16">
        <f>IF($B852="",0,LEN($B852))</f>
        <v/>
      </c>
      <c r="D852" s="16">
        <f>IF($A852="","",TEXT(IFERROR(INDEX(tblVeriA[Tarih],ROW()-ROW(tblVeriA[[#Headers]])),""),"yyyymmdd")&amp;"|"&amp;TEXT(IFERROR(INDEX(tblVeriA[Toplam],ROW()-ROW(tblVeriA[[#Headers]])),0),"0.00"))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 ","")))</f>
        <v/>
      </c>
      <c r="K852" s="16">
        <f>IF($J852="",0,LEN($J852))</f>
        <v/>
      </c>
      <c r="L852" s="16">
        <f>IF($I852="","",TEXT(IFERROR(INDEX(tblVeriB[BelgeTarihi],ROW()-ROW(tblVeriB[[#Headers]])),""),"yyyymmdd")&amp;"|"&amp;TEXT(IFERROR(INDEX(tblVeriB[Tutar],ROW()-ROW(tblVeriB[[#Headers]])),0),"0.00"))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 ","")))</f>
        <v/>
      </c>
      <c r="C853" s="16">
        <f>IF($B853="",0,LEN($B853))</f>
        <v/>
      </c>
      <c r="D853" s="16">
        <f>IF($A853="","",TEXT(IFERROR(INDEX(tblVeriA[Tarih],ROW()-ROW(tblVeriA[[#Headers]])),""),"yyyymmdd")&amp;"|"&amp;TEXT(IFERROR(INDEX(tblVeriA[Toplam],ROW()-ROW(tblVeriA[[#Headers]])),0),"0.00"))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 ","")))</f>
        <v/>
      </c>
      <c r="K853" s="16">
        <f>IF($J853="",0,LEN($J853))</f>
        <v/>
      </c>
      <c r="L853" s="16">
        <f>IF($I853="","",TEXT(IFERROR(INDEX(tblVeriB[BelgeTarihi],ROW()-ROW(tblVeriB[[#Headers]])),""),"yyyymmdd")&amp;"|"&amp;TEXT(IFERROR(INDEX(tblVeriB[Tutar],ROW()-ROW(tblVeriB[[#Headers]])),0),"0.00"))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 ","")))</f>
        <v/>
      </c>
      <c r="C854" s="16">
        <f>IF($B854="",0,LEN($B854))</f>
        <v/>
      </c>
      <c r="D854" s="16">
        <f>IF($A854="","",TEXT(IFERROR(INDEX(tblVeriA[Tarih],ROW()-ROW(tblVeriA[[#Headers]])),""),"yyyymmdd")&amp;"|"&amp;TEXT(IFERROR(INDEX(tblVeriA[Toplam],ROW()-ROW(tblVeriA[[#Headers]])),0),"0.00"))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 ","")))</f>
        <v/>
      </c>
      <c r="K854" s="16">
        <f>IF($J854="",0,LEN($J854))</f>
        <v/>
      </c>
      <c r="L854" s="16">
        <f>IF($I854="","",TEXT(IFERROR(INDEX(tblVeriB[BelgeTarihi],ROW()-ROW(tblVeriB[[#Headers]])),""),"yyyymmdd")&amp;"|"&amp;TEXT(IFERROR(INDEX(tblVeriB[Tutar],ROW()-ROW(tblVeriB[[#Headers]])),0),"0.00"))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 ","")))</f>
        <v/>
      </c>
      <c r="C855" s="16">
        <f>IF($B855="",0,LEN($B855))</f>
        <v/>
      </c>
      <c r="D855" s="16">
        <f>IF($A855="","",TEXT(IFERROR(INDEX(tblVeriA[Tarih],ROW()-ROW(tblVeriA[[#Headers]])),""),"yyyymmdd")&amp;"|"&amp;TEXT(IFERROR(INDEX(tblVeriA[Toplam],ROW()-ROW(tblVeriA[[#Headers]])),0),"0.00"))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 ","")))</f>
        <v/>
      </c>
      <c r="K855" s="16">
        <f>IF($J855="",0,LEN($J855))</f>
        <v/>
      </c>
      <c r="L855" s="16">
        <f>IF($I855="","",TEXT(IFERROR(INDEX(tblVeriB[BelgeTarihi],ROW()-ROW(tblVeriB[[#Headers]])),""),"yyyymmdd")&amp;"|"&amp;TEXT(IFERROR(INDEX(tblVeriB[Tutar],ROW()-ROW(tblVeriB[[#Headers]])),0),"0.00"))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 ","")))</f>
        <v/>
      </c>
      <c r="C856" s="16">
        <f>IF($B856="",0,LEN($B856))</f>
        <v/>
      </c>
      <c r="D856" s="16">
        <f>IF($A856="","",TEXT(IFERROR(INDEX(tblVeriA[Tarih],ROW()-ROW(tblVeriA[[#Headers]])),""),"yyyymmdd")&amp;"|"&amp;TEXT(IFERROR(INDEX(tblVeriA[Toplam],ROW()-ROW(tblVeriA[[#Headers]])),0),"0.00"))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 ","")))</f>
        <v/>
      </c>
      <c r="K856" s="16">
        <f>IF($J856="",0,LEN($J856))</f>
        <v/>
      </c>
      <c r="L856" s="16">
        <f>IF($I856="","",TEXT(IFERROR(INDEX(tblVeriB[BelgeTarihi],ROW()-ROW(tblVeriB[[#Headers]])),""),"yyyymmdd")&amp;"|"&amp;TEXT(IFERROR(INDEX(tblVeriB[Tutar],ROW()-ROW(tblVeriB[[#Headers]])),0),"0.00"))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 ","")))</f>
        <v/>
      </c>
      <c r="C857" s="16">
        <f>IF($B857="",0,LEN($B857))</f>
        <v/>
      </c>
      <c r="D857" s="16">
        <f>IF($A857="","",TEXT(IFERROR(INDEX(tblVeriA[Tarih],ROW()-ROW(tblVeriA[[#Headers]])),""),"yyyymmdd")&amp;"|"&amp;TEXT(IFERROR(INDEX(tblVeriA[Toplam],ROW()-ROW(tblVeriA[[#Headers]])),0),"0.00"))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 ","")))</f>
        <v/>
      </c>
      <c r="K857" s="16">
        <f>IF($J857="",0,LEN($J857))</f>
        <v/>
      </c>
      <c r="L857" s="16">
        <f>IF($I857="","",TEXT(IFERROR(INDEX(tblVeriB[BelgeTarihi],ROW()-ROW(tblVeriB[[#Headers]])),""),"yyyymmdd")&amp;"|"&amp;TEXT(IFERROR(INDEX(tblVeriB[Tutar],ROW()-ROW(tblVeriB[[#Headers]])),0),"0.00"))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 ","")))</f>
        <v/>
      </c>
      <c r="C858" s="16">
        <f>IF($B858="",0,LEN($B858))</f>
        <v/>
      </c>
      <c r="D858" s="16">
        <f>IF($A858="","",TEXT(IFERROR(INDEX(tblVeriA[Tarih],ROW()-ROW(tblVeriA[[#Headers]])),""),"yyyymmdd")&amp;"|"&amp;TEXT(IFERROR(INDEX(tblVeriA[Toplam],ROW()-ROW(tblVeriA[[#Headers]])),0),"0.00"))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 ","")))</f>
        <v/>
      </c>
      <c r="K858" s="16">
        <f>IF($J858="",0,LEN($J858))</f>
        <v/>
      </c>
      <c r="L858" s="16">
        <f>IF($I858="","",TEXT(IFERROR(INDEX(tblVeriB[BelgeTarihi],ROW()-ROW(tblVeriB[[#Headers]])),""),"yyyymmdd")&amp;"|"&amp;TEXT(IFERROR(INDEX(tblVeriB[Tutar],ROW()-ROW(tblVeriB[[#Headers]])),0),"0.00"))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 ","")))</f>
        <v/>
      </c>
      <c r="C859" s="16">
        <f>IF($B859="",0,LEN($B859))</f>
        <v/>
      </c>
      <c r="D859" s="16">
        <f>IF($A859="","",TEXT(IFERROR(INDEX(tblVeriA[Tarih],ROW()-ROW(tblVeriA[[#Headers]])),""),"yyyymmdd")&amp;"|"&amp;TEXT(IFERROR(INDEX(tblVeriA[Toplam],ROW()-ROW(tblVeriA[[#Headers]])),0),"0.00"))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 ","")))</f>
        <v/>
      </c>
      <c r="K859" s="16">
        <f>IF($J859="",0,LEN($J859))</f>
        <v/>
      </c>
      <c r="L859" s="16">
        <f>IF($I859="","",TEXT(IFERROR(INDEX(tblVeriB[BelgeTarihi],ROW()-ROW(tblVeriB[[#Headers]])),""),"yyyymmdd")&amp;"|"&amp;TEXT(IFERROR(INDEX(tblVeriB[Tutar],ROW()-ROW(tblVeriB[[#Headers]])),0),"0.00"))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 ","")))</f>
        <v/>
      </c>
      <c r="C860" s="16">
        <f>IF($B860="",0,LEN($B860))</f>
        <v/>
      </c>
      <c r="D860" s="16">
        <f>IF($A860="","",TEXT(IFERROR(INDEX(tblVeriA[Tarih],ROW()-ROW(tblVeriA[[#Headers]])),""),"yyyymmdd")&amp;"|"&amp;TEXT(IFERROR(INDEX(tblVeriA[Toplam],ROW()-ROW(tblVeriA[[#Headers]])),0),"0.00"))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 ","")))</f>
        <v/>
      </c>
      <c r="K860" s="16">
        <f>IF($J860="",0,LEN($J860))</f>
        <v/>
      </c>
      <c r="L860" s="16">
        <f>IF($I860="","",TEXT(IFERROR(INDEX(tblVeriB[BelgeTarihi],ROW()-ROW(tblVeriB[[#Headers]])),""),"yyyymmdd")&amp;"|"&amp;TEXT(IFERROR(INDEX(tblVeriB[Tutar],ROW()-ROW(tblVeriB[[#Headers]])),0),"0.00"))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 ","")))</f>
        <v/>
      </c>
      <c r="C861" s="16">
        <f>IF($B861="",0,LEN($B861))</f>
        <v/>
      </c>
      <c r="D861" s="16">
        <f>IF($A861="","",TEXT(IFERROR(INDEX(tblVeriA[Tarih],ROW()-ROW(tblVeriA[[#Headers]])),""),"yyyymmdd")&amp;"|"&amp;TEXT(IFERROR(INDEX(tblVeriA[Toplam],ROW()-ROW(tblVeriA[[#Headers]])),0),"0.00"))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 ","")))</f>
        <v/>
      </c>
      <c r="K861" s="16">
        <f>IF($J861="",0,LEN($J861))</f>
        <v/>
      </c>
      <c r="L861" s="16">
        <f>IF($I861="","",TEXT(IFERROR(INDEX(tblVeriB[BelgeTarihi],ROW()-ROW(tblVeriB[[#Headers]])),""),"yyyymmdd")&amp;"|"&amp;TEXT(IFERROR(INDEX(tblVeriB[Tutar],ROW()-ROW(tblVeriB[[#Headers]])),0),"0.00"))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 ","")))</f>
        <v/>
      </c>
      <c r="C862" s="16">
        <f>IF($B862="",0,LEN($B862))</f>
        <v/>
      </c>
      <c r="D862" s="16">
        <f>IF($A862="","",TEXT(IFERROR(INDEX(tblVeriA[Tarih],ROW()-ROW(tblVeriA[[#Headers]])),""),"yyyymmdd")&amp;"|"&amp;TEXT(IFERROR(INDEX(tblVeriA[Toplam],ROW()-ROW(tblVeriA[[#Headers]])),0),"0.00"))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 ","")))</f>
        <v/>
      </c>
      <c r="K862" s="16">
        <f>IF($J862="",0,LEN($J862))</f>
        <v/>
      </c>
      <c r="L862" s="16">
        <f>IF($I862="","",TEXT(IFERROR(INDEX(tblVeriB[BelgeTarihi],ROW()-ROW(tblVeriB[[#Headers]])),""),"yyyymmdd")&amp;"|"&amp;TEXT(IFERROR(INDEX(tblVeriB[Tutar],ROW()-ROW(tblVeriB[[#Headers]])),0),"0.00"))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 ","")))</f>
        <v/>
      </c>
      <c r="C863" s="16">
        <f>IF($B863="",0,LEN($B863))</f>
        <v/>
      </c>
      <c r="D863" s="16">
        <f>IF($A863="","",TEXT(IFERROR(INDEX(tblVeriA[Tarih],ROW()-ROW(tblVeriA[[#Headers]])),""),"yyyymmdd")&amp;"|"&amp;TEXT(IFERROR(INDEX(tblVeriA[Toplam],ROW()-ROW(tblVeriA[[#Headers]])),0),"0.00"))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 ","")))</f>
        <v/>
      </c>
      <c r="K863" s="16">
        <f>IF($J863="",0,LEN($J863))</f>
        <v/>
      </c>
      <c r="L863" s="16">
        <f>IF($I863="","",TEXT(IFERROR(INDEX(tblVeriB[BelgeTarihi],ROW()-ROW(tblVeriB[[#Headers]])),""),"yyyymmdd")&amp;"|"&amp;TEXT(IFERROR(INDEX(tblVeriB[Tutar],ROW()-ROW(tblVeriB[[#Headers]])),0),"0.00"))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 ","")))</f>
        <v/>
      </c>
      <c r="C864" s="16">
        <f>IF($B864="",0,LEN($B864))</f>
        <v/>
      </c>
      <c r="D864" s="16">
        <f>IF($A864="","",TEXT(IFERROR(INDEX(tblVeriA[Tarih],ROW()-ROW(tblVeriA[[#Headers]])),""),"yyyymmdd")&amp;"|"&amp;TEXT(IFERROR(INDEX(tblVeriA[Toplam],ROW()-ROW(tblVeriA[[#Headers]])),0),"0.00"))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 ","")))</f>
        <v/>
      </c>
      <c r="K864" s="16">
        <f>IF($J864="",0,LEN($J864))</f>
        <v/>
      </c>
      <c r="L864" s="16">
        <f>IF($I864="","",TEXT(IFERROR(INDEX(tblVeriB[BelgeTarihi],ROW()-ROW(tblVeriB[[#Headers]])),""),"yyyymmdd")&amp;"|"&amp;TEXT(IFERROR(INDEX(tblVeriB[Tutar],ROW()-ROW(tblVeriB[[#Headers]])),0),"0.00"))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 ","")))</f>
        <v/>
      </c>
      <c r="C865" s="16">
        <f>IF($B865="",0,LEN($B865))</f>
        <v/>
      </c>
      <c r="D865" s="16">
        <f>IF($A865="","",TEXT(IFERROR(INDEX(tblVeriA[Tarih],ROW()-ROW(tblVeriA[[#Headers]])),""),"yyyymmdd")&amp;"|"&amp;TEXT(IFERROR(INDEX(tblVeriA[Toplam],ROW()-ROW(tblVeriA[[#Headers]])),0),"0.00"))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 ","")))</f>
        <v/>
      </c>
      <c r="K865" s="16">
        <f>IF($J865="",0,LEN($J865))</f>
        <v/>
      </c>
      <c r="L865" s="16">
        <f>IF($I865="","",TEXT(IFERROR(INDEX(tblVeriB[BelgeTarihi],ROW()-ROW(tblVeriB[[#Headers]])),""),"yyyymmdd")&amp;"|"&amp;TEXT(IFERROR(INDEX(tblVeriB[Tutar],ROW()-ROW(tblVeriB[[#Headers]])),0),"0.00"))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 ","")))</f>
        <v/>
      </c>
      <c r="C866" s="16">
        <f>IF($B866="",0,LEN($B866))</f>
        <v/>
      </c>
      <c r="D866" s="16">
        <f>IF($A866="","",TEXT(IFERROR(INDEX(tblVeriA[Tarih],ROW()-ROW(tblVeriA[[#Headers]])),""),"yyyymmdd")&amp;"|"&amp;TEXT(IFERROR(INDEX(tblVeriA[Toplam],ROW()-ROW(tblVeriA[[#Headers]])),0),"0.00"))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 ","")))</f>
        <v/>
      </c>
      <c r="K866" s="16">
        <f>IF($J866="",0,LEN($J866))</f>
        <v/>
      </c>
      <c r="L866" s="16">
        <f>IF($I866="","",TEXT(IFERROR(INDEX(tblVeriB[BelgeTarihi],ROW()-ROW(tblVeriB[[#Headers]])),""),"yyyymmdd")&amp;"|"&amp;TEXT(IFERROR(INDEX(tblVeriB[Tutar],ROW()-ROW(tblVeriB[[#Headers]])),0),"0.00"))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 ","")))</f>
        <v/>
      </c>
      <c r="C867" s="16">
        <f>IF($B867="",0,LEN($B867))</f>
        <v/>
      </c>
      <c r="D867" s="16">
        <f>IF($A867="","",TEXT(IFERROR(INDEX(tblVeriA[Tarih],ROW()-ROW(tblVeriA[[#Headers]])),""),"yyyymmdd")&amp;"|"&amp;TEXT(IFERROR(INDEX(tblVeriA[Toplam],ROW()-ROW(tblVeriA[[#Headers]])),0),"0.00"))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 ","")))</f>
        <v/>
      </c>
      <c r="K867" s="16">
        <f>IF($J867="",0,LEN($J867))</f>
        <v/>
      </c>
      <c r="L867" s="16">
        <f>IF($I867="","",TEXT(IFERROR(INDEX(tblVeriB[BelgeTarihi],ROW()-ROW(tblVeriB[[#Headers]])),""),"yyyymmdd")&amp;"|"&amp;TEXT(IFERROR(INDEX(tblVeriB[Tutar],ROW()-ROW(tblVeriB[[#Headers]])),0),"0.00"))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 ","")))</f>
        <v/>
      </c>
      <c r="C868" s="16">
        <f>IF($B868="",0,LEN($B868))</f>
        <v/>
      </c>
      <c r="D868" s="16">
        <f>IF($A868="","",TEXT(IFERROR(INDEX(tblVeriA[Tarih],ROW()-ROW(tblVeriA[[#Headers]])),""),"yyyymmdd")&amp;"|"&amp;TEXT(IFERROR(INDEX(tblVeriA[Toplam],ROW()-ROW(tblVeriA[[#Headers]])),0),"0.00"))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 ","")))</f>
        <v/>
      </c>
      <c r="K868" s="16">
        <f>IF($J868="",0,LEN($J868))</f>
        <v/>
      </c>
      <c r="L868" s="16">
        <f>IF($I868="","",TEXT(IFERROR(INDEX(tblVeriB[BelgeTarihi],ROW()-ROW(tblVeriB[[#Headers]])),""),"yyyymmdd")&amp;"|"&amp;TEXT(IFERROR(INDEX(tblVeriB[Tutar],ROW()-ROW(tblVeriB[[#Headers]])),0),"0.00"))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 ","")))</f>
        <v/>
      </c>
      <c r="C869" s="16">
        <f>IF($B869="",0,LEN($B869))</f>
        <v/>
      </c>
      <c r="D869" s="16">
        <f>IF($A869="","",TEXT(IFERROR(INDEX(tblVeriA[Tarih],ROW()-ROW(tblVeriA[[#Headers]])),""),"yyyymmdd")&amp;"|"&amp;TEXT(IFERROR(INDEX(tblVeriA[Toplam],ROW()-ROW(tblVeriA[[#Headers]])),0),"0.00"))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 ","")))</f>
        <v/>
      </c>
      <c r="K869" s="16">
        <f>IF($J869="",0,LEN($J869))</f>
        <v/>
      </c>
      <c r="L869" s="16">
        <f>IF($I869="","",TEXT(IFERROR(INDEX(tblVeriB[BelgeTarihi],ROW()-ROW(tblVeriB[[#Headers]])),""),"yyyymmdd")&amp;"|"&amp;TEXT(IFERROR(INDEX(tblVeriB[Tutar],ROW()-ROW(tblVeriB[[#Headers]])),0),"0.00"))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 ","")))</f>
        <v/>
      </c>
      <c r="C870" s="16">
        <f>IF($B870="",0,LEN($B870))</f>
        <v/>
      </c>
      <c r="D870" s="16">
        <f>IF($A870="","",TEXT(IFERROR(INDEX(tblVeriA[Tarih],ROW()-ROW(tblVeriA[[#Headers]])),""),"yyyymmdd")&amp;"|"&amp;TEXT(IFERROR(INDEX(tblVeriA[Toplam],ROW()-ROW(tblVeriA[[#Headers]])),0),"0.00"))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 ","")))</f>
        <v/>
      </c>
      <c r="K870" s="16">
        <f>IF($J870="",0,LEN($J870))</f>
        <v/>
      </c>
      <c r="L870" s="16">
        <f>IF($I870="","",TEXT(IFERROR(INDEX(tblVeriB[BelgeTarihi],ROW()-ROW(tblVeriB[[#Headers]])),""),"yyyymmdd")&amp;"|"&amp;TEXT(IFERROR(INDEX(tblVeriB[Tutar],ROW()-ROW(tblVeriB[[#Headers]])),0),"0.00"))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 ","")))</f>
        <v/>
      </c>
      <c r="C871" s="16">
        <f>IF($B871="",0,LEN($B871))</f>
        <v/>
      </c>
      <c r="D871" s="16">
        <f>IF($A871="","",TEXT(IFERROR(INDEX(tblVeriA[Tarih],ROW()-ROW(tblVeriA[[#Headers]])),""),"yyyymmdd")&amp;"|"&amp;TEXT(IFERROR(INDEX(tblVeriA[Toplam],ROW()-ROW(tblVeriA[[#Headers]])),0),"0.00"))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 ","")))</f>
        <v/>
      </c>
      <c r="K871" s="16">
        <f>IF($J871="",0,LEN($J871))</f>
        <v/>
      </c>
      <c r="L871" s="16">
        <f>IF($I871="","",TEXT(IFERROR(INDEX(tblVeriB[BelgeTarihi],ROW()-ROW(tblVeriB[[#Headers]])),""),"yyyymmdd")&amp;"|"&amp;TEXT(IFERROR(INDEX(tblVeriB[Tutar],ROW()-ROW(tblVeriB[[#Headers]])),0),"0.00"))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 ","")))</f>
        <v/>
      </c>
      <c r="C872" s="16">
        <f>IF($B872="",0,LEN($B872))</f>
        <v/>
      </c>
      <c r="D872" s="16">
        <f>IF($A872="","",TEXT(IFERROR(INDEX(tblVeriA[Tarih],ROW()-ROW(tblVeriA[[#Headers]])),""),"yyyymmdd")&amp;"|"&amp;TEXT(IFERROR(INDEX(tblVeriA[Toplam],ROW()-ROW(tblVeriA[[#Headers]])),0),"0.00"))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 ","")))</f>
        <v/>
      </c>
      <c r="K872" s="16">
        <f>IF($J872="",0,LEN($J872))</f>
        <v/>
      </c>
      <c r="L872" s="16">
        <f>IF($I872="","",TEXT(IFERROR(INDEX(tblVeriB[BelgeTarihi],ROW()-ROW(tblVeriB[[#Headers]])),""),"yyyymmdd")&amp;"|"&amp;TEXT(IFERROR(INDEX(tblVeriB[Tutar],ROW()-ROW(tblVeriB[[#Headers]])),0),"0.00"))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 ","")))</f>
        <v/>
      </c>
      <c r="C873" s="16">
        <f>IF($B873="",0,LEN($B873))</f>
        <v/>
      </c>
      <c r="D873" s="16">
        <f>IF($A873="","",TEXT(IFERROR(INDEX(tblVeriA[Tarih],ROW()-ROW(tblVeriA[[#Headers]])),""),"yyyymmdd")&amp;"|"&amp;TEXT(IFERROR(INDEX(tblVeriA[Toplam],ROW()-ROW(tblVeriA[[#Headers]])),0),"0.00"))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 ","")))</f>
        <v/>
      </c>
      <c r="K873" s="16">
        <f>IF($J873="",0,LEN($J873))</f>
        <v/>
      </c>
      <c r="L873" s="16">
        <f>IF($I873="","",TEXT(IFERROR(INDEX(tblVeriB[BelgeTarihi],ROW()-ROW(tblVeriB[[#Headers]])),""),"yyyymmdd")&amp;"|"&amp;TEXT(IFERROR(INDEX(tblVeriB[Tutar],ROW()-ROW(tblVeriB[[#Headers]])),0),"0.00"))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 ","")))</f>
        <v/>
      </c>
      <c r="C874" s="16">
        <f>IF($B874="",0,LEN($B874))</f>
        <v/>
      </c>
      <c r="D874" s="16">
        <f>IF($A874="","",TEXT(IFERROR(INDEX(tblVeriA[Tarih],ROW()-ROW(tblVeriA[[#Headers]])),""),"yyyymmdd")&amp;"|"&amp;TEXT(IFERROR(INDEX(tblVeriA[Toplam],ROW()-ROW(tblVeriA[[#Headers]])),0),"0.00"))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 ","")))</f>
        <v/>
      </c>
      <c r="K874" s="16">
        <f>IF($J874="",0,LEN($J874))</f>
        <v/>
      </c>
      <c r="L874" s="16">
        <f>IF($I874="","",TEXT(IFERROR(INDEX(tblVeriB[BelgeTarihi],ROW()-ROW(tblVeriB[[#Headers]])),""),"yyyymmdd")&amp;"|"&amp;TEXT(IFERROR(INDEX(tblVeriB[Tutar],ROW()-ROW(tblVeriB[[#Headers]])),0),"0.00"))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 ","")))</f>
        <v/>
      </c>
      <c r="C875" s="16">
        <f>IF($B875="",0,LEN($B875))</f>
        <v/>
      </c>
      <c r="D875" s="16">
        <f>IF($A875="","",TEXT(IFERROR(INDEX(tblVeriA[Tarih],ROW()-ROW(tblVeriA[[#Headers]])),""),"yyyymmdd")&amp;"|"&amp;TEXT(IFERROR(INDEX(tblVeriA[Toplam],ROW()-ROW(tblVeriA[[#Headers]])),0),"0.00"))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 ","")))</f>
        <v/>
      </c>
      <c r="K875" s="16">
        <f>IF($J875="",0,LEN($J875))</f>
        <v/>
      </c>
      <c r="L875" s="16">
        <f>IF($I875="","",TEXT(IFERROR(INDEX(tblVeriB[BelgeTarihi],ROW()-ROW(tblVeriB[[#Headers]])),""),"yyyymmdd")&amp;"|"&amp;TEXT(IFERROR(INDEX(tblVeriB[Tutar],ROW()-ROW(tblVeriB[[#Headers]])),0),"0.00"))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 ","")))</f>
        <v/>
      </c>
      <c r="C876" s="16">
        <f>IF($B876="",0,LEN($B876))</f>
        <v/>
      </c>
      <c r="D876" s="16">
        <f>IF($A876="","",TEXT(IFERROR(INDEX(tblVeriA[Tarih],ROW()-ROW(tblVeriA[[#Headers]])),""),"yyyymmdd")&amp;"|"&amp;TEXT(IFERROR(INDEX(tblVeriA[Toplam],ROW()-ROW(tblVeriA[[#Headers]])),0),"0.00"))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 ","")))</f>
        <v/>
      </c>
      <c r="K876" s="16">
        <f>IF($J876="",0,LEN($J876))</f>
        <v/>
      </c>
      <c r="L876" s="16">
        <f>IF($I876="","",TEXT(IFERROR(INDEX(tblVeriB[BelgeTarihi],ROW()-ROW(tblVeriB[[#Headers]])),""),"yyyymmdd")&amp;"|"&amp;TEXT(IFERROR(INDEX(tblVeriB[Tutar],ROW()-ROW(tblVeriB[[#Headers]])),0),"0.00"))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 ","")))</f>
        <v/>
      </c>
      <c r="C877" s="16">
        <f>IF($B877="",0,LEN($B877))</f>
        <v/>
      </c>
      <c r="D877" s="16">
        <f>IF($A877="","",TEXT(IFERROR(INDEX(tblVeriA[Tarih],ROW()-ROW(tblVeriA[[#Headers]])),""),"yyyymmdd")&amp;"|"&amp;TEXT(IFERROR(INDEX(tblVeriA[Toplam],ROW()-ROW(tblVeriA[[#Headers]])),0),"0.00"))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 ","")))</f>
        <v/>
      </c>
      <c r="K877" s="16">
        <f>IF($J877="",0,LEN($J877))</f>
        <v/>
      </c>
      <c r="L877" s="16">
        <f>IF($I877="","",TEXT(IFERROR(INDEX(tblVeriB[BelgeTarihi],ROW()-ROW(tblVeriB[[#Headers]])),""),"yyyymmdd")&amp;"|"&amp;TEXT(IFERROR(INDEX(tblVeriB[Tutar],ROW()-ROW(tblVeriB[[#Headers]])),0),"0.00"))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 ","")))</f>
        <v/>
      </c>
      <c r="C878" s="16">
        <f>IF($B878="",0,LEN($B878))</f>
        <v/>
      </c>
      <c r="D878" s="16">
        <f>IF($A878="","",TEXT(IFERROR(INDEX(tblVeriA[Tarih],ROW()-ROW(tblVeriA[[#Headers]])),""),"yyyymmdd")&amp;"|"&amp;TEXT(IFERROR(INDEX(tblVeriA[Toplam],ROW()-ROW(tblVeriA[[#Headers]])),0),"0.00"))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 ","")))</f>
        <v/>
      </c>
      <c r="K878" s="16">
        <f>IF($J878="",0,LEN($J878))</f>
        <v/>
      </c>
      <c r="L878" s="16">
        <f>IF($I878="","",TEXT(IFERROR(INDEX(tblVeriB[BelgeTarihi],ROW()-ROW(tblVeriB[[#Headers]])),""),"yyyymmdd")&amp;"|"&amp;TEXT(IFERROR(INDEX(tblVeriB[Tutar],ROW()-ROW(tblVeriB[[#Headers]])),0),"0.00"))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 ","")))</f>
        <v/>
      </c>
      <c r="C879" s="16">
        <f>IF($B879="",0,LEN($B879))</f>
        <v/>
      </c>
      <c r="D879" s="16">
        <f>IF($A879="","",TEXT(IFERROR(INDEX(tblVeriA[Tarih],ROW()-ROW(tblVeriA[[#Headers]])),""),"yyyymmdd")&amp;"|"&amp;TEXT(IFERROR(INDEX(tblVeriA[Toplam],ROW()-ROW(tblVeriA[[#Headers]])),0),"0.00"))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 ","")))</f>
        <v/>
      </c>
      <c r="K879" s="16">
        <f>IF($J879="",0,LEN($J879))</f>
        <v/>
      </c>
      <c r="L879" s="16">
        <f>IF($I879="","",TEXT(IFERROR(INDEX(tblVeriB[BelgeTarihi],ROW()-ROW(tblVeriB[[#Headers]])),""),"yyyymmdd")&amp;"|"&amp;TEXT(IFERROR(INDEX(tblVeriB[Tutar],ROW()-ROW(tblVeriB[[#Headers]])),0),"0.00"))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 ","")))</f>
        <v/>
      </c>
      <c r="C880" s="16">
        <f>IF($B880="",0,LEN($B880))</f>
        <v/>
      </c>
      <c r="D880" s="16">
        <f>IF($A880="","",TEXT(IFERROR(INDEX(tblVeriA[Tarih],ROW()-ROW(tblVeriA[[#Headers]])),""),"yyyymmdd")&amp;"|"&amp;TEXT(IFERROR(INDEX(tblVeriA[Toplam],ROW()-ROW(tblVeriA[[#Headers]])),0),"0.00"))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 ","")))</f>
        <v/>
      </c>
      <c r="K880" s="16">
        <f>IF($J880="",0,LEN($J880))</f>
        <v/>
      </c>
      <c r="L880" s="16">
        <f>IF($I880="","",TEXT(IFERROR(INDEX(tblVeriB[BelgeTarihi],ROW()-ROW(tblVeriB[[#Headers]])),""),"yyyymmdd")&amp;"|"&amp;TEXT(IFERROR(INDEX(tblVeriB[Tutar],ROW()-ROW(tblVeriB[[#Headers]])),0),"0.00"))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 ","")))</f>
        <v/>
      </c>
      <c r="C881" s="16">
        <f>IF($B881="",0,LEN($B881))</f>
        <v/>
      </c>
      <c r="D881" s="16">
        <f>IF($A881="","",TEXT(IFERROR(INDEX(tblVeriA[Tarih],ROW()-ROW(tblVeriA[[#Headers]])),""),"yyyymmdd")&amp;"|"&amp;TEXT(IFERROR(INDEX(tblVeriA[Toplam],ROW()-ROW(tblVeriA[[#Headers]])),0),"0.00"))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 ","")))</f>
        <v/>
      </c>
      <c r="K881" s="16">
        <f>IF($J881="",0,LEN($J881))</f>
        <v/>
      </c>
      <c r="L881" s="16">
        <f>IF($I881="","",TEXT(IFERROR(INDEX(tblVeriB[BelgeTarihi],ROW()-ROW(tblVeriB[[#Headers]])),""),"yyyymmdd")&amp;"|"&amp;TEXT(IFERROR(INDEX(tblVeriB[Tutar],ROW()-ROW(tblVeriB[[#Headers]])),0),"0.00"))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 ","")))</f>
        <v/>
      </c>
      <c r="C882" s="16">
        <f>IF($B882="",0,LEN($B882))</f>
        <v/>
      </c>
      <c r="D882" s="16">
        <f>IF($A882="","",TEXT(IFERROR(INDEX(tblVeriA[Tarih],ROW()-ROW(tblVeriA[[#Headers]])),""),"yyyymmdd")&amp;"|"&amp;TEXT(IFERROR(INDEX(tblVeriA[Toplam],ROW()-ROW(tblVeriA[[#Headers]])),0),"0.00"))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 ","")))</f>
        <v/>
      </c>
      <c r="K882" s="16">
        <f>IF($J882="",0,LEN($J882))</f>
        <v/>
      </c>
      <c r="L882" s="16">
        <f>IF($I882="","",TEXT(IFERROR(INDEX(tblVeriB[BelgeTarihi],ROW()-ROW(tblVeriB[[#Headers]])),""),"yyyymmdd")&amp;"|"&amp;TEXT(IFERROR(INDEX(tblVeriB[Tutar],ROW()-ROW(tblVeriB[[#Headers]])),0),"0.00"))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 ","")))</f>
        <v/>
      </c>
      <c r="C883" s="16">
        <f>IF($B883="",0,LEN($B883))</f>
        <v/>
      </c>
      <c r="D883" s="16">
        <f>IF($A883="","",TEXT(IFERROR(INDEX(tblVeriA[Tarih],ROW()-ROW(tblVeriA[[#Headers]])),""),"yyyymmdd")&amp;"|"&amp;TEXT(IFERROR(INDEX(tblVeriA[Toplam],ROW()-ROW(tblVeriA[[#Headers]])),0),"0.00"))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 ","")))</f>
        <v/>
      </c>
      <c r="K883" s="16">
        <f>IF($J883="",0,LEN($J883))</f>
        <v/>
      </c>
      <c r="L883" s="16">
        <f>IF($I883="","",TEXT(IFERROR(INDEX(tblVeriB[BelgeTarihi],ROW()-ROW(tblVeriB[[#Headers]])),""),"yyyymmdd")&amp;"|"&amp;TEXT(IFERROR(INDEX(tblVeriB[Tutar],ROW()-ROW(tblVeriB[[#Headers]])),0),"0.00"))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 ","")))</f>
        <v/>
      </c>
      <c r="C884" s="16">
        <f>IF($B884="",0,LEN($B884))</f>
        <v/>
      </c>
      <c r="D884" s="16">
        <f>IF($A884="","",TEXT(IFERROR(INDEX(tblVeriA[Tarih],ROW()-ROW(tblVeriA[[#Headers]])),""),"yyyymmdd")&amp;"|"&amp;TEXT(IFERROR(INDEX(tblVeriA[Toplam],ROW()-ROW(tblVeriA[[#Headers]])),0),"0.00"))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 ","")))</f>
        <v/>
      </c>
      <c r="K884" s="16">
        <f>IF($J884="",0,LEN($J884))</f>
        <v/>
      </c>
      <c r="L884" s="16">
        <f>IF($I884="","",TEXT(IFERROR(INDEX(tblVeriB[BelgeTarihi],ROW()-ROW(tblVeriB[[#Headers]])),""),"yyyymmdd")&amp;"|"&amp;TEXT(IFERROR(INDEX(tblVeriB[Tutar],ROW()-ROW(tblVeriB[[#Headers]])),0),"0.00"))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 ","")))</f>
        <v/>
      </c>
      <c r="C885" s="16">
        <f>IF($B885="",0,LEN($B885))</f>
        <v/>
      </c>
      <c r="D885" s="16">
        <f>IF($A885="","",TEXT(IFERROR(INDEX(tblVeriA[Tarih],ROW()-ROW(tblVeriA[[#Headers]])),""),"yyyymmdd")&amp;"|"&amp;TEXT(IFERROR(INDEX(tblVeriA[Toplam],ROW()-ROW(tblVeriA[[#Headers]])),0),"0.00"))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 ","")))</f>
        <v/>
      </c>
      <c r="K885" s="16">
        <f>IF($J885="",0,LEN($J885))</f>
        <v/>
      </c>
      <c r="L885" s="16">
        <f>IF($I885="","",TEXT(IFERROR(INDEX(tblVeriB[BelgeTarihi],ROW()-ROW(tblVeriB[[#Headers]])),""),"yyyymmdd")&amp;"|"&amp;TEXT(IFERROR(INDEX(tblVeriB[Tutar],ROW()-ROW(tblVeriB[[#Headers]])),0),"0.00"))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 ","")))</f>
        <v/>
      </c>
      <c r="C886" s="16">
        <f>IF($B886="",0,LEN($B886))</f>
        <v/>
      </c>
      <c r="D886" s="16">
        <f>IF($A886="","",TEXT(IFERROR(INDEX(tblVeriA[Tarih],ROW()-ROW(tblVeriA[[#Headers]])),""),"yyyymmdd")&amp;"|"&amp;TEXT(IFERROR(INDEX(tblVeriA[Toplam],ROW()-ROW(tblVeriA[[#Headers]])),0),"0.00"))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 ","")))</f>
        <v/>
      </c>
      <c r="K886" s="16">
        <f>IF($J886="",0,LEN($J886))</f>
        <v/>
      </c>
      <c r="L886" s="16">
        <f>IF($I886="","",TEXT(IFERROR(INDEX(tblVeriB[BelgeTarihi],ROW()-ROW(tblVeriB[[#Headers]])),""),"yyyymmdd")&amp;"|"&amp;TEXT(IFERROR(INDEX(tblVeriB[Tutar],ROW()-ROW(tblVeriB[[#Headers]])),0),"0.00"))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 ","")))</f>
        <v/>
      </c>
      <c r="C887" s="16">
        <f>IF($B887="",0,LEN($B887))</f>
        <v/>
      </c>
      <c r="D887" s="16">
        <f>IF($A887="","",TEXT(IFERROR(INDEX(tblVeriA[Tarih],ROW()-ROW(tblVeriA[[#Headers]])),""),"yyyymmdd")&amp;"|"&amp;TEXT(IFERROR(INDEX(tblVeriA[Toplam],ROW()-ROW(tblVeriA[[#Headers]])),0),"0.00"))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 ","")))</f>
        <v/>
      </c>
      <c r="K887" s="16">
        <f>IF($J887="",0,LEN($J887))</f>
        <v/>
      </c>
      <c r="L887" s="16">
        <f>IF($I887="","",TEXT(IFERROR(INDEX(tblVeriB[BelgeTarihi],ROW()-ROW(tblVeriB[[#Headers]])),""),"yyyymmdd")&amp;"|"&amp;TEXT(IFERROR(INDEX(tblVeriB[Tutar],ROW()-ROW(tblVeriB[[#Headers]])),0),"0.00"))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 ","")))</f>
        <v/>
      </c>
      <c r="C888" s="16">
        <f>IF($B888="",0,LEN($B888))</f>
        <v/>
      </c>
      <c r="D888" s="16">
        <f>IF($A888="","",TEXT(IFERROR(INDEX(tblVeriA[Tarih],ROW()-ROW(tblVeriA[[#Headers]])),""),"yyyymmdd")&amp;"|"&amp;TEXT(IFERROR(INDEX(tblVeriA[Toplam],ROW()-ROW(tblVeriA[[#Headers]])),0),"0.00"))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 ","")))</f>
        <v/>
      </c>
      <c r="K888" s="16">
        <f>IF($J888="",0,LEN($J888))</f>
        <v/>
      </c>
      <c r="L888" s="16">
        <f>IF($I888="","",TEXT(IFERROR(INDEX(tblVeriB[BelgeTarihi],ROW()-ROW(tblVeriB[[#Headers]])),""),"yyyymmdd")&amp;"|"&amp;TEXT(IFERROR(INDEX(tblVeriB[Tutar],ROW()-ROW(tblVeriB[[#Headers]])),0),"0.00"))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 ","")))</f>
        <v/>
      </c>
      <c r="C889" s="16">
        <f>IF($B889="",0,LEN($B889))</f>
        <v/>
      </c>
      <c r="D889" s="16">
        <f>IF($A889="","",TEXT(IFERROR(INDEX(tblVeriA[Tarih],ROW()-ROW(tblVeriA[[#Headers]])),""),"yyyymmdd")&amp;"|"&amp;TEXT(IFERROR(INDEX(tblVeriA[Toplam],ROW()-ROW(tblVeriA[[#Headers]])),0),"0.00"))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 ","")))</f>
        <v/>
      </c>
      <c r="K889" s="16">
        <f>IF($J889="",0,LEN($J889))</f>
        <v/>
      </c>
      <c r="L889" s="16">
        <f>IF($I889="","",TEXT(IFERROR(INDEX(tblVeriB[BelgeTarihi],ROW()-ROW(tblVeriB[[#Headers]])),""),"yyyymmdd")&amp;"|"&amp;TEXT(IFERROR(INDEX(tblVeriB[Tutar],ROW()-ROW(tblVeriB[[#Headers]])),0),"0.00"))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 ","")))</f>
        <v/>
      </c>
      <c r="C890" s="16">
        <f>IF($B890="",0,LEN($B890))</f>
        <v/>
      </c>
      <c r="D890" s="16">
        <f>IF($A890="","",TEXT(IFERROR(INDEX(tblVeriA[Tarih],ROW()-ROW(tblVeriA[[#Headers]])),""),"yyyymmdd")&amp;"|"&amp;TEXT(IFERROR(INDEX(tblVeriA[Toplam],ROW()-ROW(tblVeriA[[#Headers]])),0),"0.00"))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 ","")))</f>
        <v/>
      </c>
      <c r="K890" s="16">
        <f>IF($J890="",0,LEN($J890))</f>
        <v/>
      </c>
      <c r="L890" s="16">
        <f>IF($I890="","",TEXT(IFERROR(INDEX(tblVeriB[BelgeTarihi],ROW()-ROW(tblVeriB[[#Headers]])),""),"yyyymmdd")&amp;"|"&amp;TEXT(IFERROR(INDEX(tblVeriB[Tutar],ROW()-ROW(tblVeriB[[#Headers]])),0),"0.00"))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 ","")))</f>
        <v/>
      </c>
      <c r="C891" s="16">
        <f>IF($B891="",0,LEN($B891))</f>
        <v/>
      </c>
      <c r="D891" s="16">
        <f>IF($A891="","",TEXT(IFERROR(INDEX(tblVeriA[Tarih],ROW()-ROW(tblVeriA[[#Headers]])),""),"yyyymmdd")&amp;"|"&amp;TEXT(IFERROR(INDEX(tblVeriA[Toplam],ROW()-ROW(tblVeriA[[#Headers]])),0),"0.00"))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 ","")))</f>
        <v/>
      </c>
      <c r="K891" s="16">
        <f>IF($J891="",0,LEN($J891))</f>
        <v/>
      </c>
      <c r="L891" s="16">
        <f>IF($I891="","",TEXT(IFERROR(INDEX(tblVeriB[BelgeTarihi],ROW()-ROW(tblVeriB[[#Headers]])),""),"yyyymmdd")&amp;"|"&amp;TEXT(IFERROR(INDEX(tblVeriB[Tutar],ROW()-ROW(tblVeriB[[#Headers]])),0),"0.00"))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 ","")))</f>
        <v/>
      </c>
      <c r="C892" s="16">
        <f>IF($B892="",0,LEN($B892))</f>
        <v/>
      </c>
      <c r="D892" s="16">
        <f>IF($A892="","",TEXT(IFERROR(INDEX(tblVeriA[Tarih],ROW()-ROW(tblVeriA[[#Headers]])),""),"yyyymmdd")&amp;"|"&amp;TEXT(IFERROR(INDEX(tblVeriA[Toplam],ROW()-ROW(tblVeriA[[#Headers]])),0),"0.00"))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 ","")))</f>
        <v/>
      </c>
      <c r="K892" s="16">
        <f>IF($J892="",0,LEN($J892))</f>
        <v/>
      </c>
      <c r="L892" s="16">
        <f>IF($I892="","",TEXT(IFERROR(INDEX(tblVeriB[BelgeTarihi],ROW()-ROW(tblVeriB[[#Headers]])),""),"yyyymmdd")&amp;"|"&amp;TEXT(IFERROR(INDEX(tblVeriB[Tutar],ROW()-ROW(tblVeriB[[#Headers]])),0),"0.00"))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 ","")))</f>
        <v/>
      </c>
      <c r="C893" s="16">
        <f>IF($B893="",0,LEN($B893))</f>
        <v/>
      </c>
      <c r="D893" s="16">
        <f>IF($A893="","",TEXT(IFERROR(INDEX(tblVeriA[Tarih],ROW()-ROW(tblVeriA[[#Headers]])),""),"yyyymmdd")&amp;"|"&amp;TEXT(IFERROR(INDEX(tblVeriA[Toplam],ROW()-ROW(tblVeriA[[#Headers]])),0),"0.00"))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 ","")))</f>
        <v/>
      </c>
      <c r="K893" s="16">
        <f>IF($J893="",0,LEN($J893))</f>
        <v/>
      </c>
      <c r="L893" s="16">
        <f>IF($I893="","",TEXT(IFERROR(INDEX(tblVeriB[BelgeTarihi],ROW()-ROW(tblVeriB[[#Headers]])),""),"yyyymmdd")&amp;"|"&amp;TEXT(IFERROR(INDEX(tblVeriB[Tutar],ROW()-ROW(tblVeriB[[#Headers]])),0),"0.00"))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 ","")))</f>
        <v/>
      </c>
      <c r="C894" s="16">
        <f>IF($B894="",0,LEN($B894))</f>
        <v/>
      </c>
      <c r="D894" s="16">
        <f>IF($A894="","",TEXT(IFERROR(INDEX(tblVeriA[Tarih],ROW()-ROW(tblVeriA[[#Headers]])),""),"yyyymmdd")&amp;"|"&amp;TEXT(IFERROR(INDEX(tblVeriA[Toplam],ROW()-ROW(tblVeriA[[#Headers]])),0),"0.00"))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 ","")))</f>
        <v/>
      </c>
      <c r="K894" s="16">
        <f>IF($J894="",0,LEN($J894))</f>
        <v/>
      </c>
      <c r="L894" s="16">
        <f>IF($I894="","",TEXT(IFERROR(INDEX(tblVeriB[BelgeTarihi],ROW()-ROW(tblVeriB[[#Headers]])),""),"yyyymmdd")&amp;"|"&amp;TEXT(IFERROR(INDEX(tblVeriB[Tutar],ROW()-ROW(tblVeriB[[#Headers]])),0),"0.00"))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 ","")))</f>
        <v/>
      </c>
      <c r="C895" s="16">
        <f>IF($B895="",0,LEN($B895))</f>
        <v/>
      </c>
      <c r="D895" s="16">
        <f>IF($A895="","",TEXT(IFERROR(INDEX(tblVeriA[Tarih],ROW()-ROW(tblVeriA[[#Headers]])),""),"yyyymmdd")&amp;"|"&amp;TEXT(IFERROR(INDEX(tblVeriA[Toplam],ROW()-ROW(tblVeriA[[#Headers]])),0),"0.00"))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 ","")))</f>
        <v/>
      </c>
      <c r="K895" s="16">
        <f>IF($J895="",0,LEN($J895))</f>
        <v/>
      </c>
      <c r="L895" s="16">
        <f>IF($I895="","",TEXT(IFERROR(INDEX(tblVeriB[BelgeTarihi],ROW()-ROW(tblVeriB[[#Headers]])),""),"yyyymmdd")&amp;"|"&amp;TEXT(IFERROR(INDEX(tblVeriB[Tutar],ROW()-ROW(tblVeriB[[#Headers]])),0),"0.00"))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 ","")))</f>
        <v/>
      </c>
      <c r="C896" s="16">
        <f>IF($B896="",0,LEN($B896))</f>
        <v/>
      </c>
      <c r="D896" s="16">
        <f>IF($A896="","",TEXT(IFERROR(INDEX(tblVeriA[Tarih],ROW()-ROW(tblVeriA[[#Headers]])),""),"yyyymmdd")&amp;"|"&amp;TEXT(IFERROR(INDEX(tblVeriA[Toplam],ROW()-ROW(tblVeriA[[#Headers]])),0),"0.00"))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 ","")))</f>
        <v/>
      </c>
      <c r="K896" s="16">
        <f>IF($J896="",0,LEN($J896))</f>
        <v/>
      </c>
      <c r="L896" s="16">
        <f>IF($I896="","",TEXT(IFERROR(INDEX(tblVeriB[BelgeTarihi],ROW()-ROW(tblVeriB[[#Headers]])),""),"yyyymmdd")&amp;"|"&amp;TEXT(IFERROR(INDEX(tblVeriB[Tutar],ROW()-ROW(tblVeriB[[#Headers]])),0),"0.00"))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 ","")))</f>
        <v/>
      </c>
      <c r="C897" s="16">
        <f>IF($B897="",0,LEN($B897))</f>
        <v/>
      </c>
      <c r="D897" s="16">
        <f>IF($A897="","",TEXT(IFERROR(INDEX(tblVeriA[Tarih],ROW()-ROW(tblVeriA[[#Headers]])),""),"yyyymmdd")&amp;"|"&amp;TEXT(IFERROR(INDEX(tblVeriA[Toplam],ROW()-ROW(tblVeriA[[#Headers]])),0),"0.00"))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 ","")))</f>
        <v/>
      </c>
      <c r="K897" s="16">
        <f>IF($J897="",0,LEN($J897))</f>
        <v/>
      </c>
      <c r="L897" s="16">
        <f>IF($I897="","",TEXT(IFERROR(INDEX(tblVeriB[BelgeTarihi],ROW()-ROW(tblVeriB[[#Headers]])),""),"yyyymmdd")&amp;"|"&amp;TEXT(IFERROR(INDEX(tblVeriB[Tutar],ROW()-ROW(tblVeriB[[#Headers]])),0),"0.00"))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 ","")))</f>
        <v/>
      </c>
      <c r="C898" s="16">
        <f>IF($B898="",0,LEN($B898))</f>
        <v/>
      </c>
      <c r="D898" s="16">
        <f>IF($A898="","",TEXT(IFERROR(INDEX(tblVeriA[Tarih],ROW()-ROW(tblVeriA[[#Headers]])),""),"yyyymmdd")&amp;"|"&amp;TEXT(IFERROR(INDEX(tblVeriA[Toplam],ROW()-ROW(tblVeriA[[#Headers]])),0),"0.00"))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 ","")))</f>
        <v/>
      </c>
      <c r="K898" s="16">
        <f>IF($J898="",0,LEN($J898))</f>
        <v/>
      </c>
      <c r="L898" s="16">
        <f>IF($I898="","",TEXT(IFERROR(INDEX(tblVeriB[BelgeTarihi],ROW()-ROW(tblVeriB[[#Headers]])),""),"yyyymmdd")&amp;"|"&amp;TEXT(IFERROR(INDEX(tblVeriB[Tutar],ROW()-ROW(tblVeriB[[#Headers]])),0),"0.00"))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 ","")))</f>
        <v/>
      </c>
      <c r="C899" s="16">
        <f>IF($B899="",0,LEN($B899))</f>
        <v/>
      </c>
      <c r="D899" s="16">
        <f>IF($A899="","",TEXT(IFERROR(INDEX(tblVeriA[Tarih],ROW()-ROW(tblVeriA[[#Headers]])),""),"yyyymmdd")&amp;"|"&amp;TEXT(IFERROR(INDEX(tblVeriA[Toplam],ROW()-ROW(tblVeriA[[#Headers]])),0),"0.00"))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 ","")))</f>
        <v/>
      </c>
      <c r="K899" s="16">
        <f>IF($J899="",0,LEN($J899))</f>
        <v/>
      </c>
      <c r="L899" s="16">
        <f>IF($I899="","",TEXT(IFERROR(INDEX(tblVeriB[BelgeTarihi],ROW()-ROW(tblVeriB[[#Headers]])),""),"yyyymmdd")&amp;"|"&amp;TEXT(IFERROR(INDEX(tblVeriB[Tutar],ROW()-ROW(tblVeriB[[#Headers]])),0),"0.00"))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 ","")))</f>
        <v/>
      </c>
      <c r="C900" s="16">
        <f>IF($B900="",0,LEN($B900))</f>
        <v/>
      </c>
      <c r="D900" s="16">
        <f>IF($A900="","",TEXT(IFERROR(INDEX(tblVeriA[Tarih],ROW()-ROW(tblVeriA[[#Headers]])),""),"yyyymmdd")&amp;"|"&amp;TEXT(IFERROR(INDEX(tblVeriA[Toplam],ROW()-ROW(tblVeriA[[#Headers]])),0),"0.00"))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 ","")))</f>
        <v/>
      </c>
      <c r="K900" s="16">
        <f>IF($J900="",0,LEN($J900))</f>
        <v/>
      </c>
      <c r="L900" s="16">
        <f>IF($I900="","",TEXT(IFERROR(INDEX(tblVeriB[BelgeTarihi],ROW()-ROW(tblVeriB[[#Headers]])),""),"yyyymmdd")&amp;"|"&amp;TEXT(IFERROR(INDEX(tblVeriB[Tutar],ROW()-ROW(tblVeriB[[#Headers]])),0),"0.00"))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 ","")))</f>
        <v/>
      </c>
      <c r="C901" s="16">
        <f>IF($B901="",0,LEN($B901))</f>
        <v/>
      </c>
      <c r="D901" s="16">
        <f>IF($A901="","",TEXT(IFERROR(INDEX(tblVeriA[Tarih],ROW()-ROW(tblVeriA[[#Headers]])),""),"yyyymmdd")&amp;"|"&amp;TEXT(IFERROR(INDEX(tblVeriA[Toplam],ROW()-ROW(tblVeriA[[#Headers]])),0),"0.00"))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 ","")))</f>
        <v/>
      </c>
      <c r="K901" s="16">
        <f>IF($J901="",0,LEN($J901))</f>
        <v/>
      </c>
      <c r="L901" s="16">
        <f>IF($I901="","",TEXT(IFERROR(INDEX(tblVeriB[BelgeTarihi],ROW()-ROW(tblVeriB[[#Headers]])),""),"yyyymmdd")&amp;"|"&amp;TEXT(IFERROR(INDEX(tblVeriB[Tutar],ROW()-ROW(tblVeriB[[#Headers]])),0),"0.00"))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 ","")))</f>
        <v/>
      </c>
      <c r="C902" s="16">
        <f>IF($B902="",0,LEN($B902))</f>
        <v/>
      </c>
      <c r="D902" s="16">
        <f>IF($A902="","",TEXT(IFERROR(INDEX(tblVeriA[Tarih],ROW()-ROW(tblVeriA[[#Headers]])),""),"yyyymmdd")&amp;"|"&amp;TEXT(IFERROR(INDEX(tblVeriA[Toplam],ROW()-ROW(tblVeriA[[#Headers]])),0),"0.00"))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 ","")))</f>
        <v/>
      </c>
      <c r="K902" s="16">
        <f>IF($J902="",0,LEN($J902))</f>
        <v/>
      </c>
      <c r="L902" s="16">
        <f>IF($I902="","",TEXT(IFERROR(INDEX(tblVeriB[BelgeTarihi],ROW()-ROW(tblVeriB[[#Headers]])),""),"yyyymmdd")&amp;"|"&amp;TEXT(IFERROR(INDEX(tblVeriB[Tutar],ROW()-ROW(tblVeriB[[#Headers]])),0),"0.00"))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 ","")))</f>
        <v/>
      </c>
      <c r="C903" s="16">
        <f>IF($B903="",0,LEN($B903))</f>
        <v/>
      </c>
      <c r="D903" s="16">
        <f>IF($A903="","",TEXT(IFERROR(INDEX(tblVeriA[Tarih],ROW()-ROW(tblVeriA[[#Headers]])),""),"yyyymmdd")&amp;"|"&amp;TEXT(IFERROR(INDEX(tblVeriA[Toplam],ROW()-ROW(tblVeriA[[#Headers]])),0),"0.00"))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 ","")))</f>
        <v/>
      </c>
      <c r="K903" s="16">
        <f>IF($J903="",0,LEN($J903))</f>
        <v/>
      </c>
      <c r="L903" s="16">
        <f>IF($I903="","",TEXT(IFERROR(INDEX(tblVeriB[BelgeTarihi],ROW()-ROW(tblVeriB[[#Headers]])),""),"yyyymmdd")&amp;"|"&amp;TEXT(IFERROR(INDEX(tblVeriB[Tutar],ROW()-ROW(tblVeriB[[#Headers]])),0),"0.00"))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 ","")))</f>
        <v/>
      </c>
      <c r="C904" s="16">
        <f>IF($B904="",0,LEN($B904))</f>
        <v/>
      </c>
      <c r="D904" s="16">
        <f>IF($A904="","",TEXT(IFERROR(INDEX(tblVeriA[Tarih],ROW()-ROW(tblVeriA[[#Headers]])),""),"yyyymmdd")&amp;"|"&amp;TEXT(IFERROR(INDEX(tblVeriA[Toplam],ROW()-ROW(tblVeriA[[#Headers]])),0),"0.00"))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 ","")))</f>
        <v/>
      </c>
      <c r="K904" s="16">
        <f>IF($J904="",0,LEN($J904))</f>
        <v/>
      </c>
      <c r="L904" s="16">
        <f>IF($I904="","",TEXT(IFERROR(INDEX(tblVeriB[BelgeTarihi],ROW()-ROW(tblVeriB[[#Headers]])),""),"yyyymmdd")&amp;"|"&amp;TEXT(IFERROR(INDEX(tblVeriB[Tutar],ROW()-ROW(tblVeriB[[#Headers]])),0),"0.00"))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 ","")))</f>
        <v/>
      </c>
      <c r="C905" s="16">
        <f>IF($B905="",0,LEN($B905))</f>
        <v/>
      </c>
      <c r="D905" s="16">
        <f>IF($A905="","",TEXT(IFERROR(INDEX(tblVeriA[Tarih],ROW()-ROW(tblVeriA[[#Headers]])),""),"yyyymmdd")&amp;"|"&amp;TEXT(IFERROR(INDEX(tblVeriA[Toplam],ROW()-ROW(tblVeriA[[#Headers]])),0),"0.00"))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 ","")))</f>
        <v/>
      </c>
      <c r="K905" s="16">
        <f>IF($J905="",0,LEN($J905))</f>
        <v/>
      </c>
      <c r="L905" s="16">
        <f>IF($I905="","",TEXT(IFERROR(INDEX(tblVeriB[BelgeTarihi],ROW()-ROW(tblVeriB[[#Headers]])),""),"yyyymmdd")&amp;"|"&amp;TEXT(IFERROR(INDEX(tblVeriB[Tutar],ROW()-ROW(tblVeriB[[#Headers]])),0),"0.00"))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 ","")))</f>
        <v/>
      </c>
      <c r="C906" s="16">
        <f>IF($B906="",0,LEN($B906))</f>
        <v/>
      </c>
      <c r="D906" s="16">
        <f>IF($A906="","",TEXT(IFERROR(INDEX(tblVeriA[Tarih],ROW()-ROW(tblVeriA[[#Headers]])),""),"yyyymmdd")&amp;"|"&amp;TEXT(IFERROR(INDEX(tblVeriA[Toplam],ROW()-ROW(tblVeriA[[#Headers]])),0),"0.00"))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 ","")))</f>
        <v/>
      </c>
      <c r="K906" s="16">
        <f>IF($J906="",0,LEN($J906))</f>
        <v/>
      </c>
      <c r="L906" s="16">
        <f>IF($I906="","",TEXT(IFERROR(INDEX(tblVeriB[BelgeTarihi],ROW()-ROW(tblVeriB[[#Headers]])),""),"yyyymmdd")&amp;"|"&amp;TEXT(IFERROR(INDEX(tblVeriB[Tutar],ROW()-ROW(tblVeriB[[#Headers]])),0),"0.00"))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 ","")))</f>
        <v/>
      </c>
      <c r="C907" s="16">
        <f>IF($B907="",0,LEN($B907))</f>
        <v/>
      </c>
      <c r="D907" s="16">
        <f>IF($A907="","",TEXT(IFERROR(INDEX(tblVeriA[Tarih],ROW()-ROW(tblVeriA[[#Headers]])),""),"yyyymmdd")&amp;"|"&amp;TEXT(IFERROR(INDEX(tblVeriA[Toplam],ROW()-ROW(tblVeriA[[#Headers]])),0),"0.00"))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 ","")))</f>
        <v/>
      </c>
      <c r="K907" s="16">
        <f>IF($J907="",0,LEN($J907))</f>
        <v/>
      </c>
      <c r="L907" s="16">
        <f>IF($I907="","",TEXT(IFERROR(INDEX(tblVeriB[BelgeTarihi],ROW()-ROW(tblVeriB[[#Headers]])),""),"yyyymmdd")&amp;"|"&amp;TEXT(IFERROR(INDEX(tblVeriB[Tutar],ROW()-ROW(tblVeriB[[#Headers]])),0),"0.00"))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 ","")))</f>
        <v/>
      </c>
      <c r="C908" s="16">
        <f>IF($B908="",0,LEN($B908))</f>
        <v/>
      </c>
      <c r="D908" s="16">
        <f>IF($A908="","",TEXT(IFERROR(INDEX(tblVeriA[Tarih],ROW()-ROW(tblVeriA[[#Headers]])),""),"yyyymmdd")&amp;"|"&amp;TEXT(IFERROR(INDEX(tblVeriA[Toplam],ROW()-ROW(tblVeriA[[#Headers]])),0),"0.00"))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 ","")))</f>
        <v/>
      </c>
      <c r="K908" s="16">
        <f>IF($J908="",0,LEN($J908))</f>
        <v/>
      </c>
      <c r="L908" s="16">
        <f>IF($I908="","",TEXT(IFERROR(INDEX(tblVeriB[BelgeTarihi],ROW()-ROW(tblVeriB[[#Headers]])),""),"yyyymmdd")&amp;"|"&amp;TEXT(IFERROR(INDEX(tblVeriB[Tutar],ROW()-ROW(tblVeriB[[#Headers]])),0),"0.00"))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 ","")))</f>
        <v/>
      </c>
      <c r="C909" s="16">
        <f>IF($B909="",0,LEN($B909))</f>
        <v/>
      </c>
      <c r="D909" s="16">
        <f>IF($A909="","",TEXT(IFERROR(INDEX(tblVeriA[Tarih],ROW()-ROW(tblVeriA[[#Headers]])),""),"yyyymmdd")&amp;"|"&amp;TEXT(IFERROR(INDEX(tblVeriA[Toplam],ROW()-ROW(tblVeriA[[#Headers]])),0),"0.00"))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 ","")))</f>
        <v/>
      </c>
      <c r="K909" s="16">
        <f>IF($J909="",0,LEN($J909))</f>
        <v/>
      </c>
      <c r="L909" s="16">
        <f>IF($I909="","",TEXT(IFERROR(INDEX(tblVeriB[BelgeTarihi],ROW()-ROW(tblVeriB[[#Headers]])),""),"yyyymmdd")&amp;"|"&amp;TEXT(IFERROR(INDEX(tblVeriB[Tutar],ROW()-ROW(tblVeriB[[#Headers]])),0),"0.00"))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 ","")))</f>
        <v/>
      </c>
      <c r="C910" s="16">
        <f>IF($B910="",0,LEN($B910))</f>
        <v/>
      </c>
      <c r="D910" s="16">
        <f>IF($A910="","",TEXT(IFERROR(INDEX(tblVeriA[Tarih],ROW()-ROW(tblVeriA[[#Headers]])),""),"yyyymmdd")&amp;"|"&amp;TEXT(IFERROR(INDEX(tblVeriA[Toplam],ROW()-ROW(tblVeriA[[#Headers]])),0),"0.00"))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 ","")))</f>
        <v/>
      </c>
      <c r="K910" s="16">
        <f>IF($J910="",0,LEN($J910))</f>
        <v/>
      </c>
      <c r="L910" s="16">
        <f>IF($I910="","",TEXT(IFERROR(INDEX(tblVeriB[BelgeTarihi],ROW()-ROW(tblVeriB[[#Headers]])),""),"yyyymmdd")&amp;"|"&amp;TEXT(IFERROR(INDEX(tblVeriB[Tutar],ROW()-ROW(tblVeriB[[#Headers]])),0),"0.00"))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 ","")))</f>
        <v/>
      </c>
      <c r="C911" s="16">
        <f>IF($B911="",0,LEN($B911))</f>
        <v/>
      </c>
      <c r="D911" s="16">
        <f>IF($A911="","",TEXT(IFERROR(INDEX(tblVeriA[Tarih],ROW()-ROW(tblVeriA[[#Headers]])),""),"yyyymmdd")&amp;"|"&amp;TEXT(IFERROR(INDEX(tblVeriA[Toplam],ROW()-ROW(tblVeriA[[#Headers]])),0),"0.00"))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 ","")))</f>
        <v/>
      </c>
      <c r="K911" s="16">
        <f>IF($J911="",0,LEN($J911))</f>
        <v/>
      </c>
      <c r="L911" s="16">
        <f>IF($I911="","",TEXT(IFERROR(INDEX(tblVeriB[BelgeTarihi],ROW()-ROW(tblVeriB[[#Headers]])),""),"yyyymmdd")&amp;"|"&amp;TEXT(IFERROR(INDEX(tblVeriB[Tutar],ROW()-ROW(tblVeriB[[#Headers]])),0),"0.00"))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 ","")))</f>
        <v/>
      </c>
      <c r="C912" s="16">
        <f>IF($B912="",0,LEN($B912))</f>
        <v/>
      </c>
      <c r="D912" s="16">
        <f>IF($A912="","",TEXT(IFERROR(INDEX(tblVeriA[Tarih],ROW()-ROW(tblVeriA[[#Headers]])),""),"yyyymmdd")&amp;"|"&amp;TEXT(IFERROR(INDEX(tblVeriA[Toplam],ROW()-ROW(tblVeriA[[#Headers]])),0),"0.00"))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 ","")))</f>
        <v/>
      </c>
      <c r="K912" s="16">
        <f>IF($J912="",0,LEN($J912))</f>
        <v/>
      </c>
      <c r="L912" s="16">
        <f>IF($I912="","",TEXT(IFERROR(INDEX(tblVeriB[BelgeTarihi],ROW()-ROW(tblVeriB[[#Headers]])),""),"yyyymmdd")&amp;"|"&amp;TEXT(IFERROR(INDEX(tblVeriB[Tutar],ROW()-ROW(tblVeriB[[#Headers]])),0),"0.00"))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 ","")))</f>
        <v/>
      </c>
      <c r="C913" s="16">
        <f>IF($B913="",0,LEN($B913))</f>
        <v/>
      </c>
      <c r="D913" s="16">
        <f>IF($A913="","",TEXT(IFERROR(INDEX(tblVeriA[Tarih],ROW()-ROW(tblVeriA[[#Headers]])),""),"yyyymmdd")&amp;"|"&amp;TEXT(IFERROR(INDEX(tblVeriA[Toplam],ROW()-ROW(tblVeriA[[#Headers]])),0),"0.00"))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 ","")))</f>
        <v/>
      </c>
      <c r="K913" s="16">
        <f>IF($J913="",0,LEN($J913))</f>
        <v/>
      </c>
      <c r="L913" s="16">
        <f>IF($I913="","",TEXT(IFERROR(INDEX(tblVeriB[BelgeTarihi],ROW()-ROW(tblVeriB[[#Headers]])),""),"yyyymmdd")&amp;"|"&amp;TEXT(IFERROR(INDEX(tblVeriB[Tutar],ROW()-ROW(tblVeriB[[#Headers]])),0),"0.00"))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 ","")))</f>
        <v/>
      </c>
      <c r="C914" s="16">
        <f>IF($B914="",0,LEN($B914))</f>
        <v/>
      </c>
      <c r="D914" s="16">
        <f>IF($A914="","",TEXT(IFERROR(INDEX(tblVeriA[Tarih],ROW()-ROW(tblVeriA[[#Headers]])),""),"yyyymmdd")&amp;"|"&amp;TEXT(IFERROR(INDEX(tblVeriA[Toplam],ROW()-ROW(tblVeriA[[#Headers]])),0),"0.00"))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 ","")))</f>
        <v/>
      </c>
      <c r="K914" s="16">
        <f>IF($J914="",0,LEN($J914))</f>
        <v/>
      </c>
      <c r="L914" s="16">
        <f>IF($I914="","",TEXT(IFERROR(INDEX(tblVeriB[BelgeTarihi],ROW()-ROW(tblVeriB[[#Headers]])),""),"yyyymmdd")&amp;"|"&amp;TEXT(IFERROR(INDEX(tblVeriB[Tutar],ROW()-ROW(tblVeriB[[#Headers]])),0),"0.00"))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 ","")))</f>
        <v/>
      </c>
      <c r="C915" s="16">
        <f>IF($B915="",0,LEN($B915))</f>
        <v/>
      </c>
      <c r="D915" s="16">
        <f>IF($A915="","",TEXT(IFERROR(INDEX(tblVeriA[Tarih],ROW()-ROW(tblVeriA[[#Headers]])),""),"yyyymmdd")&amp;"|"&amp;TEXT(IFERROR(INDEX(tblVeriA[Toplam],ROW()-ROW(tblVeriA[[#Headers]])),0),"0.00"))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 ","")))</f>
        <v/>
      </c>
      <c r="K915" s="16">
        <f>IF($J915="",0,LEN($J915))</f>
        <v/>
      </c>
      <c r="L915" s="16">
        <f>IF($I915="","",TEXT(IFERROR(INDEX(tblVeriB[BelgeTarihi],ROW()-ROW(tblVeriB[[#Headers]])),""),"yyyymmdd")&amp;"|"&amp;TEXT(IFERROR(INDEX(tblVeriB[Tutar],ROW()-ROW(tblVeriB[[#Headers]])),0),"0.00"))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 ","")))</f>
        <v/>
      </c>
      <c r="C916" s="16">
        <f>IF($B916="",0,LEN($B916))</f>
        <v/>
      </c>
      <c r="D916" s="16">
        <f>IF($A916="","",TEXT(IFERROR(INDEX(tblVeriA[Tarih],ROW()-ROW(tblVeriA[[#Headers]])),""),"yyyymmdd")&amp;"|"&amp;TEXT(IFERROR(INDEX(tblVeriA[Toplam],ROW()-ROW(tblVeriA[[#Headers]])),0),"0.00"))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 ","")))</f>
        <v/>
      </c>
      <c r="K916" s="16">
        <f>IF($J916="",0,LEN($J916))</f>
        <v/>
      </c>
      <c r="L916" s="16">
        <f>IF($I916="","",TEXT(IFERROR(INDEX(tblVeriB[BelgeTarihi],ROW()-ROW(tblVeriB[[#Headers]])),""),"yyyymmdd")&amp;"|"&amp;TEXT(IFERROR(INDEX(tblVeriB[Tutar],ROW()-ROW(tblVeriB[[#Headers]])),0),"0.00"))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 ","")))</f>
        <v/>
      </c>
      <c r="C917" s="16">
        <f>IF($B917="",0,LEN($B917))</f>
        <v/>
      </c>
      <c r="D917" s="16">
        <f>IF($A917="","",TEXT(IFERROR(INDEX(tblVeriA[Tarih],ROW()-ROW(tblVeriA[[#Headers]])),""),"yyyymmdd")&amp;"|"&amp;TEXT(IFERROR(INDEX(tblVeriA[Toplam],ROW()-ROW(tblVeriA[[#Headers]])),0),"0.00"))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 ","")))</f>
        <v/>
      </c>
      <c r="K917" s="16">
        <f>IF($J917="",0,LEN($J917))</f>
        <v/>
      </c>
      <c r="L917" s="16">
        <f>IF($I917="","",TEXT(IFERROR(INDEX(tblVeriB[BelgeTarihi],ROW()-ROW(tblVeriB[[#Headers]])),""),"yyyymmdd")&amp;"|"&amp;TEXT(IFERROR(INDEX(tblVeriB[Tutar],ROW()-ROW(tblVeriB[[#Headers]])),0),"0.00"))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 ","")))</f>
        <v/>
      </c>
      <c r="C918" s="16">
        <f>IF($B918="",0,LEN($B918))</f>
        <v/>
      </c>
      <c r="D918" s="16">
        <f>IF($A918="","",TEXT(IFERROR(INDEX(tblVeriA[Tarih],ROW()-ROW(tblVeriA[[#Headers]])),""),"yyyymmdd")&amp;"|"&amp;TEXT(IFERROR(INDEX(tblVeriA[Toplam],ROW()-ROW(tblVeriA[[#Headers]])),0),"0.00"))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 ","")))</f>
        <v/>
      </c>
      <c r="K918" s="16">
        <f>IF($J918="",0,LEN($J918))</f>
        <v/>
      </c>
      <c r="L918" s="16">
        <f>IF($I918="","",TEXT(IFERROR(INDEX(tblVeriB[BelgeTarihi],ROW()-ROW(tblVeriB[[#Headers]])),""),"yyyymmdd")&amp;"|"&amp;TEXT(IFERROR(INDEX(tblVeriB[Tutar],ROW()-ROW(tblVeriB[[#Headers]])),0),"0.00"))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 ","")))</f>
        <v/>
      </c>
      <c r="C919" s="16">
        <f>IF($B919="",0,LEN($B919))</f>
        <v/>
      </c>
      <c r="D919" s="16">
        <f>IF($A919="","",TEXT(IFERROR(INDEX(tblVeriA[Tarih],ROW()-ROW(tblVeriA[[#Headers]])),""),"yyyymmdd")&amp;"|"&amp;TEXT(IFERROR(INDEX(tblVeriA[Toplam],ROW()-ROW(tblVeriA[[#Headers]])),0),"0.00"))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 ","")))</f>
        <v/>
      </c>
      <c r="K919" s="16">
        <f>IF($J919="",0,LEN($J919))</f>
        <v/>
      </c>
      <c r="L919" s="16">
        <f>IF($I919="","",TEXT(IFERROR(INDEX(tblVeriB[BelgeTarihi],ROW()-ROW(tblVeriB[[#Headers]])),""),"yyyymmdd")&amp;"|"&amp;TEXT(IFERROR(INDEX(tblVeriB[Tutar],ROW()-ROW(tblVeriB[[#Headers]])),0),"0.00"))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 ","")))</f>
        <v/>
      </c>
      <c r="C920" s="16">
        <f>IF($B920="",0,LEN($B920))</f>
        <v/>
      </c>
      <c r="D920" s="16">
        <f>IF($A920="","",TEXT(IFERROR(INDEX(tblVeriA[Tarih],ROW()-ROW(tblVeriA[[#Headers]])),""),"yyyymmdd")&amp;"|"&amp;TEXT(IFERROR(INDEX(tblVeriA[Toplam],ROW()-ROW(tblVeriA[[#Headers]])),0),"0.00"))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 ","")))</f>
        <v/>
      </c>
      <c r="K920" s="16">
        <f>IF($J920="",0,LEN($J920))</f>
        <v/>
      </c>
      <c r="L920" s="16">
        <f>IF($I920="","",TEXT(IFERROR(INDEX(tblVeriB[BelgeTarihi],ROW()-ROW(tblVeriB[[#Headers]])),""),"yyyymmdd")&amp;"|"&amp;TEXT(IFERROR(INDEX(tblVeriB[Tutar],ROW()-ROW(tblVeriB[[#Headers]])),0),"0.00"))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 ","")))</f>
        <v/>
      </c>
      <c r="C921" s="16">
        <f>IF($B921="",0,LEN($B921))</f>
        <v/>
      </c>
      <c r="D921" s="16">
        <f>IF($A921="","",TEXT(IFERROR(INDEX(tblVeriA[Tarih],ROW()-ROW(tblVeriA[[#Headers]])),""),"yyyymmdd")&amp;"|"&amp;TEXT(IFERROR(INDEX(tblVeriA[Toplam],ROW()-ROW(tblVeriA[[#Headers]])),0),"0.00"))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 ","")))</f>
        <v/>
      </c>
      <c r="K921" s="16">
        <f>IF($J921="",0,LEN($J921))</f>
        <v/>
      </c>
      <c r="L921" s="16">
        <f>IF($I921="","",TEXT(IFERROR(INDEX(tblVeriB[BelgeTarihi],ROW()-ROW(tblVeriB[[#Headers]])),""),"yyyymmdd")&amp;"|"&amp;TEXT(IFERROR(INDEX(tblVeriB[Tutar],ROW()-ROW(tblVeriB[[#Headers]])),0),"0.00"))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 ","")))</f>
        <v/>
      </c>
      <c r="C922" s="16">
        <f>IF($B922="",0,LEN($B922))</f>
        <v/>
      </c>
      <c r="D922" s="16">
        <f>IF($A922="","",TEXT(IFERROR(INDEX(tblVeriA[Tarih],ROW()-ROW(tblVeriA[[#Headers]])),""),"yyyymmdd")&amp;"|"&amp;TEXT(IFERROR(INDEX(tblVeriA[Toplam],ROW()-ROW(tblVeriA[[#Headers]])),0),"0.00"))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 ","")))</f>
        <v/>
      </c>
      <c r="K922" s="16">
        <f>IF($J922="",0,LEN($J922))</f>
        <v/>
      </c>
      <c r="L922" s="16">
        <f>IF($I922="","",TEXT(IFERROR(INDEX(tblVeriB[BelgeTarihi],ROW()-ROW(tblVeriB[[#Headers]])),""),"yyyymmdd")&amp;"|"&amp;TEXT(IFERROR(INDEX(tblVeriB[Tutar],ROW()-ROW(tblVeriB[[#Headers]])),0),"0.00"))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 ","")))</f>
        <v/>
      </c>
      <c r="C923" s="16">
        <f>IF($B923="",0,LEN($B923))</f>
        <v/>
      </c>
      <c r="D923" s="16">
        <f>IF($A923="","",TEXT(IFERROR(INDEX(tblVeriA[Tarih],ROW()-ROW(tblVeriA[[#Headers]])),""),"yyyymmdd")&amp;"|"&amp;TEXT(IFERROR(INDEX(tblVeriA[Toplam],ROW()-ROW(tblVeriA[[#Headers]])),0),"0.00"))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 ","")))</f>
        <v/>
      </c>
      <c r="K923" s="16">
        <f>IF($J923="",0,LEN($J923))</f>
        <v/>
      </c>
      <c r="L923" s="16">
        <f>IF($I923="","",TEXT(IFERROR(INDEX(tblVeriB[BelgeTarihi],ROW()-ROW(tblVeriB[[#Headers]])),""),"yyyymmdd")&amp;"|"&amp;TEXT(IFERROR(INDEX(tblVeriB[Tutar],ROW()-ROW(tblVeriB[[#Headers]])),0),"0.00"))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 ","")))</f>
        <v/>
      </c>
      <c r="C924" s="16">
        <f>IF($B924="",0,LEN($B924))</f>
        <v/>
      </c>
      <c r="D924" s="16">
        <f>IF($A924="","",TEXT(IFERROR(INDEX(tblVeriA[Tarih],ROW()-ROW(tblVeriA[[#Headers]])),""),"yyyymmdd")&amp;"|"&amp;TEXT(IFERROR(INDEX(tblVeriA[Toplam],ROW()-ROW(tblVeriA[[#Headers]])),0),"0.00"))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 ","")))</f>
        <v/>
      </c>
      <c r="K924" s="16">
        <f>IF($J924="",0,LEN($J924))</f>
        <v/>
      </c>
      <c r="L924" s="16">
        <f>IF($I924="","",TEXT(IFERROR(INDEX(tblVeriB[BelgeTarihi],ROW()-ROW(tblVeriB[[#Headers]])),""),"yyyymmdd")&amp;"|"&amp;TEXT(IFERROR(INDEX(tblVeriB[Tutar],ROW()-ROW(tblVeriB[[#Headers]])),0),"0.00"))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 ","")))</f>
        <v/>
      </c>
      <c r="C925" s="16">
        <f>IF($B925="",0,LEN($B925))</f>
        <v/>
      </c>
      <c r="D925" s="16">
        <f>IF($A925="","",TEXT(IFERROR(INDEX(tblVeriA[Tarih],ROW()-ROW(tblVeriA[[#Headers]])),""),"yyyymmdd")&amp;"|"&amp;TEXT(IFERROR(INDEX(tblVeriA[Toplam],ROW()-ROW(tblVeriA[[#Headers]])),0),"0.00"))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 ","")))</f>
        <v/>
      </c>
      <c r="K925" s="16">
        <f>IF($J925="",0,LEN($J925))</f>
        <v/>
      </c>
      <c r="L925" s="16">
        <f>IF($I925="","",TEXT(IFERROR(INDEX(tblVeriB[BelgeTarihi],ROW()-ROW(tblVeriB[[#Headers]])),""),"yyyymmdd")&amp;"|"&amp;TEXT(IFERROR(INDEX(tblVeriB[Tutar],ROW()-ROW(tblVeriB[[#Headers]])),0),"0.00"))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 ","")))</f>
        <v/>
      </c>
      <c r="C926" s="16">
        <f>IF($B926="",0,LEN($B926))</f>
        <v/>
      </c>
      <c r="D926" s="16">
        <f>IF($A926="","",TEXT(IFERROR(INDEX(tblVeriA[Tarih],ROW()-ROW(tblVeriA[[#Headers]])),""),"yyyymmdd")&amp;"|"&amp;TEXT(IFERROR(INDEX(tblVeriA[Toplam],ROW()-ROW(tblVeriA[[#Headers]])),0),"0.00"))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 ","")))</f>
        <v/>
      </c>
      <c r="K926" s="16">
        <f>IF($J926="",0,LEN($J926))</f>
        <v/>
      </c>
      <c r="L926" s="16">
        <f>IF($I926="","",TEXT(IFERROR(INDEX(tblVeriB[BelgeTarihi],ROW()-ROW(tblVeriB[[#Headers]])),""),"yyyymmdd")&amp;"|"&amp;TEXT(IFERROR(INDEX(tblVeriB[Tutar],ROW()-ROW(tblVeriB[[#Headers]])),0),"0.00"))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 ","")))</f>
        <v/>
      </c>
      <c r="C927" s="16">
        <f>IF($B927="",0,LEN($B927))</f>
        <v/>
      </c>
      <c r="D927" s="16">
        <f>IF($A927="","",TEXT(IFERROR(INDEX(tblVeriA[Tarih],ROW()-ROW(tblVeriA[[#Headers]])),""),"yyyymmdd")&amp;"|"&amp;TEXT(IFERROR(INDEX(tblVeriA[Toplam],ROW()-ROW(tblVeriA[[#Headers]])),0),"0.00"))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 ","")))</f>
        <v/>
      </c>
      <c r="K927" s="16">
        <f>IF($J927="",0,LEN($J927))</f>
        <v/>
      </c>
      <c r="L927" s="16">
        <f>IF($I927="","",TEXT(IFERROR(INDEX(tblVeriB[BelgeTarihi],ROW()-ROW(tblVeriB[[#Headers]])),""),"yyyymmdd")&amp;"|"&amp;TEXT(IFERROR(INDEX(tblVeriB[Tutar],ROW()-ROW(tblVeriB[[#Headers]])),0),"0.00"))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 ","")))</f>
        <v/>
      </c>
      <c r="C928" s="16">
        <f>IF($B928="",0,LEN($B928))</f>
        <v/>
      </c>
      <c r="D928" s="16">
        <f>IF($A928="","",TEXT(IFERROR(INDEX(tblVeriA[Tarih],ROW()-ROW(tblVeriA[[#Headers]])),""),"yyyymmdd")&amp;"|"&amp;TEXT(IFERROR(INDEX(tblVeriA[Toplam],ROW()-ROW(tblVeriA[[#Headers]])),0),"0.00"))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 ","")))</f>
        <v/>
      </c>
      <c r="K928" s="16">
        <f>IF($J928="",0,LEN($J928))</f>
        <v/>
      </c>
      <c r="L928" s="16">
        <f>IF($I928="","",TEXT(IFERROR(INDEX(tblVeriB[BelgeTarihi],ROW()-ROW(tblVeriB[[#Headers]])),""),"yyyymmdd")&amp;"|"&amp;TEXT(IFERROR(INDEX(tblVeriB[Tutar],ROW()-ROW(tblVeriB[[#Headers]])),0),"0.00"))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 ","")))</f>
        <v/>
      </c>
      <c r="C929" s="16">
        <f>IF($B929="",0,LEN($B929))</f>
        <v/>
      </c>
      <c r="D929" s="16">
        <f>IF($A929="","",TEXT(IFERROR(INDEX(tblVeriA[Tarih],ROW()-ROW(tblVeriA[[#Headers]])),""),"yyyymmdd")&amp;"|"&amp;TEXT(IFERROR(INDEX(tblVeriA[Toplam],ROW()-ROW(tblVeriA[[#Headers]])),0),"0.00"))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 ","")))</f>
        <v/>
      </c>
      <c r="K929" s="16">
        <f>IF($J929="",0,LEN($J929))</f>
        <v/>
      </c>
      <c r="L929" s="16">
        <f>IF($I929="","",TEXT(IFERROR(INDEX(tblVeriB[BelgeTarihi],ROW()-ROW(tblVeriB[[#Headers]])),""),"yyyymmdd")&amp;"|"&amp;TEXT(IFERROR(INDEX(tblVeriB[Tutar],ROW()-ROW(tblVeriB[[#Headers]])),0),"0.00"))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 ","")))</f>
        <v/>
      </c>
      <c r="C930" s="16">
        <f>IF($B930="",0,LEN($B930))</f>
        <v/>
      </c>
      <c r="D930" s="16">
        <f>IF($A930="","",TEXT(IFERROR(INDEX(tblVeriA[Tarih],ROW()-ROW(tblVeriA[[#Headers]])),""),"yyyymmdd")&amp;"|"&amp;TEXT(IFERROR(INDEX(tblVeriA[Toplam],ROW()-ROW(tblVeriA[[#Headers]])),0),"0.00"))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 ","")))</f>
        <v/>
      </c>
      <c r="K930" s="16">
        <f>IF($J930="",0,LEN($J930))</f>
        <v/>
      </c>
      <c r="L930" s="16">
        <f>IF($I930="","",TEXT(IFERROR(INDEX(tblVeriB[BelgeTarihi],ROW()-ROW(tblVeriB[[#Headers]])),""),"yyyymmdd")&amp;"|"&amp;TEXT(IFERROR(INDEX(tblVeriB[Tutar],ROW()-ROW(tblVeriB[[#Headers]])),0),"0.00"))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 ","")))</f>
        <v/>
      </c>
      <c r="C931" s="16">
        <f>IF($B931="",0,LEN($B931))</f>
        <v/>
      </c>
      <c r="D931" s="16">
        <f>IF($A931="","",TEXT(IFERROR(INDEX(tblVeriA[Tarih],ROW()-ROW(tblVeriA[[#Headers]])),""),"yyyymmdd")&amp;"|"&amp;TEXT(IFERROR(INDEX(tblVeriA[Toplam],ROW()-ROW(tblVeriA[[#Headers]])),0),"0.00"))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 ","")))</f>
        <v/>
      </c>
      <c r="K931" s="16">
        <f>IF($J931="",0,LEN($J931))</f>
        <v/>
      </c>
      <c r="L931" s="16">
        <f>IF($I931="","",TEXT(IFERROR(INDEX(tblVeriB[BelgeTarihi],ROW()-ROW(tblVeriB[[#Headers]])),""),"yyyymmdd")&amp;"|"&amp;TEXT(IFERROR(INDEX(tblVeriB[Tutar],ROW()-ROW(tblVeriB[[#Headers]])),0),"0.00"))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 ","")))</f>
        <v/>
      </c>
      <c r="C932" s="16">
        <f>IF($B932="",0,LEN($B932))</f>
        <v/>
      </c>
      <c r="D932" s="16">
        <f>IF($A932="","",TEXT(IFERROR(INDEX(tblVeriA[Tarih],ROW()-ROW(tblVeriA[[#Headers]])),""),"yyyymmdd")&amp;"|"&amp;TEXT(IFERROR(INDEX(tblVeriA[Toplam],ROW()-ROW(tblVeriA[[#Headers]])),0),"0.00"))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 ","")))</f>
        <v/>
      </c>
      <c r="K932" s="16">
        <f>IF($J932="",0,LEN($J932))</f>
        <v/>
      </c>
      <c r="L932" s="16">
        <f>IF($I932="","",TEXT(IFERROR(INDEX(tblVeriB[BelgeTarihi],ROW()-ROW(tblVeriB[[#Headers]])),""),"yyyymmdd")&amp;"|"&amp;TEXT(IFERROR(INDEX(tblVeriB[Tutar],ROW()-ROW(tblVeriB[[#Headers]])),0),"0.00"))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 ","")))</f>
        <v/>
      </c>
      <c r="C933" s="16">
        <f>IF($B933="",0,LEN($B933))</f>
        <v/>
      </c>
      <c r="D933" s="16">
        <f>IF($A933="","",TEXT(IFERROR(INDEX(tblVeriA[Tarih],ROW()-ROW(tblVeriA[[#Headers]])),""),"yyyymmdd")&amp;"|"&amp;TEXT(IFERROR(INDEX(tblVeriA[Toplam],ROW()-ROW(tblVeriA[[#Headers]])),0),"0.00"))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 ","")))</f>
        <v/>
      </c>
      <c r="K933" s="16">
        <f>IF($J933="",0,LEN($J933))</f>
        <v/>
      </c>
      <c r="L933" s="16">
        <f>IF($I933="","",TEXT(IFERROR(INDEX(tblVeriB[BelgeTarihi],ROW()-ROW(tblVeriB[[#Headers]])),""),"yyyymmdd")&amp;"|"&amp;TEXT(IFERROR(INDEX(tblVeriB[Tutar],ROW()-ROW(tblVeriB[[#Headers]])),0),"0.00"))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 ","")))</f>
        <v/>
      </c>
      <c r="C934" s="16">
        <f>IF($B934="",0,LEN($B934))</f>
        <v/>
      </c>
      <c r="D934" s="16">
        <f>IF($A934="","",TEXT(IFERROR(INDEX(tblVeriA[Tarih],ROW()-ROW(tblVeriA[[#Headers]])),""),"yyyymmdd")&amp;"|"&amp;TEXT(IFERROR(INDEX(tblVeriA[Toplam],ROW()-ROW(tblVeriA[[#Headers]])),0),"0.00"))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 ","")))</f>
        <v/>
      </c>
      <c r="K934" s="16">
        <f>IF($J934="",0,LEN($J934))</f>
        <v/>
      </c>
      <c r="L934" s="16">
        <f>IF($I934="","",TEXT(IFERROR(INDEX(tblVeriB[BelgeTarihi],ROW()-ROW(tblVeriB[[#Headers]])),""),"yyyymmdd")&amp;"|"&amp;TEXT(IFERROR(INDEX(tblVeriB[Tutar],ROW()-ROW(tblVeriB[[#Headers]])),0),"0.00"))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 ","")))</f>
        <v/>
      </c>
      <c r="C935" s="16">
        <f>IF($B935="",0,LEN($B935))</f>
        <v/>
      </c>
      <c r="D935" s="16">
        <f>IF($A935="","",TEXT(IFERROR(INDEX(tblVeriA[Tarih],ROW()-ROW(tblVeriA[[#Headers]])),""),"yyyymmdd")&amp;"|"&amp;TEXT(IFERROR(INDEX(tblVeriA[Toplam],ROW()-ROW(tblVeriA[[#Headers]])),0),"0.00"))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 ","")))</f>
        <v/>
      </c>
      <c r="K935" s="16">
        <f>IF($J935="",0,LEN($J935))</f>
        <v/>
      </c>
      <c r="L935" s="16">
        <f>IF($I935="","",TEXT(IFERROR(INDEX(tblVeriB[BelgeTarihi],ROW()-ROW(tblVeriB[[#Headers]])),""),"yyyymmdd")&amp;"|"&amp;TEXT(IFERROR(INDEX(tblVeriB[Tutar],ROW()-ROW(tblVeriB[[#Headers]])),0),"0.00"))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 ","")))</f>
        <v/>
      </c>
      <c r="C936" s="16">
        <f>IF($B936="",0,LEN($B936))</f>
        <v/>
      </c>
      <c r="D936" s="16">
        <f>IF($A936="","",TEXT(IFERROR(INDEX(tblVeriA[Tarih],ROW()-ROW(tblVeriA[[#Headers]])),""),"yyyymmdd")&amp;"|"&amp;TEXT(IFERROR(INDEX(tblVeriA[Toplam],ROW()-ROW(tblVeriA[[#Headers]])),0),"0.00"))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 ","")))</f>
        <v/>
      </c>
      <c r="K936" s="16">
        <f>IF($J936="",0,LEN($J936))</f>
        <v/>
      </c>
      <c r="L936" s="16">
        <f>IF($I936="","",TEXT(IFERROR(INDEX(tblVeriB[BelgeTarihi],ROW()-ROW(tblVeriB[[#Headers]])),""),"yyyymmdd")&amp;"|"&amp;TEXT(IFERROR(INDEX(tblVeriB[Tutar],ROW()-ROW(tblVeriB[[#Headers]])),0),"0.00"))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 ","")))</f>
        <v/>
      </c>
      <c r="C937" s="16">
        <f>IF($B937="",0,LEN($B937))</f>
        <v/>
      </c>
      <c r="D937" s="16">
        <f>IF($A937="","",TEXT(IFERROR(INDEX(tblVeriA[Tarih],ROW()-ROW(tblVeriA[[#Headers]])),""),"yyyymmdd")&amp;"|"&amp;TEXT(IFERROR(INDEX(tblVeriA[Toplam],ROW()-ROW(tblVeriA[[#Headers]])),0),"0.00"))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 ","")))</f>
        <v/>
      </c>
      <c r="K937" s="16">
        <f>IF($J937="",0,LEN($J937))</f>
        <v/>
      </c>
      <c r="L937" s="16">
        <f>IF($I937="","",TEXT(IFERROR(INDEX(tblVeriB[BelgeTarihi],ROW()-ROW(tblVeriB[[#Headers]])),""),"yyyymmdd")&amp;"|"&amp;TEXT(IFERROR(INDEX(tblVeriB[Tutar],ROW()-ROW(tblVeriB[[#Headers]])),0),"0.00"))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 ","")))</f>
        <v/>
      </c>
      <c r="C938" s="16">
        <f>IF($B938="",0,LEN($B938))</f>
        <v/>
      </c>
      <c r="D938" s="16">
        <f>IF($A938="","",TEXT(IFERROR(INDEX(tblVeriA[Tarih],ROW()-ROW(tblVeriA[[#Headers]])),""),"yyyymmdd")&amp;"|"&amp;TEXT(IFERROR(INDEX(tblVeriA[Toplam],ROW()-ROW(tblVeriA[[#Headers]])),0),"0.00"))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 ","")))</f>
        <v/>
      </c>
      <c r="K938" s="16">
        <f>IF($J938="",0,LEN($J938))</f>
        <v/>
      </c>
      <c r="L938" s="16">
        <f>IF($I938="","",TEXT(IFERROR(INDEX(tblVeriB[BelgeTarihi],ROW()-ROW(tblVeriB[[#Headers]])),""),"yyyymmdd")&amp;"|"&amp;TEXT(IFERROR(INDEX(tblVeriB[Tutar],ROW()-ROW(tblVeriB[[#Headers]])),0),"0.00"))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 ","")))</f>
        <v/>
      </c>
      <c r="C939" s="16">
        <f>IF($B939="",0,LEN($B939))</f>
        <v/>
      </c>
      <c r="D939" s="16">
        <f>IF($A939="","",TEXT(IFERROR(INDEX(tblVeriA[Tarih],ROW()-ROW(tblVeriA[[#Headers]])),""),"yyyymmdd")&amp;"|"&amp;TEXT(IFERROR(INDEX(tblVeriA[Toplam],ROW()-ROW(tblVeriA[[#Headers]])),0),"0.00"))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 ","")))</f>
        <v/>
      </c>
      <c r="K939" s="16">
        <f>IF($J939="",0,LEN($J939))</f>
        <v/>
      </c>
      <c r="L939" s="16">
        <f>IF($I939="","",TEXT(IFERROR(INDEX(tblVeriB[BelgeTarihi],ROW()-ROW(tblVeriB[[#Headers]])),""),"yyyymmdd")&amp;"|"&amp;TEXT(IFERROR(INDEX(tblVeriB[Tutar],ROW()-ROW(tblVeriB[[#Headers]])),0),"0.00"))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 ","")))</f>
        <v/>
      </c>
      <c r="C940" s="16">
        <f>IF($B940="",0,LEN($B940))</f>
        <v/>
      </c>
      <c r="D940" s="16">
        <f>IF($A940="","",TEXT(IFERROR(INDEX(tblVeriA[Tarih],ROW()-ROW(tblVeriA[[#Headers]])),""),"yyyymmdd")&amp;"|"&amp;TEXT(IFERROR(INDEX(tblVeriA[Toplam],ROW()-ROW(tblVeriA[[#Headers]])),0),"0.00"))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 ","")))</f>
        <v/>
      </c>
      <c r="K940" s="16">
        <f>IF($J940="",0,LEN($J940))</f>
        <v/>
      </c>
      <c r="L940" s="16">
        <f>IF($I940="","",TEXT(IFERROR(INDEX(tblVeriB[BelgeTarihi],ROW()-ROW(tblVeriB[[#Headers]])),""),"yyyymmdd")&amp;"|"&amp;TEXT(IFERROR(INDEX(tblVeriB[Tutar],ROW()-ROW(tblVeriB[[#Headers]])),0),"0.00"))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 ","")))</f>
        <v/>
      </c>
      <c r="C941" s="16">
        <f>IF($B941="",0,LEN($B941))</f>
        <v/>
      </c>
      <c r="D941" s="16">
        <f>IF($A941="","",TEXT(IFERROR(INDEX(tblVeriA[Tarih],ROW()-ROW(tblVeriA[[#Headers]])),""),"yyyymmdd")&amp;"|"&amp;TEXT(IFERROR(INDEX(tblVeriA[Toplam],ROW()-ROW(tblVeriA[[#Headers]])),0),"0.00"))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 ","")))</f>
        <v/>
      </c>
      <c r="K941" s="16">
        <f>IF($J941="",0,LEN($J941))</f>
        <v/>
      </c>
      <c r="L941" s="16">
        <f>IF($I941="","",TEXT(IFERROR(INDEX(tblVeriB[BelgeTarihi],ROW()-ROW(tblVeriB[[#Headers]])),""),"yyyymmdd")&amp;"|"&amp;TEXT(IFERROR(INDEX(tblVeriB[Tutar],ROW()-ROW(tblVeriB[[#Headers]])),0),"0.00"))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 ","")))</f>
        <v/>
      </c>
      <c r="C942" s="16">
        <f>IF($B942="",0,LEN($B942))</f>
        <v/>
      </c>
      <c r="D942" s="16">
        <f>IF($A942="","",TEXT(IFERROR(INDEX(tblVeriA[Tarih],ROW()-ROW(tblVeriA[[#Headers]])),""),"yyyymmdd")&amp;"|"&amp;TEXT(IFERROR(INDEX(tblVeriA[Toplam],ROW()-ROW(tblVeriA[[#Headers]])),0),"0.00"))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 ","")))</f>
        <v/>
      </c>
      <c r="K942" s="16">
        <f>IF($J942="",0,LEN($J942))</f>
        <v/>
      </c>
      <c r="L942" s="16">
        <f>IF($I942="","",TEXT(IFERROR(INDEX(tblVeriB[BelgeTarihi],ROW()-ROW(tblVeriB[[#Headers]])),""),"yyyymmdd")&amp;"|"&amp;TEXT(IFERROR(INDEX(tblVeriB[Tutar],ROW()-ROW(tblVeriB[[#Headers]])),0),"0.00"))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 ","")))</f>
        <v/>
      </c>
      <c r="C943" s="16">
        <f>IF($B943="",0,LEN($B943))</f>
        <v/>
      </c>
      <c r="D943" s="16">
        <f>IF($A943="","",TEXT(IFERROR(INDEX(tblVeriA[Tarih],ROW()-ROW(tblVeriA[[#Headers]])),""),"yyyymmdd")&amp;"|"&amp;TEXT(IFERROR(INDEX(tblVeriA[Toplam],ROW()-ROW(tblVeriA[[#Headers]])),0),"0.00"))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 ","")))</f>
        <v/>
      </c>
      <c r="K943" s="16">
        <f>IF($J943="",0,LEN($J943))</f>
        <v/>
      </c>
      <c r="L943" s="16">
        <f>IF($I943="","",TEXT(IFERROR(INDEX(tblVeriB[BelgeTarihi],ROW()-ROW(tblVeriB[[#Headers]])),""),"yyyymmdd")&amp;"|"&amp;TEXT(IFERROR(INDEX(tblVeriB[Tutar],ROW()-ROW(tblVeriB[[#Headers]])),0),"0.00"))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 ","")))</f>
        <v/>
      </c>
      <c r="C944" s="16">
        <f>IF($B944="",0,LEN($B944))</f>
        <v/>
      </c>
      <c r="D944" s="16">
        <f>IF($A944="","",TEXT(IFERROR(INDEX(tblVeriA[Tarih],ROW()-ROW(tblVeriA[[#Headers]])),""),"yyyymmdd")&amp;"|"&amp;TEXT(IFERROR(INDEX(tblVeriA[Toplam],ROW()-ROW(tblVeriA[[#Headers]])),0),"0.00"))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 ","")))</f>
        <v/>
      </c>
      <c r="K944" s="16">
        <f>IF($J944="",0,LEN($J944))</f>
        <v/>
      </c>
      <c r="L944" s="16">
        <f>IF($I944="","",TEXT(IFERROR(INDEX(tblVeriB[BelgeTarihi],ROW()-ROW(tblVeriB[[#Headers]])),""),"yyyymmdd")&amp;"|"&amp;TEXT(IFERROR(INDEX(tblVeriB[Tutar],ROW()-ROW(tblVeriB[[#Headers]])),0),"0.00"))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 ","")))</f>
        <v/>
      </c>
      <c r="C945" s="16">
        <f>IF($B945="",0,LEN($B945))</f>
        <v/>
      </c>
      <c r="D945" s="16">
        <f>IF($A945="","",TEXT(IFERROR(INDEX(tblVeriA[Tarih],ROW()-ROW(tblVeriA[[#Headers]])),""),"yyyymmdd")&amp;"|"&amp;TEXT(IFERROR(INDEX(tblVeriA[Toplam],ROW()-ROW(tblVeriA[[#Headers]])),0),"0.00"))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 ","")))</f>
        <v/>
      </c>
      <c r="K945" s="16">
        <f>IF($J945="",0,LEN($J945))</f>
        <v/>
      </c>
      <c r="L945" s="16">
        <f>IF($I945="","",TEXT(IFERROR(INDEX(tblVeriB[BelgeTarihi],ROW()-ROW(tblVeriB[[#Headers]])),""),"yyyymmdd")&amp;"|"&amp;TEXT(IFERROR(INDEX(tblVeriB[Tutar],ROW()-ROW(tblVeriB[[#Headers]])),0),"0.00"))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 ","")))</f>
        <v/>
      </c>
      <c r="C946" s="16">
        <f>IF($B946="",0,LEN($B946))</f>
        <v/>
      </c>
      <c r="D946" s="16">
        <f>IF($A946="","",TEXT(IFERROR(INDEX(tblVeriA[Tarih],ROW()-ROW(tblVeriA[[#Headers]])),""),"yyyymmdd")&amp;"|"&amp;TEXT(IFERROR(INDEX(tblVeriA[Toplam],ROW()-ROW(tblVeriA[[#Headers]])),0),"0.00"))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 ","")))</f>
        <v/>
      </c>
      <c r="K946" s="16">
        <f>IF($J946="",0,LEN($J946))</f>
        <v/>
      </c>
      <c r="L946" s="16">
        <f>IF($I946="","",TEXT(IFERROR(INDEX(tblVeriB[BelgeTarihi],ROW()-ROW(tblVeriB[[#Headers]])),""),"yyyymmdd")&amp;"|"&amp;TEXT(IFERROR(INDEX(tblVeriB[Tutar],ROW()-ROW(tblVeriB[[#Headers]])),0),"0.00"))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 ","")))</f>
        <v/>
      </c>
      <c r="C947" s="16">
        <f>IF($B947="",0,LEN($B947))</f>
        <v/>
      </c>
      <c r="D947" s="16">
        <f>IF($A947="","",TEXT(IFERROR(INDEX(tblVeriA[Tarih],ROW()-ROW(tblVeriA[[#Headers]])),""),"yyyymmdd")&amp;"|"&amp;TEXT(IFERROR(INDEX(tblVeriA[Toplam],ROW()-ROW(tblVeriA[[#Headers]])),0),"0.00"))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 ","")))</f>
        <v/>
      </c>
      <c r="K947" s="16">
        <f>IF($J947="",0,LEN($J947))</f>
        <v/>
      </c>
      <c r="L947" s="16">
        <f>IF($I947="","",TEXT(IFERROR(INDEX(tblVeriB[BelgeTarihi],ROW()-ROW(tblVeriB[[#Headers]])),""),"yyyymmdd")&amp;"|"&amp;TEXT(IFERROR(INDEX(tblVeriB[Tutar],ROW()-ROW(tblVeriB[[#Headers]])),0),"0.00"))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 ","")))</f>
        <v/>
      </c>
      <c r="C948" s="16">
        <f>IF($B948="",0,LEN($B948))</f>
        <v/>
      </c>
      <c r="D948" s="16">
        <f>IF($A948="","",TEXT(IFERROR(INDEX(tblVeriA[Tarih],ROW()-ROW(tblVeriA[[#Headers]])),""),"yyyymmdd")&amp;"|"&amp;TEXT(IFERROR(INDEX(tblVeriA[Toplam],ROW()-ROW(tblVeriA[[#Headers]])),0),"0.00"))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 ","")))</f>
        <v/>
      </c>
      <c r="K948" s="16">
        <f>IF($J948="",0,LEN($J948))</f>
        <v/>
      </c>
      <c r="L948" s="16">
        <f>IF($I948="","",TEXT(IFERROR(INDEX(tblVeriB[BelgeTarihi],ROW()-ROW(tblVeriB[[#Headers]])),""),"yyyymmdd")&amp;"|"&amp;TEXT(IFERROR(INDEX(tblVeriB[Tutar],ROW()-ROW(tblVeriB[[#Headers]])),0),"0.00"))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 ","")))</f>
        <v/>
      </c>
      <c r="C949" s="16">
        <f>IF($B949="",0,LEN($B949))</f>
        <v/>
      </c>
      <c r="D949" s="16">
        <f>IF($A949="","",TEXT(IFERROR(INDEX(tblVeriA[Tarih],ROW()-ROW(tblVeriA[[#Headers]])),""),"yyyymmdd")&amp;"|"&amp;TEXT(IFERROR(INDEX(tblVeriA[Toplam],ROW()-ROW(tblVeriA[[#Headers]])),0),"0.00"))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 ","")))</f>
        <v/>
      </c>
      <c r="K949" s="16">
        <f>IF($J949="",0,LEN($J949))</f>
        <v/>
      </c>
      <c r="L949" s="16">
        <f>IF($I949="","",TEXT(IFERROR(INDEX(tblVeriB[BelgeTarihi],ROW()-ROW(tblVeriB[[#Headers]])),""),"yyyymmdd")&amp;"|"&amp;TEXT(IFERROR(INDEX(tblVeriB[Tutar],ROW()-ROW(tblVeriB[[#Headers]])),0),"0.00"))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 ","")))</f>
        <v/>
      </c>
      <c r="C950" s="16">
        <f>IF($B950="",0,LEN($B950))</f>
        <v/>
      </c>
      <c r="D950" s="16">
        <f>IF($A950="","",TEXT(IFERROR(INDEX(tblVeriA[Tarih],ROW()-ROW(tblVeriA[[#Headers]])),""),"yyyymmdd")&amp;"|"&amp;TEXT(IFERROR(INDEX(tblVeriA[Toplam],ROW()-ROW(tblVeriA[[#Headers]])),0),"0.00"))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 ","")))</f>
        <v/>
      </c>
      <c r="K950" s="16">
        <f>IF($J950="",0,LEN($J950))</f>
        <v/>
      </c>
      <c r="L950" s="16">
        <f>IF($I950="","",TEXT(IFERROR(INDEX(tblVeriB[BelgeTarihi],ROW()-ROW(tblVeriB[[#Headers]])),""),"yyyymmdd")&amp;"|"&amp;TEXT(IFERROR(INDEX(tblVeriB[Tutar],ROW()-ROW(tblVeriB[[#Headers]])),0),"0.00"))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 ","")))</f>
        <v/>
      </c>
      <c r="C951" s="16">
        <f>IF($B951="",0,LEN($B951))</f>
        <v/>
      </c>
      <c r="D951" s="16">
        <f>IF($A951="","",TEXT(IFERROR(INDEX(tblVeriA[Tarih],ROW()-ROW(tblVeriA[[#Headers]])),""),"yyyymmdd")&amp;"|"&amp;TEXT(IFERROR(INDEX(tblVeriA[Toplam],ROW()-ROW(tblVeriA[[#Headers]])),0),"0.00"))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 ","")))</f>
        <v/>
      </c>
      <c r="K951" s="16">
        <f>IF($J951="",0,LEN($J951))</f>
        <v/>
      </c>
      <c r="L951" s="16">
        <f>IF($I951="","",TEXT(IFERROR(INDEX(tblVeriB[BelgeTarihi],ROW()-ROW(tblVeriB[[#Headers]])),""),"yyyymmdd")&amp;"|"&amp;TEXT(IFERROR(INDEX(tblVeriB[Tutar],ROW()-ROW(tblVeriB[[#Headers]])),0),"0.00"))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 ","")))</f>
        <v/>
      </c>
      <c r="C952" s="16">
        <f>IF($B952="",0,LEN($B952))</f>
        <v/>
      </c>
      <c r="D952" s="16">
        <f>IF($A952="","",TEXT(IFERROR(INDEX(tblVeriA[Tarih],ROW()-ROW(tblVeriA[[#Headers]])),""),"yyyymmdd")&amp;"|"&amp;TEXT(IFERROR(INDEX(tblVeriA[Toplam],ROW()-ROW(tblVeriA[[#Headers]])),0),"0.00"))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 ","")))</f>
        <v/>
      </c>
      <c r="K952" s="16">
        <f>IF($J952="",0,LEN($J952))</f>
        <v/>
      </c>
      <c r="L952" s="16">
        <f>IF($I952="","",TEXT(IFERROR(INDEX(tblVeriB[BelgeTarihi],ROW()-ROW(tblVeriB[[#Headers]])),""),"yyyymmdd")&amp;"|"&amp;TEXT(IFERROR(INDEX(tblVeriB[Tutar],ROW()-ROW(tblVeriB[[#Headers]])),0),"0.00"))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 ","")))</f>
        <v/>
      </c>
      <c r="C953" s="16">
        <f>IF($B953="",0,LEN($B953))</f>
        <v/>
      </c>
      <c r="D953" s="16">
        <f>IF($A953="","",TEXT(IFERROR(INDEX(tblVeriA[Tarih],ROW()-ROW(tblVeriA[[#Headers]])),""),"yyyymmdd")&amp;"|"&amp;TEXT(IFERROR(INDEX(tblVeriA[Toplam],ROW()-ROW(tblVeriA[[#Headers]])),0),"0.00"))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 ","")))</f>
        <v/>
      </c>
      <c r="K953" s="16">
        <f>IF($J953="",0,LEN($J953))</f>
        <v/>
      </c>
      <c r="L953" s="16">
        <f>IF($I953="","",TEXT(IFERROR(INDEX(tblVeriB[BelgeTarihi],ROW()-ROW(tblVeriB[[#Headers]])),""),"yyyymmdd")&amp;"|"&amp;TEXT(IFERROR(INDEX(tblVeriB[Tutar],ROW()-ROW(tblVeriB[[#Headers]])),0),"0.00"))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 ","")))</f>
        <v/>
      </c>
      <c r="C954" s="16">
        <f>IF($B954="",0,LEN($B954))</f>
        <v/>
      </c>
      <c r="D954" s="16">
        <f>IF($A954="","",TEXT(IFERROR(INDEX(tblVeriA[Tarih],ROW()-ROW(tblVeriA[[#Headers]])),""),"yyyymmdd")&amp;"|"&amp;TEXT(IFERROR(INDEX(tblVeriA[Toplam],ROW()-ROW(tblVeriA[[#Headers]])),0),"0.00"))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 ","")))</f>
        <v/>
      </c>
      <c r="K954" s="16">
        <f>IF($J954="",0,LEN($J954))</f>
        <v/>
      </c>
      <c r="L954" s="16">
        <f>IF($I954="","",TEXT(IFERROR(INDEX(tblVeriB[BelgeTarihi],ROW()-ROW(tblVeriB[[#Headers]])),""),"yyyymmdd")&amp;"|"&amp;TEXT(IFERROR(INDEX(tblVeriB[Tutar],ROW()-ROW(tblVeriB[[#Headers]])),0),"0.00"))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 ","")))</f>
        <v/>
      </c>
      <c r="C955" s="16">
        <f>IF($B955="",0,LEN($B955))</f>
        <v/>
      </c>
      <c r="D955" s="16">
        <f>IF($A955="","",TEXT(IFERROR(INDEX(tblVeriA[Tarih],ROW()-ROW(tblVeriA[[#Headers]])),""),"yyyymmdd")&amp;"|"&amp;TEXT(IFERROR(INDEX(tblVeriA[Toplam],ROW()-ROW(tblVeriA[[#Headers]])),0),"0.00"))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 ","")))</f>
        <v/>
      </c>
      <c r="K955" s="16">
        <f>IF($J955="",0,LEN($J955))</f>
        <v/>
      </c>
      <c r="L955" s="16">
        <f>IF($I955="","",TEXT(IFERROR(INDEX(tblVeriB[BelgeTarihi],ROW()-ROW(tblVeriB[[#Headers]])),""),"yyyymmdd")&amp;"|"&amp;TEXT(IFERROR(INDEX(tblVeriB[Tutar],ROW()-ROW(tblVeriB[[#Headers]])),0),"0.00"))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 ","")))</f>
        <v/>
      </c>
      <c r="C956" s="16">
        <f>IF($B956="",0,LEN($B956))</f>
        <v/>
      </c>
      <c r="D956" s="16">
        <f>IF($A956="","",TEXT(IFERROR(INDEX(tblVeriA[Tarih],ROW()-ROW(tblVeriA[[#Headers]])),""),"yyyymmdd")&amp;"|"&amp;TEXT(IFERROR(INDEX(tblVeriA[Toplam],ROW()-ROW(tblVeriA[[#Headers]])),0),"0.00"))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 ","")))</f>
        <v/>
      </c>
      <c r="K956" s="16">
        <f>IF($J956="",0,LEN($J956))</f>
        <v/>
      </c>
      <c r="L956" s="16">
        <f>IF($I956="","",TEXT(IFERROR(INDEX(tblVeriB[BelgeTarihi],ROW()-ROW(tblVeriB[[#Headers]])),""),"yyyymmdd")&amp;"|"&amp;TEXT(IFERROR(INDEX(tblVeriB[Tutar],ROW()-ROW(tblVeriB[[#Headers]])),0),"0.00"))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 ","")))</f>
        <v/>
      </c>
      <c r="C957" s="16">
        <f>IF($B957="",0,LEN($B957))</f>
        <v/>
      </c>
      <c r="D957" s="16">
        <f>IF($A957="","",TEXT(IFERROR(INDEX(tblVeriA[Tarih],ROW()-ROW(tblVeriA[[#Headers]])),""),"yyyymmdd")&amp;"|"&amp;TEXT(IFERROR(INDEX(tblVeriA[Toplam],ROW()-ROW(tblVeriA[[#Headers]])),0),"0.00"))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 ","")))</f>
        <v/>
      </c>
      <c r="K957" s="16">
        <f>IF($J957="",0,LEN($J957))</f>
        <v/>
      </c>
      <c r="L957" s="16">
        <f>IF($I957="","",TEXT(IFERROR(INDEX(tblVeriB[BelgeTarihi],ROW()-ROW(tblVeriB[[#Headers]])),""),"yyyymmdd")&amp;"|"&amp;TEXT(IFERROR(INDEX(tblVeriB[Tutar],ROW()-ROW(tblVeriB[[#Headers]])),0),"0.00"))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 ","")))</f>
        <v/>
      </c>
      <c r="C958" s="16">
        <f>IF($B958="",0,LEN($B958))</f>
        <v/>
      </c>
      <c r="D958" s="16">
        <f>IF($A958="","",TEXT(IFERROR(INDEX(tblVeriA[Tarih],ROW()-ROW(tblVeriA[[#Headers]])),""),"yyyymmdd")&amp;"|"&amp;TEXT(IFERROR(INDEX(tblVeriA[Toplam],ROW()-ROW(tblVeriA[[#Headers]])),0),"0.00"))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 ","")))</f>
        <v/>
      </c>
      <c r="K958" s="16">
        <f>IF($J958="",0,LEN($J958))</f>
        <v/>
      </c>
      <c r="L958" s="16">
        <f>IF($I958="","",TEXT(IFERROR(INDEX(tblVeriB[BelgeTarihi],ROW()-ROW(tblVeriB[[#Headers]])),""),"yyyymmdd")&amp;"|"&amp;TEXT(IFERROR(INDEX(tblVeriB[Tutar],ROW()-ROW(tblVeriB[[#Headers]])),0),"0.00"))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 ","")))</f>
        <v/>
      </c>
      <c r="C959" s="16">
        <f>IF($B959="",0,LEN($B959))</f>
        <v/>
      </c>
      <c r="D959" s="16">
        <f>IF($A959="","",TEXT(IFERROR(INDEX(tblVeriA[Tarih],ROW()-ROW(tblVeriA[[#Headers]])),""),"yyyymmdd")&amp;"|"&amp;TEXT(IFERROR(INDEX(tblVeriA[Toplam],ROW()-ROW(tblVeriA[[#Headers]])),0),"0.00"))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 ","")))</f>
        <v/>
      </c>
      <c r="K959" s="16">
        <f>IF($J959="",0,LEN($J959))</f>
        <v/>
      </c>
      <c r="L959" s="16">
        <f>IF($I959="","",TEXT(IFERROR(INDEX(tblVeriB[BelgeTarihi],ROW()-ROW(tblVeriB[[#Headers]])),""),"yyyymmdd")&amp;"|"&amp;TEXT(IFERROR(INDEX(tblVeriB[Tutar],ROW()-ROW(tblVeriB[[#Headers]])),0),"0.00"))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 ","")))</f>
        <v/>
      </c>
      <c r="C960" s="16">
        <f>IF($B960="",0,LEN($B960))</f>
        <v/>
      </c>
      <c r="D960" s="16">
        <f>IF($A960="","",TEXT(IFERROR(INDEX(tblVeriA[Tarih],ROW()-ROW(tblVeriA[[#Headers]])),""),"yyyymmdd")&amp;"|"&amp;TEXT(IFERROR(INDEX(tblVeriA[Toplam],ROW()-ROW(tblVeriA[[#Headers]])),0),"0.00"))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 ","")))</f>
        <v/>
      </c>
      <c r="K960" s="16">
        <f>IF($J960="",0,LEN($J960))</f>
        <v/>
      </c>
      <c r="L960" s="16">
        <f>IF($I960="","",TEXT(IFERROR(INDEX(tblVeriB[BelgeTarihi],ROW()-ROW(tblVeriB[[#Headers]])),""),"yyyymmdd")&amp;"|"&amp;TEXT(IFERROR(INDEX(tblVeriB[Tutar],ROW()-ROW(tblVeriB[[#Headers]])),0),"0.00"))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 ","")))</f>
        <v/>
      </c>
      <c r="C961" s="16">
        <f>IF($B961="",0,LEN($B961))</f>
        <v/>
      </c>
      <c r="D961" s="16">
        <f>IF($A961="","",TEXT(IFERROR(INDEX(tblVeriA[Tarih],ROW()-ROW(tblVeriA[[#Headers]])),""),"yyyymmdd")&amp;"|"&amp;TEXT(IFERROR(INDEX(tblVeriA[Toplam],ROW()-ROW(tblVeriA[[#Headers]])),0),"0.00"))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 ","")))</f>
        <v/>
      </c>
      <c r="K961" s="16">
        <f>IF($J961="",0,LEN($J961))</f>
        <v/>
      </c>
      <c r="L961" s="16">
        <f>IF($I961="","",TEXT(IFERROR(INDEX(tblVeriB[BelgeTarihi],ROW()-ROW(tblVeriB[[#Headers]])),""),"yyyymmdd")&amp;"|"&amp;TEXT(IFERROR(INDEX(tblVeriB[Tutar],ROW()-ROW(tblVeriB[[#Headers]])),0),"0.00"))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 ","")))</f>
        <v/>
      </c>
      <c r="C962" s="16">
        <f>IF($B962="",0,LEN($B962))</f>
        <v/>
      </c>
      <c r="D962" s="16">
        <f>IF($A962="","",TEXT(IFERROR(INDEX(tblVeriA[Tarih],ROW()-ROW(tblVeriA[[#Headers]])),""),"yyyymmdd")&amp;"|"&amp;TEXT(IFERROR(INDEX(tblVeriA[Toplam],ROW()-ROW(tblVeriA[[#Headers]])),0),"0.00"))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 ","")))</f>
        <v/>
      </c>
      <c r="K962" s="16">
        <f>IF($J962="",0,LEN($J962))</f>
        <v/>
      </c>
      <c r="L962" s="16">
        <f>IF($I962="","",TEXT(IFERROR(INDEX(tblVeriB[BelgeTarihi],ROW()-ROW(tblVeriB[[#Headers]])),""),"yyyymmdd")&amp;"|"&amp;TEXT(IFERROR(INDEX(tblVeriB[Tutar],ROW()-ROW(tblVeriB[[#Headers]])),0),"0.00"))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 ","")))</f>
        <v/>
      </c>
      <c r="C963" s="16">
        <f>IF($B963="",0,LEN($B963))</f>
        <v/>
      </c>
      <c r="D963" s="16">
        <f>IF($A963="","",TEXT(IFERROR(INDEX(tblVeriA[Tarih],ROW()-ROW(tblVeriA[[#Headers]])),""),"yyyymmdd")&amp;"|"&amp;TEXT(IFERROR(INDEX(tblVeriA[Toplam],ROW()-ROW(tblVeriA[[#Headers]])),0),"0.00"))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 ","")))</f>
        <v/>
      </c>
      <c r="K963" s="16">
        <f>IF($J963="",0,LEN($J963))</f>
        <v/>
      </c>
      <c r="L963" s="16">
        <f>IF($I963="","",TEXT(IFERROR(INDEX(tblVeriB[BelgeTarihi],ROW()-ROW(tblVeriB[[#Headers]])),""),"yyyymmdd")&amp;"|"&amp;TEXT(IFERROR(INDEX(tblVeriB[Tutar],ROW()-ROW(tblVeriB[[#Headers]])),0),"0.00"))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 ","")))</f>
        <v/>
      </c>
      <c r="C964" s="16">
        <f>IF($B964="",0,LEN($B964))</f>
        <v/>
      </c>
      <c r="D964" s="16">
        <f>IF($A964="","",TEXT(IFERROR(INDEX(tblVeriA[Tarih],ROW()-ROW(tblVeriA[[#Headers]])),""),"yyyymmdd")&amp;"|"&amp;TEXT(IFERROR(INDEX(tblVeriA[Toplam],ROW()-ROW(tblVeriA[[#Headers]])),0),"0.00"))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 ","")))</f>
        <v/>
      </c>
      <c r="K964" s="16">
        <f>IF($J964="",0,LEN($J964))</f>
        <v/>
      </c>
      <c r="L964" s="16">
        <f>IF($I964="","",TEXT(IFERROR(INDEX(tblVeriB[BelgeTarihi],ROW()-ROW(tblVeriB[[#Headers]])),""),"yyyymmdd")&amp;"|"&amp;TEXT(IFERROR(INDEX(tblVeriB[Tutar],ROW()-ROW(tblVeriB[[#Headers]])),0),"0.00"))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 ","")))</f>
        <v/>
      </c>
      <c r="C965" s="16">
        <f>IF($B965="",0,LEN($B965))</f>
        <v/>
      </c>
      <c r="D965" s="16">
        <f>IF($A965="","",TEXT(IFERROR(INDEX(tblVeriA[Tarih],ROW()-ROW(tblVeriA[[#Headers]])),""),"yyyymmdd")&amp;"|"&amp;TEXT(IFERROR(INDEX(tblVeriA[Toplam],ROW()-ROW(tblVeriA[[#Headers]])),0),"0.00"))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 ","")))</f>
        <v/>
      </c>
      <c r="K965" s="16">
        <f>IF($J965="",0,LEN($J965))</f>
        <v/>
      </c>
      <c r="L965" s="16">
        <f>IF($I965="","",TEXT(IFERROR(INDEX(tblVeriB[BelgeTarihi],ROW()-ROW(tblVeriB[[#Headers]])),""),"yyyymmdd")&amp;"|"&amp;TEXT(IFERROR(INDEX(tblVeriB[Tutar],ROW()-ROW(tblVeriB[[#Headers]])),0),"0.00"))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 ","")))</f>
        <v/>
      </c>
      <c r="C966" s="16">
        <f>IF($B966="",0,LEN($B966))</f>
        <v/>
      </c>
      <c r="D966" s="16">
        <f>IF($A966="","",TEXT(IFERROR(INDEX(tblVeriA[Tarih],ROW()-ROW(tblVeriA[[#Headers]])),""),"yyyymmdd")&amp;"|"&amp;TEXT(IFERROR(INDEX(tblVeriA[Toplam],ROW()-ROW(tblVeriA[[#Headers]])),0),"0.00"))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 ","")))</f>
        <v/>
      </c>
      <c r="K966" s="16">
        <f>IF($J966="",0,LEN($J966))</f>
        <v/>
      </c>
      <c r="L966" s="16">
        <f>IF($I966="","",TEXT(IFERROR(INDEX(tblVeriB[BelgeTarihi],ROW()-ROW(tblVeriB[[#Headers]])),""),"yyyymmdd")&amp;"|"&amp;TEXT(IFERROR(INDEX(tblVeriB[Tutar],ROW()-ROW(tblVeriB[[#Headers]])),0),"0.00"))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 ","")))</f>
        <v/>
      </c>
      <c r="C967" s="16">
        <f>IF($B967="",0,LEN($B967))</f>
        <v/>
      </c>
      <c r="D967" s="16">
        <f>IF($A967="","",TEXT(IFERROR(INDEX(tblVeriA[Tarih],ROW()-ROW(tblVeriA[[#Headers]])),""),"yyyymmdd")&amp;"|"&amp;TEXT(IFERROR(INDEX(tblVeriA[Toplam],ROW()-ROW(tblVeriA[[#Headers]])),0),"0.00"))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 ","")))</f>
        <v/>
      </c>
      <c r="K967" s="16">
        <f>IF($J967="",0,LEN($J967))</f>
        <v/>
      </c>
      <c r="L967" s="16">
        <f>IF($I967="","",TEXT(IFERROR(INDEX(tblVeriB[BelgeTarihi],ROW()-ROW(tblVeriB[[#Headers]])),""),"yyyymmdd")&amp;"|"&amp;TEXT(IFERROR(INDEX(tblVeriB[Tutar],ROW()-ROW(tblVeriB[[#Headers]])),0),"0.00"))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 ","")))</f>
        <v/>
      </c>
      <c r="C968" s="16">
        <f>IF($B968="",0,LEN($B968))</f>
        <v/>
      </c>
      <c r="D968" s="16">
        <f>IF($A968="","",TEXT(IFERROR(INDEX(tblVeriA[Tarih],ROW()-ROW(tblVeriA[[#Headers]])),""),"yyyymmdd")&amp;"|"&amp;TEXT(IFERROR(INDEX(tblVeriA[Toplam],ROW()-ROW(tblVeriA[[#Headers]])),0),"0.00"))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 ","")))</f>
        <v/>
      </c>
      <c r="K968" s="16">
        <f>IF($J968="",0,LEN($J968))</f>
        <v/>
      </c>
      <c r="L968" s="16">
        <f>IF($I968="","",TEXT(IFERROR(INDEX(tblVeriB[BelgeTarihi],ROW()-ROW(tblVeriB[[#Headers]])),""),"yyyymmdd")&amp;"|"&amp;TEXT(IFERROR(INDEX(tblVeriB[Tutar],ROW()-ROW(tblVeriB[[#Headers]])),0),"0.00"))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 ","")))</f>
        <v/>
      </c>
      <c r="C969" s="16">
        <f>IF($B969="",0,LEN($B969))</f>
        <v/>
      </c>
      <c r="D969" s="16">
        <f>IF($A969="","",TEXT(IFERROR(INDEX(tblVeriA[Tarih],ROW()-ROW(tblVeriA[[#Headers]])),""),"yyyymmdd")&amp;"|"&amp;TEXT(IFERROR(INDEX(tblVeriA[Toplam],ROW()-ROW(tblVeriA[[#Headers]])),0),"0.00"))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 ","")))</f>
        <v/>
      </c>
      <c r="K969" s="16">
        <f>IF($J969="",0,LEN($J969))</f>
        <v/>
      </c>
      <c r="L969" s="16">
        <f>IF($I969="","",TEXT(IFERROR(INDEX(tblVeriB[BelgeTarihi],ROW()-ROW(tblVeriB[[#Headers]])),""),"yyyymmdd")&amp;"|"&amp;TEXT(IFERROR(INDEX(tblVeriB[Tutar],ROW()-ROW(tblVeriB[[#Headers]])),0),"0.00"))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 ","")))</f>
        <v/>
      </c>
      <c r="C970" s="16">
        <f>IF($B970="",0,LEN($B970))</f>
        <v/>
      </c>
      <c r="D970" s="16">
        <f>IF($A970="","",TEXT(IFERROR(INDEX(tblVeriA[Tarih],ROW()-ROW(tblVeriA[[#Headers]])),""),"yyyymmdd")&amp;"|"&amp;TEXT(IFERROR(INDEX(tblVeriA[Toplam],ROW()-ROW(tblVeriA[[#Headers]])),0),"0.00"))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 ","")))</f>
        <v/>
      </c>
      <c r="K970" s="16">
        <f>IF($J970="",0,LEN($J970))</f>
        <v/>
      </c>
      <c r="L970" s="16">
        <f>IF($I970="","",TEXT(IFERROR(INDEX(tblVeriB[BelgeTarihi],ROW()-ROW(tblVeriB[[#Headers]])),""),"yyyymmdd")&amp;"|"&amp;TEXT(IFERROR(INDEX(tblVeriB[Tutar],ROW()-ROW(tblVeriB[[#Headers]])),0),"0.00"))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 ","")))</f>
        <v/>
      </c>
      <c r="C971" s="16">
        <f>IF($B971="",0,LEN($B971))</f>
        <v/>
      </c>
      <c r="D971" s="16">
        <f>IF($A971="","",TEXT(IFERROR(INDEX(tblVeriA[Tarih],ROW()-ROW(tblVeriA[[#Headers]])),""),"yyyymmdd")&amp;"|"&amp;TEXT(IFERROR(INDEX(tblVeriA[Toplam],ROW()-ROW(tblVeriA[[#Headers]])),0),"0.00"))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 ","")))</f>
        <v/>
      </c>
      <c r="K971" s="16">
        <f>IF($J971="",0,LEN($J971))</f>
        <v/>
      </c>
      <c r="L971" s="16">
        <f>IF($I971="","",TEXT(IFERROR(INDEX(tblVeriB[BelgeTarihi],ROW()-ROW(tblVeriB[[#Headers]])),""),"yyyymmdd")&amp;"|"&amp;TEXT(IFERROR(INDEX(tblVeriB[Tutar],ROW()-ROW(tblVeriB[[#Headers]])),0),"0.00"))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 ","")))</f>
        <v/>
      </c>
      <c r="C972" s="16">
        <f>IF($B972="",0,LEN($B972))</f>
        <v/>
      </c>
      <c r="D972" s="16">
        <f>IF($A972="","",TEXT(IFERROR(INDEX(tblVeriA[Tarih],ROW()-ROW(tblVeriA[[#Headers]])),""),"yyyymmdd")&amp;"|"&amp;TEXT(IFERROR(INDEX(tblVeriA[Toplam],ROW()-ROW(tblVeriA[[#Headers]])),0),"0.00"))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 ","")))</f>
        <v/>
      </c>
      <c r="K972" s="16">
        <f>IF($J972="",0,LEN($J972))</f>
        <v/>
      </c>
      <c r="L972" s="16">
        <f>IF($I972="","",TEXT(IFERROR(INDEX(tblVeriB[BelgeTarihi],ROW()-ROW(tblVeriB[[#Headers]])),""),"yyyymmdd")&amp;"|"&amp;TEXT(IFERROR(INDEX(tblVeriB[Tutar],ROW()-ROW(tblVeriB[[#Headers]])),0),"0.00"))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 ","")))</f>
        <v/>
      </c>
      <c r="C973" s="16">
        <f>IF($B973="",0,LEN($B973))</f>
        <v/>
      </c>
      <c r="D973" s="16">
        <f>IF($A973="","",TEXT(IFERROR(INDEX(tblVeriA[Tarih],ROW()-ROW(tblVeriA[[#Headers]])),""),"yyyymmdd")&amp;"|"&amp;TEXT(IFERROR(INDEX(tblVeriA[Toplam],ROW()-ROW(tblVeriA[[#Headers]])),0),"0.00"))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 ","")))</f>
        <v/>
      </c>
      <c r="K973" s="16">
        <f>IF($J973="",0,LEN($J973))</f>
        <v/>
      </c>
      <c r="L973" s="16">
        <f>IF($I973="","",TEXT(IFERROR(INDEX(tblVeriB[BelgeTarihi],ROW()-ROW(tblVeriB[[#Headers]])),""),"yyyymmdd")&amp;"|"&amp;TEXT(IFERROR(INDEX(tblVeriB[Tutar],ROW()-ROW(tblVeriB[[#Headers]])),0),"0.00"))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 ","")))</f>
        <v/>
      </c>
      <c r="C974" s="16">
        <f>IF($B974="",0,LEN($B974))</f>
        <v/>
      </c>
      <c r="D974" s="16">
        <f>IF($A974="","",TEXT(IFERROR(INDEX(tblVeriA[Tarih],ROW()-ROW(tblVeriA[[#Headers]])),""),"yyyymmdd")&amp;"|"&amp;TEXT(IFERROR(INDEX(tblVeriA[Toplam],ROW()-ROW(tblVeriA[[#Headers]])),0),"0.00"))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 ","")))</f>
        <v/>
      </c>
      <c r="K974" s="16">
        <f>IF($J974="",0,LEN($J974))</f>
        <v/>
      </c>
      <c r="L974" s="16">
        <f>IF($I974="","",TEXT(IFERROR(INDEX(tblVeriB[BelgeTarihi],ROW()-ROW(tblVeriB[[#Headers]])),""),"yyyymmdd")&amp;"|"&amp;TEXT(IFERROR(INDEX(tblVeriB[Tutar],ROW()-ROW(tblVeriB[[#Headers]])),0),"0.00"))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 ","")))</f>
        <v/>
      </c>
      <c r="C975" s="16">
        <f>IF($B975="",0,LEN($B975))</f>
        <v/>
      </c>
      <c r="D975" s="16">
        <f>IF($A975="","",TEXT(IFERROR(INDEX(tblVeriA[Tarih],ROW()-ROW(tblVeriA[[#Headers]])),""),"yyyymmdd")&amp;"|"&amp;TEXT(IFERROR(INDEX(tblVeriA[Toplam],ROW()-ROW(tblVeriA[[#Headers]])),0),"0.00"))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 ","")))</f>
        <v/>
      </c>
      <c r="K975" s="16">
        <f>IF($J975="",0,LEN($J975))</f>
        <v/>
      </c>
      <c r="L975" s="16">
        <f>IF($I975="","",TEXT(IFERROR(INDEX(tblVeriB[BelgeTarihi],ROW()-ROW(tblVeriB[[#Headers]])),""),"yyyymmdd")&amp;"|"&amp;TEXT(IFERROR(INDEX(tblVeriB[Tutar],ROW()-ROW(tblVeriB[[#Headers]])),0),"0.00"))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 ","")))</f>
        <v/>
      </c>
      <c r="C976" s="16">
        <f>IF($B976="",0,LEN($B976))</f>
        <v/>
      </c>
      <c r="D976" s="16">
        <f>IF($A976="","",TEXT(IFERROR(INDEX(tblVeriA[Tarih],ROW()-ROW(tblVeriA[[#Headers]])),""),"yyyymmdd")&amp;"|"&amp;TEXT(IFERROR(INDEX(tblVeriA[Toplam],ROW()-ROW(tblVeriA[[#Headers]])),0),"0.00"))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 ","")))</f>
        <v/>
      </c>
      <c r="K976" s="16">
        <f>IF($J976="",0,LEN($J976))</f>
        <v/>
      </c>
      <c r="L976" s="16">
        <f>IF($I976="","",TEXT(IFERROR(INDEX(tblVeriB[BelgeTarihi],ROW()-ROW(tblVeriB[[#Headers]])),""),"yyyymmdd")&amp;"|"&amp;TEXT(IFERROR(INDEX(tblVeriB[Tutar],ROW()-ROW(tblVeriB[[#Headers]])),0),"0.00"))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 ","")))</f>
        <v/>
      </c>
      <c r="C977" s="16">
        <f>IF($B977="",0,LEN($B977))</f>
        <v/>
      </c>
      <c r="D977" s="16">
        <f>IF($A977="","",TEXT(IFERROR(INDEX(tblVeriA[Tarih],ROW()-ROW(tblVeriA[[#Headers]])),""),"yyyymmdd")&amp;"|"&amp;TEXT(IFERROR(INDEX(tblVeriA[Toplam],ROW()-ROW(tblVeriA[[#Headers]])),0),"0.00"))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 ","")))</f>
        <v/>
      </c>
      <c r="K977" s="16">
        <f>IF($J977="",0,LEN($J977))</f>
        <v/>
      </c>
      <c r="L977" s="16">
        <f>IF($I977="","",TEXT(IFERROR(INDEX(tblVeriB[BelgeTarihi],ROW()-ROW(tblVeriB[[#Headers]])),""),"yyyymmdd")&amp;"|"&amp;TEXT(IFERROR(INDEX(tblVeriB[Tutar],ROW()-ROW(tblVeriB[[#Headers]])),0),"0.00"))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 ","")))</f>
        <v/>
      </c>
      <c r="C978" s="16">
        <f>IF($B978="",0,LEN($B978))</f>
        <v/>
      </c>
      <c r="D978" s="16">
        <f>IF($A978="","",TEXT(IFERROR(INDEX(tblVeriA[Tarih],ROW()-ROW(tblVeriA[[#Headers]])),""),"yyyymmdd")&amp;"|"&amp;TEXT(IFERROR(INDEX(tblVeriA[Toplam],ROW()-ROW(tblVeriA[[#Headers]])),0),"0.00"))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 ","")))</f>
        <v/>
      </c>
      <c r="K978" s="16">
        <f>IF($J978="",0,LEN($J978))</f>
        <v/>
      </c>
      <c r="L978" s="16">
        <f>IF($I978="","",TEXT(IFERROR(INDEX(tblVeriB[BelgeTarihi],ROW()-ROW(tblVeriB[[#Headers]])),""),"yyyymmdd")&amp;"|"&amp;TEXT(IFERROR(INDEX(tblVeriB[Tutar],ROW()-ROW(tblVeriB[[#Headers]])),0),"0.00"))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 ","")))</f>
        <v/>
      </c>
      <c r="C979" s="16">
        <f>IF($B979="",0,LEN($B979))</f>
        <v/>
      </c>
      <c r="D979" s="16">
        <f>IF($A979="","",TEXT(IFERROR(INDEX(tblVeriA[Tarih],ROW()-ROW(tblVeriA[[#Headers]])),""),"yyyymmdd")&amp;"|"&amp;TEXT(IFERROR(INDEX(tblVeriA[Toplam],ROW()-ROW(tblVeriA[[#Headers]])),0),"0.00"))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 ","")))</f>
        <v/>
      </c>
      <c r="K979" s="16">
        <f>IF($J979="",0,LEN($J979))</f>
        <v/>
      </c>
      <c r="L979" s="16">
        <f>IF($I979="","",TEXT(IFERROR(INDEX(tblVeriB[BelgeTarihi],ROW()-ROW(tblVeriB[[#Headers]])),""),"yyyymmdd")&amp;"|"&amp;TEXT(IFERROR(INDEX(tblVeriB[Tutar],ROW()-ROW(tblVeriB[[#Headers]])),0),"0.00"))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 ","")))</f>
        <v/>
      </c>
      <c r="C980" s="16">
        <f>IF($B980="",0,LEN($B980))</f>
        <v/>
      </c>
      <c r="D980" s="16">
        <f>IF($A980="","",TEXT(IFERROR(INDEX(tblVeriA[Tarih],ROW()-ROW(tblVeriA[[#Headers]])),""),"yyyymmdd")&amp;"|"&amp;TEXT(IFERROR(INDEX(tblVeriA[Toplam],ROW()-ROW(tblVeriA[[#Headers]])),0),"0.00"))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 ","")))</f>
        <v/>
      </c>
      <c r="K980" s="16">
        <f>IF($J980="",0,LEN($J980))</f>
        <v/>
      </c>
      <c r="L980" s="16">
        <f>IF($I980="","",TEXT(IFERROR(INDEX(tblVeriB[BelgeTarihi],ROW()-ROW(tblVeriB[[#Headers]])),""),"yyyymmdd")&amp;"|"&amp;TEXT(IFERROR(INDEX(tblVeriB[Tutar],ROW()-ROW(tblVeriB[[#Headers]])),0),"0.00"))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 ","")))</f>
        <v/>
      </c>
      <c r="C981" s="16">
        <f>IF($B981="",0,LEN($B981))</f>
        <v/>
      </c>
      <c r="D981" s="16">
        <f>IF($A981="","",TEXT(IFERROR(INDEX(tblVeriA[Tarih],ROW()-ROW(tblVeriA[[#Headers]])),""),"yyyymmdd")&amp;"|"&amp;TEXT(IFERROR(INDEX(tblVeriA[Toplam],ROW()-ROW(tblVeriA[[#Headers]])),0),"0.00"))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 ","")))</f>
        <v/>
      </c>
      <c r="K981" s="16">
        <f>IF($J981="",0,LEN($J981))</f>
        <v/>
      </c>
      <c r="L981" s="16">
        <f>IF($I981="","",TEXT(IFERROR(INDEX(tblVeriB[BelgeTarihi],ROW()-ROW(tblVeriB[[#Headers]])),""),"yyyymmdd")&amp;"|"&amp;TEXT(IFERROR(INDEX(tblVeriB[Tutar],ROW()-ROW(tblVeriB[[#Headers]])),0),"0.00"))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 ","")))</f>
        <v/>
      </c>
      <c r="C982" s="16">
        <f>IF($B982="",0,LEN($B982))</f>
        <v/>
      </c>
      <c r="D982" s="16">
        <f>IF($A982="","",TEXT(IFERROR(INDEX(tblVeriA[Tarih],ROW()-ROW(tblVeriA[[#Headers]])),""),"yyyymmdd")&amp;"|"&amp;TEXT(IFERROR(INDEX(tblVeriA[Toplam],ROW()-ROW(tblVeriA[[#Headers]])),0),"0.00"))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 ","")))</f>
        <v/>
      </c>
      <c r="K982" s="16">
        <f>IF($J982="",0,LEN($J982))</f>
        <v/>
      </c>
      <c r="L982" s="16">
        <f>IF($I982="","",TEXT(IFERROR(INDEX(tblVeriB[BelgeTarihi],ROW()-ROW(tblVeriB[[#Headers]])),""),"yyyymmdd")&amp;"|"&amp;TEXT(IFERROR(INDEX(tblVeriB[Tutar],ROW()-ROW(tblVeriB[[#Headers]])),0),"0.00"))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 ","")))</f>
        <v/>
      </c>
      <c r="C983" s="16">
        <f>IF($B983="",0,LEN($B983))</f>
        <v/>
      </c>
      <c r="D983" s="16">
        <f>IF($A983="","",TEXT(IFERROR(INDEX(tblVeriA[Tarih],ROW()-ROW(tblVeriA[[#Headers]])),""),"yyyymmdd")&amp;"|"&amp;TEXT(IFERROR(INDEX(tblVeriA[Toplam],ROW()-ROW(tblVeriA[[#Headers]])),0),"0.00"))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 ","")))</f>
        <v/>
      </c>
      <c r="K983" s="16">
        <f>IF($J983="",0,LEN($J983))</f>
        <v/>
      </c>
      <c r="L983" s="16">
        <f>IF($I983="","",TEXT(IFERROR(INDEX(tblVeriB[BelgeTarihi],ROW()-ROW(tblVeriB[[#Headers]])),""),"yyyymmdd")&amp;"|"&amp;TEXT(IFERROR(INDEX(tblVeriB[Tutar],ROW()-ROW(tblVeriB[[#Headers]])),0),"0.00"))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 ","")))</f>
        <v/>
      </c>
      <c r="C984" s="16">
        <f>IF($B984="",0,LEN($B984))</f>
        <v/>
      </c>
      <c r="D984" s="16">
        <f>IF($A984="","",TEXT(IFERROR(INDEX(tblVeriA[Tarih],ROW()-ROW(tblVeriA[[#Headers]])),""),"yyyymmdd")&amp;"|"&amp;TEXT(IFERROR(INDEX(tblVeriA[Toplam],ROW()-ROW(tblVeriA[[#Headers]])),0),"0.00"))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 ","")))</f>
        <v/>
      </c>
      <c r="K984" s="16">
        <f>IF($J984="",0,LEN($J984))</f>
        <v/>
      </c>
      <c r="L984" s="16">
        <f>IF($I984="","",TEXT(IFERROR(INDEX(tblVeriB[BelgeTarihi],ROW()-ROW(tblVeriB[[#Headers]])),""),"yyyymmdd")&amp;"|"&amp;TEXT(IFERROR(INDEX(tblVeriB[Tutar],ROW()-ROW(tblVeriB[[#Headers]])),0),"0.00"))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 ","")))</f>
        <v/>
      </c>
      <c r="C985" s="16">
        <f>IF($B985="",0,LEN($B985))</f>
        <v/>
      </c>
      <c r="D985" s="16">
        <f>IF($A985="","",TEXT(IFERROR(INDEX(tblVeriA[Tarih],ROW()-ROW(tblVeriA[[#Headers]])),""),"yyyymmdd")&amp;"|"&amp;TEXT(IFERROR(INDEX(tblVeriA[Toplam],ROW()-ROW(tblVeriA[[#Headers]])),0),"0.00"))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 ","")))</f>
        <v/>
      </c>
      <c r="K985" s="16">
        <f>IF($J985="",0,LEN($J985))</f>
        <v/>
      </c>
      <c r="L985" s="16">
        <f>IF($I985="","",TEXT(IFERROR(INDEX(tblVeriB[BelgeTarihi],ROW()-ROW(tblVeriB[[#Headers]])),""),"yyyymmdd")&amp;"|"&amp;TEXT(IFERROR(INDEX(tblVeriB[Tutar],ROW()-ROW(tblVeriB[[#Headers]])),0),"0.00"))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 ","")))</f>
        <v/>
      </c>
      <c r="C986" s="16">
        <f>IF($B986="",0,LEN($B986))</f>
        <v/>
      </c>
      <c r="D986" s="16">
        <f>IF($A986="","",TEXT(IFERROR(INDEX(tblVeriA[Tarih],ROW()-ROW(tblVeriA[[#Headers]])),""),"yyyymmdd")&amp;"|"&amp;TEXT(IFERROR(INDEX(tblVeriA[Toplam],ROW()-ROW(tblVeriA[[#Headers]])),0),"0.00"))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 ","")))</f>
        <v/>
      </c>
      <c r="K986" s="16">
        <f>IF($J986="",0,LEN($J986))</f>
        <v/>
      </c>
      <c r="L986" s="16">
        <f>IF($I986="","",TEXT(IFERROR(INDEX(tblVeriB[BelgeTarihi],ROW()-ROW(tblVeriB[[#Headers]])),""),"yyyymmdd")&amp;"|"&amp;TEXT(IFERROR(INDEX(tblVeriB[Tutar],ROW()-ROW(tblVeriB[[#Headers]])),0),"0.00"))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 ","")))</f>
        <v/>
      </c>
      <c r="C987" s="16">
        <f>IF($B987="",0,LEN($B987))</f>
        <v/>
      </c>
      <c r="D987" s="16">
        <f>IF($A987="","",TEXT(IFERROR(INDEX(tblVeriA[Tarih],ROW()-ROW(tblVeriA[[#Headers]])),""),"yyyymmdd")&amp;"|"&amp;TEXT(IFERROR(INDEX(tblVeriA[Toplam],ROW()-ROW(tblVeriA[[#Headers]])),0),"0.00"))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 ","")))</f>
        <v/>
      </c>
      <c r="K987" s="16">
        <f>IF($J987="",0,LEN($J987))</f>
        <v/>
      </c>
      <c r="L987" s="16">
        <f>IF($I987="","",TEXT(IFERROR(INDEX(tblVeriB[BelgeTarihi],ROW()-ROW(tblVeriB[[#Headers]])),""),"yyyymmdd")&amp;"|"&amp;TEXT(IFERROR(INDEX(tblVeriB[Tutar],ROW()-ROW(tblVeriB[[#Headers]])),0),"0.00"))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 ","")))</f>
        <v/>
      </c>
      <c r="C988" s="16">
        <f>IF($B988="",0,LEN($B988))</f>
        <v/>
      </c>
      <c r="D988" s="16">
        <f>IF($A988="","",TEXT(IFERROR(INDEX(tblVeriA[Tarih],ROW()-ROW(tblVeriA[[#Headers]])),""),"yyyymmdd")&amp;"|"&amp;TEXT(IFERROR(INDEX(tblVeriA[Toplam],ROW()-ROW(tblVeriA[[#Headers]])),0),"0.00"))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 ","")))</f>
        <v/>
      </c>
      <c r="K988" s="16">
        <f>IF($J988="",0,LEN($J988))</f>
        <v/>
      </c>
      <c r="L988" s="16">
        <f>IF($I988="","",TEXT(IFERROR(INDEX(tblVeriB[BelgeTarihi],ROW()-ROW(tblVeriB[[#Headers]])),""),"yyyymmdd")&amp;"|"&amp;TEXT(IFERROR(INDEX(tblVeriB[Tutar],ROW()-ROW(tblVeriB[[#Headers]])),0),"0.00"))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 ","")))</f>
        <v/>
      </c>
      <c r="C989" s="16">
        <f>IF($B989="",0,LEN($B989))</f>
        <v/>
      </c>
      <c r="D989" s="16">
        <f>IF($A989="","",TEXT(IFERROR(INDEX(tblVeriA[Tarih],ROW()-ROW(tblVeriA[[#Headers]])),""),"yyyymmdd")&amp;"|"&amp;TEXT(IFERROR(INDEX(tblVeriA[Toplam],ROW()-ROW(tblVeriA[[#Headers]])),0),"0.00"))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 ","")))</f>
        <v/>
      </c>
      <c r="K989" s="16">
        <f>IF($J989="",0,LEN($J989))</f>
        <v/>
      </c>
      <c r="L989" s="16">
        <f>IF($I989="","",TEXT(IFERROR(INDEX(tblVeriB[BelgeTarihi],ROW()-ROW(tblVeriB[[#Headers]])),""),"yyyymmdd")&amp;"|"&amp;TEXT(IFERROR(INDEX(tblVeriB[Tutar],ROW()-ROW(tblVeriB[[#Headers]])),0),"0.00"))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 ","")))</f>
        <v/>
      </c>
      <c r="C990" s="16">
        <f>IF($B990="",0,LEN($B990))</f>
        <v/>
      </c>
      <c r="D990" s="16">
        <f>IF($A990="","",TEXT(IFERROR(INDEX(tblVeriA[Tarih],ROW()-ROW(tblVeriA[[#Headers]])),""),"yyyymmdd")&amp;"|"&amp;TEXT(IFERROR(INDEX(tblVeriA[Toplam],ROW()-ROW(tblVeriA[[#Headers]])),0),"0.00"))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 ","")))</f>
        <v/>
      </c>
      <c r="K990" s="16">
        <f>IF($J990="",0,LEN($J990))</f>
        <v/>
      </c>
      <c r="L990" s="16">
        <f>IF($I990="","",TEXT(IFERROR(INDEX(tblVeriB[BelgeTarihi],ROW()-ROW(tblVeriB[[#Headers]])),""),"yyyymmdd")&amp;"|"&amp;TEXT(IFERROR(INDEX(tblVeriB[Tutar],ROW()-ROW(tblVeriB[[#Headers]])),0),"0.00"))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 ","")))</f>
        <v/>
      </c>
      <c r="C991" s="16">
        <f>IF($B991="",0,LEN($B991))</f>
        <v/>
      </c>
      <c r="D991" s="16">
        <f>IF($A991="","",TEXT(IFERROR(INDEX(tblVeriA[Tarih],ROW()-ROW(tblVeriA[[#Headers]])),""),"yyyymmdd")&amp;"|"&amp;TEXT(IFERROR(INDEX(tblVeriA[Toplam],ROW()-ROW(tblVeriA[[#Headers]])),0),"0.00"))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 ","")))</f>
        <v/>
      </c>
      <c r="K991" s="16">
        <f>IF($J991="",0,LEN($J991))</f>
        <v/>
      </c>
      <c r="L991" s="16">
        <f>IF($I991="","",TEXT(IFERROR(INDEX(tblVeriB[BelgeTarihi],ROW()-ROW(tblVeriB[[#Headers]])),""),"yyyymmdd")&amp;"|"&amp;TEXT(IFERROR(INDEX(tblVeriB[Tutar],ROW()-ROW(tblVeriB[[#Headers]])),0),"0.00"))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 ","")))</f>
        <v/>
      </c>
      <c r="C992" s="16">
        <f>IF($B992="",0,LEN($B992))</f>
        <v/>
      </c>
      <c r="D992" s="16">
        <f>IF($A992="","",TEXT(IFERROR(INDEX(tblVeriA[Tarih],ROW()-ROW(tblVeriA[[#Headers]])),""),"yyyymmdd")&amp;"|"&amp;TEXT(IFERROR(INDEX(tblVeriA[Toplam],ROW()-ROW(tblVeriA[[#Headers]])),0),"0.00"))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 ","")))</f>
        <v/>
      </c>
      <c r="K992" s="16">
        <f>IF($J992="",0,LEN($J992))</f>
        <v/>
      </c>
      <c r="L992" s="16">
        <f>IF($I992="","",TEXT(IFERROR(INDEX(tblVeriB[BelgeTarihi],ROW()-ROW(tblVeriB[[#Headers]])),""),"yyyymmdd")&amp;"|"&amp;TEXT(IFERROR(INDEX(tblVeriB[Tutar],ROW()-ROW(tblVeriB[[#Headers]])),0),"0.00"))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 ","")))</f>
        <v/>
      </c>
      <c r="C993" s="16">
        <f>IF($B993="",0,LEN($B993))</f>
        <v/>
      </c>
      <c r="D993" s="16">
        <f>IF($A993="","",TEXT(IFERROR(INDEX(tblVeriA[Tarih],ROW()-ROW(tblVeriA[[#Headers]])),""),"yyyymmdd")&amp;"|"&amp;TEXT(IFERROR(INDEX(tblVeriA[Toplam],ROW()-ROW(tblVeriA[[#Headers]])),0),"0.00"))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 ","")))</f>
        <v/>
      </c>
      <c r="K993" s="16">
        <f>IF($J993="",0,LEN($J993))</f>
        <v/>
      </c>
      <c r="L993" s="16">
        <f>IF($I993="","",TEXT(IFERROR(INDEX(tblVeriB[BelgeTarihi],ROW()-ROW(tblVeriB[[#Headers]])),""),"yyyymmdd")&amp;"|"&amp;TEXT(IFERROR(INDEX(tblVeriB[Tutar],ROW()-ROW(tblVeriB[[#Headers]])),0),"0.00"))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 ","")))</f>
        <v/>
      </c>
      <c r="C994" s="16">
        <f>IF($B994="",0,LEN($B994))</f>
        <v/>
      </c>
      <c r="D994" s="16">
        <f>IF($A994="","",TEXT(IFERROR(INDEX(tblVeriA[Tarih],ROW()-ROW(tblVeriA[[#Headers]])),""),"yyyymmdd")&amp;"|"&amp;TEXT(IFERROR(INDEX(tblVeriA[Toplam],ROW()-ROW(tblVeriA[[#Headers]])),0),"0.00"))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 ","")))</f>
        <v/>
      </c>
      <c r="K994" s="16">
        <f>IF($J994="",0,LEN($J994))</f>
        <v/>
      </c>
      <c r="L994" s="16">
        <f>IF($I994="","",TEXT(IFERROR(INDEX(tblVeriB[BelgeTarihi],ROW()-ROW(tblVeriB[[#Headers]])),""),"yyyymmdd")&amp;"|"&amp;TEXT(IFERROR(INDEX(tblVeriB[Tutar],ROW()-ROW(tblVeriB[[#Headers]])),0),"0.00"))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 ","")))</f>
        <v/>
      </c>
      <c r="C995" s="16">
        <f>IF($B995="",0,LEN($B995))</f>
        <v/>
      </c>
      <c r="D995" s="16">
        <f>IF($A995="","",TEXT(IFERROR(INDEX(tblVeriA[Tarih],ROW()-ROW(tblVeriA[[#Headers]])),""),"yyyymmdd")&amp;"|"&amp;TEXT(IFERROR(INDEX(tblVeriA[Toplam],ROW()-ROW(tblVeriA[[#Headers]])),0),"0.00"))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 ","")))</f>
        <v/>
      </c>
      <c r="K995" s="16">
        <f>IF($J995="",0,LEN($J995))</f>
        <v/>
      </c>
      <c r="L995" s="16">
        <f>IF($I995="","",TEXT(IFERROR(INDEX(tblVeriB[BelgeTarihi],ROW()-ROW(tblVeriB[[#Headers]])),""),"yyyymmdd")&amp;"|"&amp;TEXT(IFERROR(INDEX(tblVeriB[Tutar],ROW()-ROW(tblVeriB[[#Headers]])),0),"0.00"))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 ","")))</f>
        <v/>
      </c>
      <c r="C996" s="16">
        <f>IF($B996="",0,LEN($B996))</f>
        <v/>
      </c>
      <c r="D996" s="16">
        <f>IF($A996="","",TEXT(IFERROR(INDEX(tblVeriA[Tarih],ROW()-ROW(tblVeriA[[#Headers]])),""),"yyyymmdd")&amp;"|"&amp;TEXT(IFERROR(INDEX(tblVeriA[Toplam],ROW()-ROW(tblVeriA[[#Headers]])),0),"0.00"))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 ","")))</f>
        <v/>
      </c>
      <c r="K996" s="16">
        <f>IF($J996="",0,LEN($J996))</f>
        <v/>
      </c>
      <c r="L996" s="16">
        <f>IF($I996="","",TEXT(IFERROR(INDEX(tblVeriB[BelgeTarihi],ROW()-ROW(tblVeriB[[#Headers]])),""),"yyyymmdd")&amp;"|"&amp;TEXT(IFERROR(INDEX(tblVeriB[Tutar],ROW()-ROW(tblVeriB[[#Headers]])),0),"0.00"))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 ","")))</f>
        <v/>
      </c>
      <c r="C997" s="16">
        <f>IF($B997="",0,LEN($B997))</f>
        <v/>
      </c>
      <c r="D997" s="16">
        <f>IF($A997="","",TEXT(IFERROR(INDEX(tblVeriA[Tarih],ROW()-ROW(tblVeriA[[#Headers]])),""),"yyyymmdd")&amp;"|"&amp;TEXT(IFERROR(INDEX(tblVeriA[Toplam],ROW()-ROW(tblVeriA[[#Headers]])),0),"0.00"))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 ","")))</f>
        <v/>
      </c>
      <c r="K997" s="16">
        <f>IF($J997="",0,LEN($J997))</f>
        <v/>
      </c>
      <c r="L997" s="16">
        <f>IF($I997="","",TEXT(IFERROR(INDEX(tblVeriB[BelgeTarihi],ROW()-ROW(tblVeriB[[#Headers]])),""),"yyyymmdd")&amp;"|"&amp;TEXT(IFERROR(INDEX(tblVeriB[Tutar],ROW()-ROW(tblVeriB[[#Headers]])),0),"0.00"))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 ","")))</f>
        <v/>
      </c>
      <c r="C998" s="16">
        <f>IF($B998="",0,LEN($B998))</f>
        <v/>
      </c>
      <c r="D998" s="16">
        <f>IF($A998="","",TEXT(IFERROR(INDEX(tblVeriA[Tarih],ROW()-ROW(tblVeriA[[#Headers]])),""),"yyyymmdd")&amp;"|"&amp;TEXT(IFERROR(INDEX(tblVeriA[Toplam],ROW()-ROW(tblVeriA[[#Headers]])),0),"0.00"))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 ","")))</f>
        <v/>
      </c>
      <c r="K998" s="16">
        <f>IF($J998="",0,LEN($J998))</f>
        <v/>
      </c>
      <c r="L998" s="16">
        <f>IF($I998="","",TEXT(IFERROR(INDEX(tblVeriB[BelgeTarihi],ROW()-ROW(tblVeriB[[#Headers]])),""),"yyyymmdd")&amp;"|"&amp;TEXT(IFERROR(INDEX(tblVeriB[Tutar],ROW()-ROW(tblVeriB[[#Headers]])),0),"0.00"))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 ","")))</f>
        <v/>
      </c>
      <c r="C999" s="16">
        <f>IF($B999="",0,LEN($B999))</f>
        <v/>
      </c>
      <c r="D999" s="16">
        <f>IF($A999="","",TEXT(IFERROR(INDEX(tblVeriA[Tarih],ROW()-ROW(tblVeriA[[#Headers]])),""),"yyyymmdd")&amp;"|"&amp;TEXT(IFERROR(INDEX(tblVeriA[Toplam],ROW()-ROW(tblVeriA[[#Headers]])),0),"0.00"))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 ","")))</f>
        <v/>
      </c>
      <c r="K999" s="16">
        <f>IF($J999="",0,LEN($J999))</f>
        <v/>
      </c>
      <c r="L999" s="16">
        <f>IF($I999="","",TEXT(IFERROR(INDEX(tblVeriB[BelgeTarihi],ROW()-ROW(tblVeriB[[#Headers]])),""),"yyyymmdd")&amp;"|"&amp;TEXT(IFERROR(INDEX(tblVeriB[Tutar],ROW()-ROW(tblVeriB[[#Headers]])),0),"0.00"))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 ","")))</f>
        <v/>
      </c>
      <c r="C1000" s="16">
        <f>IF($B1000="",0,LEN($B1000))</f>
        <v/>
      </c>
      <c r="D1000" s="16">
        <f>IF($A1000="","",TEXT(IFERROR(INDEX(tblVeriA[Tarih],ROW()-ROW(tblVeriA[[#Headers]])),""),"yyyymmdd")&amp;"|"&amp;TEXT(IFERROR(INDEX(tblVeriA[Toplam],ROW()-ROW(tblVeriA[[#Headers]])),0),"0.00"))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 ","")))</f>
        <v/>
      </c>
      <c r="K1000" s="16">
        <f>IF($J1000="",0,LEN($J1000))</f>
        <v/>
      </c>
      <c r="L1000" s="16">
        <f>IF($I1000="","",TEXT(IFERROR(INDEX(tblVeriB[BelgeTarihi],ROW()-ROW(tblVeriB[[#Headers]])),""),"yyyymmdd")&amp;"|"&amp;TEXT(IFERROR(INDEX(tblVeriB[Tutar],ROW()-ROW(tblVeriB[[#Headers]])),0),"0.00"))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 ","")))</f>
        <v/>
      </c>
      <c r="C1001" s="16">
        <f>IF($B1001="",0,LEN($B1001))</f>
        <v/>
      </c>
      <c r="D1001" s="16">
        <f>IF($A1001="","",TEXT(IFERROR(INDEX(tblVeriA[Tarih],ROW()-ROW(tblVeriA[[#Headers]])),""),"yyyymmdd")&amp;"|"&amp;TEXT(IFERROR(INDEX(tblVeriA[Toplam],ROW()-ROW(tblVeriA[[#Headers]])),0),"0.00"))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 ","")))</f>
        <v/>
      </c>
      <c r="K1001" s="16">
        <f>IF($J1001="",0,LEN($J1001))</f>
        <v/>
      </c>
      <c r="L1001" s="16">
        <f>IF($I1001="","",TEXT(IFERROR(INDEX(tblVeriB[BelgeTarihi],ROW()-ROW(tblVeriB[[#Headers]])),""),"yyyymmdd")&amp;"|"&amp;TEXT(IFERROR(INDEX(tblVeriB[Tutar],ROW()-ROW(tblVeriB[[#Headers]])),0),"0.00"))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 ","")))</f>
        <v/>
      </c>
      <c r="C1002" s="16">
        <f>IF($B1002="",0,LEN($B1002))</f>
        <v/>
      </c>
      <c r="D1002" s="16">
        <f>IF($A1002="","",TEXT(IFERROR(INDEX(tblVeriA[Tarih],ROW()-ROW(tblVeriA[[#Headers]])),""),"yyyymmdd")&amp;"|"&amp;TEXT(IFERROR(INDEX(tblVeriA[Toplam],ROW()-ROW(tblVeriA[[#Headers]])),0),"0.00"))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 ","")))</f>
        <v/>
      </c>
      <c r="K1002" s="16">
        <f>IF($J1002="",0,LEN($J1002))</f>
        <v/>
      </c>
      <c r="L1002" s="16">
        <f>IF($I1002="","",TEXT(IFERROR(INDEX(tblVeriB[BelgeTarihi],ROW()-ROW(tblVeriB[[#Headers]])),""),"yyyymmdd")&amp;"|"&amp;TEXT(IFERROR(INDEX(tblVeriB[Tutar],ROW()-ROW(tblVeriB[[#Headers]])),0),"0.00"))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 ","")))</f>
        <v/>
      </c>
      <c r="C1003" s="16">
        <f>IF($B1003="",0,LEN($B1003))</f>
        <v/>
      </c>
      <c r="D1003" s="16">
        <f>IF($A1003="","",TEXT(IFERROR(INDEX(tblVeriA[Tarih],ROW()-ROW(tblVeriA[[#Headers]])),""),"yyyymmdd")&amp;"|"&amp;TEXT(IFERROR(INDEX(tblVeriA[Toplam],ROW()-ROW(tblVeriA[[#Headers]])),0),"0.00"))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 ","")))</f>
        <v/>
      </c>
      <c r="K1003" s="16">
        <f>IF($J1003="",0,LEN($J1003))</f>
        <v/>
      </c>
      <c r="L1003" s="16">
        <f>IF($I1003="","",TEXT(IFERROR(INDEX(tblVeriB[BelgeTarihi],ROW()-ROW(tblVeriB[[#Headers]])),""),"yyyymmdd")&amp;"|"&amp;TEXT(IFERROR(INDEX(tblVeriB[Tutar],ROW()-ROW(tblVeriB[[#Headers]])),0),"0.00"))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 ","")))</f>
        <v/>
      </c>
      <c r="C1004" s="16">
        <f>IF($B1004="",0,LEN($B1004))</f>
        <v/>
      </c>
      <c r="D1004" s="16">
        <f>IF($A1004="","",TEXT(IFERROR(INDEX(tblVeriA[Tarih],ROW()-ROW(tblVeriA[[#Headers]])),""),"yyyymmdd")&amp;"|"&amp;TEXT(IFERROR(INDEX(tblVeriA[Toplam],ROW()-ROW(tblVeriA[[#Headers]])),0),"0.00"))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 ","")))</f>
        <v/>
      </c>
      <c r="K1004" s="16">
        <f>IF($J1004="",0,LEN($J1004))</f>
        <v/>
      </c>
      <c r="L1004" s="16">
        <f>IF($I1004="","",TEXT(IFERROR(INDEX(tblVeriB[BelgeTarihi],ROW()-ROW(tblVeriB[[#Headers]])),""),"yyyymmdd")&amp;"|"&amp;TEXT(IFERROR(INDEX(tblVeriB[Tutar],ROW()-ROW(tblVeriB[[#Headers]])),0),"0.00"))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 ","")))</f>
        <v/>
      </c>
      <c r="C1005" s="16">
        <f>IF($B1005="",0,LEN($B1005))</f>
        <v/>
      </c>
      <c r="D1005" s="16">
        <f>IF($A1005="","",TEXT(IFERROR(INDEX(tblVeriA[Tarih],ROW()-ROW(tblVeriA[[#Headers]])),""),"yyyymmdd")&amp;"|"&amp;TEXT(IFERROR(INDEX(tblVeriA[Toplam],ROW()-ROW(tblVeriA[[#Headers]])),0),"0.00"))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 ","")))</f>
        <v/>
      </c>
      <c r="K1005" s="16">
        <f>IF($J1005="",0,LEN($J1005))</f>
        <v/>
      </c>
      <c r="L1005" s="16">
        <f>IF($I1005="","",TEXT(IFERROR(INDEX(tblVeriB[BelgeTarihi],ROW()-ROW(tblVeriB[[#Headers]])),""),"yyyymmdd")&amp;"|"&amp;TEXT(IFERROR(INDEX(tblVeriB[Tutar],ROW()-ROW(tblVeriB[[#Headers]])),0),"0.00"))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Defter Beyan e-Arşiv Aktarım Düzenleyici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COUNTA(tblVeriA[FaturaNo])</f>
        <v/>
      </c>
    </row>
    <row r="7">
      <c r="A7" s="19" t="n">
        <v>2</v>
      </c>
      <c r="B7" s="8" t="inlineStr">
        <is>
          <t>B kayit sayisi</t>
        </is>
      </c>
      <c r="C7" s="20">
        <f>COUNTA(tblVeriB[BelgeNo])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IFERROR(PERCENTILE(tblEslesme[AbsFark],dbe_yuzdelikOran),0)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IFERROR(PERCENTILE(tblVeriA[Toplam],dbe_yuzdelikOran),0)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IF(C18&lt;dbe_esikEslesme,1,0)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IF(C11&gt;dbe_esikFark,1,0)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COUNTIF(tblVeriA[Toplam],"&gt;"&amp;dbe_azamiTutar)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COUNTIF(tblVeriB[Tutar],"&gt;"&amp;dbe_azamiTutar)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YOK",IF(COUNTA(tblHata[HataKodu])&gt;=dbe_esikHataCok,"DURDUR",IF(OR(COUNTA(tblHata[HataKodu])&gt;0,C14&gt;0,C18&lt;dbe_esikEslesme),"İNCELE","UYGUN")))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IFERROR(dbe_toleransSenaryo*C14,0)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IFERROR(ABS(C10)*dbe_duyarlilikCarpan,0)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IF(C6=0,0,ROUND(100*C18*(1-MIN(C22,1)/dbe_guvenBolum),0))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IF(C6=0,0,ROUND(100*(1-C18)+dbe_riskFarkAgirlik*C14+dbe_riskEslesmezAgirlik*C15,0))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94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Defter Beyan e-Arşiv Aktarım Düzenleyici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IF($A6="","",IF($F6&gt;dbe_esikFark,1,0))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IF($A7="","",IF($F7&gt;dbe_esikFark,1,0))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IF($A8="","",IF($F8&gt;dbe_esikFark,1,0))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IF($A9="","",IF($F9&gt;dbe_esikFark,1,0))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IF($A10="","",IF($F10&gt;dbe_esikFark,1,0))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IF($A11="","",IF($F11&gt;dbe_esikFark,1,0))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IF($A12="","",IF($F12&gt;dbe_esikFark,1,0))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IF($A13="","",IF($F13&gt;dbe_esikFark,1,0))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IF($A14="","",IF($F14&gt;dbe_esikFark,1,0))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IF($A15="","",IF($F15&gt;dbe_esikFark,1,0))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IF($A16="","",IF($F16&gt;dbe_esikFark,1,0))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IF($A17="","",IF($F17&gt;dbe_esikFark,1,0))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IF($A18="","",IF($F18&gt;dbe_esikFark,1,0))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IF($A19="","",IF($F19&gt;dbe_esikFark,1,0))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IF($A20="","",IF($F20&gt;dbe_esikFark,1,0))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IF($A21="","",IF($F21&gt;dbe_esikFark,1,0))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IF($A22="","",IF($F22&gt;dbe_esikFark,1,0))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IF($A23="","",IF($F23&gt;dbe_esikFark,1,0))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IF($A24="","",IF($F24&gt;dbe_esikFark,1,0))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IF($A25="","",IF($F25&gt;dbe_esikFark,1,0))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IF($A26="","",IF($F26&gt;dbe_esikFark,1,0))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IF($A27="","",IF($F27&gt;dbe_esikFark,1,0))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IF($A28="","",IF($F28&gt;dbe_esikFark,1,0))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IF($A29="","",IF($F29&gt;dbe_esikFark,1,0))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IF($A30="","",IF($F30&gt;dbe_esikFark,1,0))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IF($A31="","",IF($F31&gt;dbe_esikFark,1,0))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IF($A32="","",IF($F32&gt;dbe_esikFark,1,0))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IF($A33="","",IF($F33&gt;dbe_esikFark,1,0))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IF($A34="","",IF($F34&gt;dbe_esikFark,1,0))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IF($A35="","",IF($F35&gt;dbe_esikFark,1,0))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IF($A36="","",IF($F36&gt;dbe_esikFark,1,0))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IF($A37="","",IF($F37&gt;dbe_esikFark,1,0))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IF($A38="","",IF($F38&gt;dbe_esikFark,1,0))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IF($A39="","",IF($F39&gt;dbe_esikFark,1,0))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IF($A40="","",IF($F40&gt;dbe_esikFark,1,0))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IF($A41="","",IF($F41&gt;dbe_esikFark,1,0))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IF($A42="","",IF($F42&gt;dbe_esikFark,1,0))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IF($A43="","",IF($F43&gt;dbe_esikFark,1,0))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IF($A44="","",IF($F44&gt;dbe_esikFark,1,0))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IF($A45="","",IF($F45&gt;dbe_esikFark,1,0))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IF($A46="","",IF($F46&gt;dbe_esikFark,1,0))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IF($A47="","",IF($F47&gt;dbe_esikFark,1,0))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IF($A48="","",IF($F48&gt;dbe_esikFark,1,0))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IF($A49="","",IF($F49&gt;dbe_esikFark,1,0))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IF($A50="","",IF($F50&gt;dbe_esikFark,1,0))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IF($A51="","",IF($F51&gt;dbe_esikFark,1,0))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IF($A52="","",IF($F52&gt;dbe_esikFark,1,0))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IF($A53="","",IF($F53&gt;dbe_esikFark,1,0))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IF($A54="","",IF($F54&gt;dbe_esikFark,1,0))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IF($A55="","",IF($F55&gt;dbe_esikFark,1,0))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IF($A56="","",IF($F56&gt;dbe_esikFark,1,0))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IF($A57="","",IF($F57&gt;dbe_esikFark,1,0))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IF($A58="","",IF($F58&gt;dbe_esikFark,1,0))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IF($A59="","",IF($F59&gt;dbe_esikFark,1,0))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IF($A60="","",IF($F60&gt;dbe_esikFark,1,0))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IF($A61="","",IF($F61&gt;dbe_esikFark,1,0))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IF($A62="","",IF($F62&gt;dbe_esikFark,1,0))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IF($A63="","",IF($F63&gt;dbe_esikFark,1,0))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IF($A64="","",IF($F64&gt;dbe_esikFark,1,0))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IF($A65="","",IF($F65&gt;dbe_esikFark,1,0))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IF($A66="","",IF($F66&gt;dbe_esikFark,1,0))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IF($A67="","",IF($F67&gt;dbe_esikFark,1,0))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IF($A68="","",IF($F68&gt;dbe_esikFark,1,0))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IF($A69="","",IF($F69&gt;dbe_esikFark,1,0))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IF($A70="","",IF($F70&gt;dbe_esikFark,1,0))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IF($A71="","",IF($F71&gt;dbe_esikFark,1,0))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IF($A72="","",IF($F72&gt;dbe_esikFark,1,0))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IF($A73="","",IF($F73&gt;dbe_esikFark,1,0))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IF($A74="","",IF($F74&gt;dbe_esikFark,1,0))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IF($A75="","",IF($F75&gt;dbe_esikFark,1,0))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IF($A76="","",IF($F76&gt;dbe_esikFark,1,0))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IF($A77="","",IF($F77&gt;dbe_esikFark,1,0))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IF($A78="","",IF($F78&gt;dbe_esikFark,1,0))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IF($A79="","",IF($F79&gt;dbe_esikFark,1,0))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IF($A80="","",IF($F80&gt;dbe_esikFark,1,0))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IF($A81="","",IF($F81&gt;dbe_esikFark,1,0))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IF($A82="","",IF($F82&gt;dbe_esikFark,1,0))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IF($A83="","",IF($F83&gt;dbe_esikFark,1,0))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IF($A84="","",IF($F84&gt;dbe_esikFark,1,0))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IF($A85="","",IF($F85&gt;dbe_esikFark,1,0))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IF($A86="","",IF($F86&gt;dbe_esikFark,1,0))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IF($A87="","",IF($F87&gt;dbe_esikFark,1,0))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IF($A88="","",IF($F88&gt;dbe_esikFark,1,0))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IF($A89="","",IF($F89&gt;dbe_esikFark,1,0))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IF($A90="","",IF($F90&gt;dbe_esikFark,1,0))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IF($A91="","",IF($F91&gt;dbe_esikFark,1,0))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IF($A92="","",IF($F92&gt;dbe_esikFark,1,0))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IF($A93="","",IF($F93&gt;dbe_esikFark,1,0))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IF($A94="","",IF($F94&gt;dbe_esikFark,1,0))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IF($A95="","",IF($F95&gt;dbe_esikFark,1,0))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IF($A96="","",IF($F96&gt;dbe_esikFark,1,0))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IF($A97="","",IF($F97&gt;dbe_esikFark,1,0))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IF($A98="","",IF($F98&gt;dbe_esikFark,1,0))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IF($A99="","",IF($F99&gt;dbe_esikFark,1,0))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IF($A100="","",IF($F100&gt;dbe_esikFark,1,0))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IF($A101="","",IF($F101&gt;dbe_esikFark,1,0))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IF($A102="","",IF($F102&gt;dbe_esikFark,1,0))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IF($A103="","",IF($F103&gt;dbe_esikFark,1,0))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IF($A104="","",IF($F104&gt;dbe_esikFark,1,0))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IF($A105="","",IF($F105&gt;dbe_esikFark,1,0))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IF($A106="","",IF($F106&gt;dbe_esikFark,1,0))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IF($A107="","",IF($F107&gt;dbe_esikFark,1,0))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IF($A108="","",IF($F108&gt;dbe_esikFark,1,0))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IF($A109="","",IF($F109&gt;dbe_esikFark,1,0))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IF($A110="","",IF($F110&gt;dbe_esikFark,1,0))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IF($A111="","",IF($F111&gt;dbe_esikFark,1,0))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IF($A112="","",IF($F112&gt;dbe_esikFark,1,0))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IF($A113="","",IF($F113&gt;dbe_esikFark,1,0))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IF($A114="","",IF($F114&gt;dbe_esikFark,1,0))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IF($A115="","",IF($F115&gt;dbe_esikFark,1,0))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IF($A116="","",IF($F116&gt;dbe_esikFark,1,0))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IF($A117="","",IF($F117&gt;dbe_esikFark,1,0))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IF($A118="","",IF($F118&gt;dbe_esikFark,1,0))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IF($A119="","",IF($F119&gt;dbe_esikFark,1,0))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IF($A120="","",IF($F120&gt;dbe_esikFark,1,0))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IF($A121="","",IF($F121&gt;dbe_esikFark,1,0))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IF($A122="","",IF($F122&gt;dbe_esikFark,1,0))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IF($A123="","",IF($F123&gt;dbe_esikFark,1,0))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IF($A124="","",IF($F124&gt;dbe_esikFark,1,0))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IF($A125="","",IF($F125&gt;dbe_esikFark,1,0))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IF($A126="","",IF($F126&gt;dbe_esikFark,1,0))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IF($A127="","",IF($F127&gt;dbe_esikFark,1,0))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IF($A128="","",IF($F128&gt;dbe_esikFark,1,0))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IF($A129="","",IF($F129&gt;dbe_esikFark,1,0))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IF($A130="","",IF($F130&gt;dbe_esikFark,1,0))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IF($A131="","",IF($F131&gt;dbe_esikFark,1,0))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IF($A132="","",IF($F132&gt;dbe_esikFark,1,0))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IF($A133="","",IF($F133&gt;dbe_esikFark,1,0))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IF($A134="","",IF($F134&gt;dbe_esikFark,1,0))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IF($A135="","",IF($F135&gt;dbe_esikFark,1,0))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IF($A136="","",IF($F136&gt;dbe_esikFark,1,0))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IF($A137="","",IF($F137&gt;dbe_esikFark,1,0))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IF($A138="","",IF($F138&gt;dbe_esikFark,1,0))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IF($A139="","",IF($F139&gt;dbe_esikFark,1,0))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IF($A140="","",IF($F140&gt;dbe_esikFark,1,0))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IF($A141="","",IF($F141&gt;dbe_esikFark,1,0))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IF($A142="","",IF($F142&gt;dbe_esikFark,1,0))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IF($A143="","",IF($F143&gt;dbe_esikFark,1,0))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IF($A144="","",IF($F144&gt;dbe_esikFark,1,0))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IF($A145="","",IF($F145&gt;dbe_esikFark,1,0))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IF($A146="","",IF($F146&gt;dbe_esikFark,1,0))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IF($A147="","",IF($F147&gt;dbe_esikFark,1,0))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IF($A148="","",IF($F148&gt;dbe_esikFark,1,0))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IF($A149="","",IF($F149&gt;dbe_esikFark,1,0))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IF($A150="","",IF($F150&gt;dbe_esikFark,1,0))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IF($A151="","",IF($F151&gt;dbe_esikFark,1,0))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IF($A152="","",IF($F152&gt;dbe_esikFark,1,0))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IF($A153="","",IF($F153&gt;dbe_esikFark,1,0))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IF($A154="","",IF($F154&gt;dbe_esikFark,1,0))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IF($A155="","",IF($F155&gt;dbe_esikFark,1,0))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IF($A156="","",IF($F156&gt;dbe_esikFark,1,0))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IF($A157="","",IF($F157&gt;dbe_esikFark,1,0))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IF($A158="","",IF($F158&gt;dbe_esikFark,1,0))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IF($A159="","",IF($F159&gt;dbe_esikFark,1,0))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IF($A160="","",IF($F160&gt;dbe_esikFark,1,0))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IF($A161="","",IF($F161&gt;dbe_esikFark,1,0))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IF($A162="","",IF($F162&gt;dbe_esikFark,1,0))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IF($A163="","",IF($F163&gt;dbe_esikFark,1,0))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IF($A164="","",IF($F164&gt;dbe_esikFark,1,0))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IF($A165="","",IF($F165&gt;dbe_esikFark,1,0))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IF($A166="","",IF($F166&gt;dbe_esikFark,1,0))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IF($A167="","",IF($F167&gt;dbe_esikFark,1,0))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IF($A168="","",IF($F168&gt;dbe_esikFark,1,0))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IF($A169="","",IF($F169&gt;dbe_esikFark,1,0))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IF($A170="","",IF($F170&gt;dbe_esikFark,1,0))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IF($A171="","",IF($F171&gt;dbe_esikFark,1,0))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IF($A172="","",IF($F172&gt;dbe_esikFark,1,0))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IF($A173="","",IF($F173&gt;dbe_esikFark,1,0))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IF($A174="","",IF($F174&gt;dbe_esikFark,1,0))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IF($A175="","",IF($F175&gt;dbe_esikFark,1,0))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IF($A176="","",IF($F176&gt;dbe_esikFark,1,0))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IF($A177="","",IF($F177&gt;dbe_esikFark,1,0))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IF($A178="","",IF($F178&gt;dbe_esikFark,1,0))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IF($A179="","",IF($F179&gt;dbe_esikFark,1,0))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IF($A180="","",IF($F180&gt;dbe_esikFark,1,0))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IF($A181="","",IF($F181&gt;dbe_esikFark,1,0))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IF($A182="","",IF($F182&gt;dbe_esikFark,1,0))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IF($A183="","",IF($F183&gt;dbe_esikFark,1,0))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IF($A184="","",IF($F184&gt;dbe_esikFark,1,0))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IF($A185="","",IF($F185&gt;dbe_esikFark,1,0))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IF($A186="","",IF($F186&gt;dbe_esikFark,1,0))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IF($A187="","",IF($F187&gt;dbe_esikFark,1,0))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IF($A188="","",IF($F188&gt;dbe_esikFark,1,0))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IF($A189="","",IF($F189&gt;dbe_esikFark,1,0))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IF($A190="","",IF($F190&gt;dbe_esikFark,1,0))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IF($A191="","",IF($F191&gt;dbe_esikFark,1,0))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IF($A192="","",IF($F192&gt;dbe_esikFark,1,0))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IF($A193="","",IF($F193&gt;dbe_esikFark,1,0))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IF($A194="","",IF($F194&gt;dbe_esikFark,1,0))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IF($A195="","",IF($F195&gt;dbe_esikFark,1,0))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IF($A196="","",IF($F196&gt;dbe_esikFark,1,0))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IF($A197="","",IF($F197&gt;dbe_esikFark,1,0))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IF($A198="","",IF($F198&gt;dbe_esikFark,1,0))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IF($A199="","",IF($F199&gt;dbe_esikFark,1,0))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IF($A200="","",IF($F200&gt;dbe_esikFark,1,0))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IF($A201="","",IF($F201&gt;dbe_esikFark,1,0))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IF($A202="","",IF($F202&gt;dbe_esikFark,1,0))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IF($A203="","",IF($F203&gt;dbe_esikFark,1,0))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IF($A204="","",IF($F204&gt;dbe_esikFark,1,0))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IF($A205="","",IF($F205&gt;dbe_esikFark,1,0))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IF($A206="","",IF($F206&gt;dbe_esikFark,1,0))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IF($A207="","",IF($F207&gt;dbe_esikFark,1,0))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IF($A208="","",IF($F208&gt;dbe_esikFark,1,0))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IF($A209="","",IF($F209&gt;dbe_esikFark,1,0))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IF($A210="","",IF($F210&gt;dbe_esikFark,1,0))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IF($A211="","",IF($F211&gt;dbe_esikFark,1,0))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IF($A212="","",IF($F212&gt;dbe_esikFark,1,0))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IF($A213="","",IF($F213&gt;dbe_esikFark,1,0))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IF($A214="","",IF($F214&gt;dbe_esikFark,1,0))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IF($A215="","",IF($F215&gt;dbe_esikFark,1,0))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IF($A216="","",IF($F216&gt;dbe_esikFark,1,0))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IF($A217="","",IF($F217&gt;dbe_esikFark,1,0))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IF($A218="","",IF($F218&gt;dbe_esikFark,1,0))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IF($A219="","",IF($F219&gt;dbe_esikFark,1,0))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IF($A220="","",IF($F220&gt;dbe_esikFark,1,0))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IF($A221="","",IF($F221&gt;dbe_esikFark,1,0))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IF($A222="","",IF($F222&gt;dbe_esikFark,1,0))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IF($A223="","",IF($F223&gt;dbe_esikFark,1,0))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IF($A224="","",IF($F224&gt;dbe_esikFark,1,0))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IF($A225="","",IF($F225&gt;dbe_esikFark,1,0))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IF($A226="","",IF($F226&gt;dbe_esikFark,1,0))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IF($A227="","",IF($F227&gt;dbe_esikFark,1,0))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IF($A228="","",IF($F228&gt;dbe_esikFark,1,0))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IF($A229="","",IF($F229&gt;dbe_esikFark,1,0))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IF($A230="","",IF($F230&gt;dbe_esikFark,1,0))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IF($A231="","",IF($F231&gt;dbe_esikFark,1,0))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IF($A232="","",IF($F232&gt;dbe_esikFark,1,0))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IF($A233="","",IF($F233&gt;dbe_esikFark,1,0))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IF($A234="","",IF($F234&gt;dbe_esikFark,1,0))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IF($A235="","",IF($F235&gt;dbe_esikFark,1,0))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IF($A236="","",IF($F236&gt;dbe_esikFark,1,0))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IF($A237="","",IF($F237&gt;dbe_esikFark,1,0))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IF($A238="","",IF($F238&gt;dbe_esikFark,1,0))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IF($A239="","",IF($F239&gt;dbe_esikFark,1,0))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IF($A240="","",IF($F240&gt;dbe_esikFark,1,0))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IF($A241="","",IF($F241&gt;dbe_esikFark,1,0))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IF($A242="","",IF($F242&gt;dbe_esikFark,1,0))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IF($A243="","",IF($F243&gt;dbe_esikFark,1,0))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IF($A244="","",IF($F244&gt;dbe_esikFark,1,0))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IF($A245="","",IF($F245&gt;dbe_esikFark,1,0))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IF($A246="","",IF($F246&gt;dbe_esikFark,1,0))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IF($A247="","",IF($F247&gt;dbe_esikFark,1,0))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IF($A248="","",IF($F248&gt;dbe_esikFark,1,0))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IF($A249="","",IF($F249&gt;dbe_esikFark,1,0))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IF($A250="","",IF($F250&gt;dbe_esikFark,1,0))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IF($A251="","",IF($F251&gt;dbe_esikFark,1,0))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IF($A252="","",IF($F252&gt;dbe_esikFark,1,0))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IF($A253="","",IF($F253&gt;dbe_esikFark,1,0))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IF($A254="","",IF($F254&gt;dbe_esikFark,1,0))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IF($A255="","",IF($F255&gt;dbe_esikFark,1,0))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IF($A256="","",IF($F256&gt;dbe_esikFark,1,0))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IF($A257="","",IF($F257&gt;dbe_esikFark,1,0))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IF($A258="","",IF($F258&gt;dbe_esikFark,1,0))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IF($A259="","",IF($F259&gt;dbe_esikFark,1,0))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IF($A260="","",IF($F260&gt;dbe_esikFark,1,0))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IF($A261="","",IF($F261&gt;dbe_esikFark,1,0))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IF($A262="","",IF($F262&gt;dbe_esikFark,1,0))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IF($A263="","",IF($F263&gt;dbe_esikFark,1,0))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IF($A264="","",IF($F264&gt;dbe_esikFark,1,0))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IF($A265="","",IF($F265&gt;dbe_esikFark,1,0))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IF($A266="","",IF($F266&gt;dbe_esikFark,1,0))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IF($A267="","",IF($F267&gt;dbe_esikFark,1,0))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IF($A268="","",IF($F268&gt;dbe_esikFark,1,0))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IF($A269="","",IF($F269&gt;dbe_esikFark,1,0))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IF($A270="","",IF($F270&gt;dbe_esikFark,1,0))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IF($A271="","",IF($F271&gt;dbe_esikFark,1,0))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IF($A272="","",IF($F272&gt;dbe_esikFark,1,0))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IF($A273="","",IF($F273&gt;dbe_esikFark,1,0))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IF($A274="","",IF($F274&gt;dbe_esikFark,1,0))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IF($A275="","",IF($F275&gt;dbe_esikFark,1,0))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IF($A276="","",IF($F276&gt;dbe_esikFark,1,0))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IF($A277="","",IF($F277&gt;dbe_esikFark,1,0))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IF($A278="","",IF($F278&gt;dbe_esikFark,1,0))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IF($A279="","",IF($F279&gt;dbe_esikFark,1,0))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IF($A280="","",IF($F280&gt;dbe_esikFark,1,0))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IF($A281="","",IF($F281&gt;dbe_esikFark,1,0))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IF($A282="","",IF($F282&gt;dbe_esikFark,1,0))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IF($A283="","",IF($F283&gt;dbe_esikFark,1,0))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IF($A284="","",IF($F284&gt;dbe_esikFark,1,0))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IF($A285="","",IF($F285&gt;dbe_esikFark,1,0))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IF($A286="","",IF($F286&gt;dbe_esikFark,1,0))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IF($A287="","",IF($F287&gt;dbe_esikFark,1,0))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IF($A288="","",IF($F288&gt;dbe_esikFark,1,0))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IF($A289="","",IF($F289&gt;dbe_esikFark,1,0))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IF($A290="","",IF($F290&gt;dbe_esikFark,1,0))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IF($A291="","",IF($F291&gt;dbe_esikFark,1,0))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IF($A292="","",IF($F292&gt;dbe_esikFark,1,0))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IF($A293="","",IF($F293&gt;dbe_esikFark,1,0))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IF($A294="","",IF($F294&gt;dbe_esikFark,1,0))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IF($A295="","",IF($F295&gt;dbe_esikFark,1,0))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IF($A296="","",IF($F296&gt;dbe_esikFark,1,0))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IF($A297="","",IF($F297&gt;dbe_esikFark,1,0))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IF($A298="","",IF($F298&gt;dbe_esikFark,1,0))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IF($A299="","",IF($F299&gt;dbe_esikFark,1,0))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IF($A300="","",IF($F300&gt;dbe_esikFark,1,0))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IF($A301="","",IF($F301&gt;dbe_esikFark,1,0))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IF($A302="","",IF($F302&gt;dbe_esikFark,1,0))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IF($A303="","",IF($F303&gt;dbe_esikFark,1,0))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IF($A304="","",IF($F304&gt;dbe_esikFark,1,0))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IF($A305="","",IF($F305&gt;dbe_esikFark,1,0))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IF($A306="","",IF($F306&gt;dbe_esikFark,1,0))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IF($A307="","",IF($F307&gt;dbe_esikFark,1,0))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IF($A308="","",IF($F308&gt;dbe_esikFark,1,0))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IF($A309="","",IF($F309&gt;dbe_esikFark,1,0))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IF($A310="","",IF($F310&gt;dbe_esikFark,1,0))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IF($A311="","",IF($F311&gt;dbe_esikFark,1,0))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IF($A312="","",IF($F312&gt;dbe_esikFark,1,0))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IF($A313="","",IF($F313&gt;dbe_esikFark,1,0))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IF($A314="","",IF($F314&gt;dbe_esikFark,1,0))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IF($A315="","",IF($F315&gt;dbe_esikFark,1,0))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IF($A316="","",IF($F316&gt;dbe_esikFark,1,0))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IF($A317="","",IF($F317&gt;dbe_esikFark,1,0))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IF($A318="","",IF($F318&gt;dbe_esikFark,1,0))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IF($A319="","",IF($F319&gt;dbe_esikFark,1,0))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IF($A320="","",IF($F320&gt;dbe_esikFark,1,0))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IF($A321="","",IF($F321&gt;dbe_esikFark,1,0))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IF($A322="","",IF($F322&gt;dbe_esikFark,1,0))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IF($A323="","",IF($F323&gt;dbe_esikFark,1,0))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IF($A324="","",IF($F324&gt;dbe_esikFark,1,0))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IF($A325="","",IF($F325&gt;dbe_esikFark,1,0))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IF($A326="","",IF($F326&gt;dbe_esikFark,1,0))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IF($A327="","",IF($F327&gt;dbe_esikFark,1,0))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IF($A328="","",IF($F328&gt;dbe_esikFark,1,0))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IF($A329="","",IF($F329&gt;dbe_esikFark,1,0))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IF($A330="","",IF($F330&gt;dbe_esikFark,1,0))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IF($A331="","",IF($F331&gt;dbe_esikFark,1,0))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IF($A332="","",IF($F332&gt;dbe_esikFark,1,0))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IF($A333="","",IF($F333&gt;dbe_esikFark,1,0))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IF($A334="","",IF($F334&gt;dbe_esikFark,1,0))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IF($A335="","",IF($F335&gt;dbe_esikFark,1,0))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IF($A336="","",IF($F336&gt;dbe_esikFark,1,0))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IF($A337="","",IF($F337&gt;dbe_esikFark,1,0))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IF($A338="","",IF($F338&gt;dbe_esikFark,1,0))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IF($A339="","",IF($F339&gt;dbe_esikFark,1,0))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IF($A340="","",IF($F340&gt;dbe_esikFark,1,0))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IF($A341="","",IF($F341&gt;dbe_esikFark,1,0))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IF($A342="","",IF($F342&gt;dbe_esikFark,1,0))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IF($A343="","",IF($F343&gt;dbe_esikFark,1,0))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IF($A344="","",IF($F344&gt;dbe_esikFark,1,0))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IF($A345="","",IF($F345&gt;dbe_esikFark,1,0))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IF($A346="","",IF($F346&gt;dbe_esikFark,1,0))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IF($A347="","",IF($F347&gt;dbe_esikFark,1,0))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IF($A348="","",IF($F348&gt;dbe_esikFark,1,0))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IF($A349="","",IF($F349&gt;dbe_esikFark,1,0))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IF($A350="","",IF($F350&gt;dbe_esikFark,1,0))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IF($A351="","",IF($F351&gt;dbe_esikFark,1,0))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IF($A352="","",IF($F352&gt;dbe_esikFark,1,0))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IF($A353="","",IF($F353&gt;dbe_esikFark,1,0))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IF($A354="","",IF($F354&gt;dbe_esikFark,1,0))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IF($A355="","",IF($F355&gt;dbe_esikFark,1,0))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IF($A356="","",IF($F356&gt;dbe_esikFark,1,0))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IF($A357="","",IF($F357&gt;dbe_esikFark,1,0))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IF($A358="","",IF($F358&gt;dbe_esikFark,1,0))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IF($A359="","",IF($F359&gt;dbe_esikFark,1,0))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IF($A360="","",IF($F360&gt;dbe_esikFark,1,0))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IF($A361="","",IF($F361&gt;dbe_esikFark,1,0))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IF($A362="","",IF($F362&gt;dbe_esikFark,1,0))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IF($A363="","",IF($F363&gt;dbe_esikFark,1,0))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IF($A364="","",IF($F364&gt;dbe_esikFark,1,0))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IF($A365="","",IF($F365&gt;dbe_esikFark,1,0))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IF($A366="","",IF($F366&gt;dbe_esikFark,1,0))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IF($A367="","",IF($F367&gt;dbe_esikFark,1,0))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IF($A368="","",IF($F368&gt;dbe_esikFark,1,0))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IF($A369="","",IF($F369&gt;dbe_esikFark,1,0))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IF($A370="","",IF($F370&gt;dbe_esikFark,1,0))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IF($A371="","",IF($F371&gt;dbe_esikFark,1,0))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IF($A372="","",IF($F372&gt;dbe_esikFark,1,0))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IF($A373="","",IF($F373&gt;dbe_esikFark,1,0))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IF($A374="","",IF($F374&gt;dbe_esikFark,1,0))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IF($A375="","",IF($F375&gt;dbe_esikFark,1,0))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IF($A376="","",IF($F376&gt;dbe_esikFark,1,0))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IF($A377="","",IF($F377&gt;dbe_esikFark,1,0))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IF($A378="","",IF($F378&gt;dbe_esikFark,1,0))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IF($A379="","",IF($F379&gt;dbe_esikFark,1,0))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IF($A380="","",IF($F380&gt;dbe_esikFark,1,0))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IF($A381="","",IF($F381&gt;dbe_esikFark,1,0))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IF($A382="","",IF($F382&gt;dbe_esikFark,1,0))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IF($A383="","",IF($F383&gt;dbe_esikFark,1,0))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IF($A384="","",IF($F384&gt;dbe_esikFark,1,0))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IF($A385="","",IF($F385&gt;dbe_esikFark,1,0))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IF($A386="","",IF($F386&gt;dbe_esikFark,1,0))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IF($A387="","",IF($F387&gt;dbe_esikFark,1,0))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IF($A388="","",IF($F388&gt;dbe_esikFark,1,0))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IF($A389="","",IF($F389&gt;dbe_esikFark,1,0))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IF($A390="","",IF($F390&gt;dbe_esikFark,1,0))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IF($A391="","",IF($F391&gt;dbe_esikFark,1,0))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IF($A392="","",IF($F392&gt;dbe_esikFark,1,0))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IF($A393="","",IF($F393&gt;dbe_esikFark,1,0))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IF($A394="","",IF($F394&gt;dbe_esikFark,1,0))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IF($A395="","",IF($F395&gt;dbe_esikFark,1,0))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IF($A396="","",IF($F396&gt;dbe_esikFark,1,0))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IF($A397="","",IF($F397&gt;dbe_esikFark,1,0))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IF($A398="","",IF($F398&gt;dbe_esikFark,1,0))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IF($A399="","",IF($F399&gt;dbe_esikFark,1,0))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IF($A400="","",IF($F400&gt;dbe_esikFark,1,0))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IF($A401="","",IF($F401&gt;dbe_esikFark,1,0))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IF($A402="","",IF($F402&gt;dbe_esikFark,1,0))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IF($A403="","",IF($F403&gt;dbe_esikFark,1,0))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IF($A404="","",IF($F404&gt;dbe_esikFark,1,0))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IF($A405="","",IF($F405&gt;dbe_esikFark,1,0))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IF($A406="","",IF($F406&gt;dbe_esikFark,1,0))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IF($A407="","",IF($F407&gt;dbe_esikFark,1,0))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IF($A408="","",IF($F408&gt;dbe_esikFark,1,0))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IF($A409="","",IF($F409&gt;dbe_esikFark,1,0))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IF($A410="","",IF($F410&gt;dbe_esikFark,1,0))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IF($A411="","",IF($F411&gt;dbe_esikFark,1,0))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IF($A412="","",IF($F412&gt;dbe_esikFark,1,0))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IF($A413="","",IF($F413&gt;dbe_esikFark,1,0))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IF($A414="","",IF($F414&gt;dbe_esikFark,1,0))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IF($A415="","",IF($F415&gt;dbe_esikFark,1,0))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IF($A416="","",IF($F416&gt;dbe_esikFark,1,0))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IF($A417="","",IF($F417&gt;dbe_esikFark,1,0))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IF($A418="","",IF($F418&gt;dbe_esikFark,1,0))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IF($A419="","",IF($F419&gt;dbe_esikFark,1,0))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IF($A420="","",IF($F420&gt;dbe_esikFark,1,0))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IF($A421="","",IF($F421&gt;dbe_esikFark,1,0))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IF($A422="","",IF($F422&gt;dbe_esikFark,1,0))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IF($A423="","",IF($F423&gt;dbe_esikFark,1,0))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IF($A424="","",IF($F424&gt;dbe_esikFark,1,0))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IF($A425="","",IF($F425&gt;dbe_esikFark,1,0))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IF($A426="","",IF($F426&gt;dbe_esikFark,1,0))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IF($A427="","",IF($F427&gt;dbe_esikFark,1,0))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IF($A428="","",IF($F428&gt;dbe_esikFark,1,0))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IF($A429="","",IF($F429&gt;dbe_esikFark,1,0))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IF($A430="","",IF($F430&gt;dbe_esikFark,1,0))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IF($A431="","",IF($F431&gt;dbe_esikFark,1,0))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IF($A432="","",IF($F432&gt;dbe_esikFark,1,0))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IF($A433="","",IF($F433&gt;dbe_esikFark,1,0))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IF($A434="","",IF($F434&gt;dbe_esikFark,1,0))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IF($A435="","",IF($F435&gt;dbe_esikFark,1,0))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IF($A436="","",IF($F436&gt;dbe_esikFark,1,0))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IF($A437="","",IF($F437&gt;dbe_esikFark,1,0))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IF($A438="","",IF($F438&gt;dbe_esikFark,1,0))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IF($A439="","",IF($F439&gt;dbe_esikFark,1,0))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IF($A440="","",IF($F440&gt;dbe_esikFark,1,0))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IF($A441="","",IF($F441&gt;dbe_esikFark,1,0))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IF($A442="","",IF($F442&gt;dbe_esikFark,1,0))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IF($A443="","",IF($F443&gt;dbe_esikFark,1,0))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IF($A444="","",IF($F444&gt;dbe_esikFark,1,0))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IF($A445="","",IF($F445&gt;dbe_esikFark,1,0))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IF($A446="","",IF($F446&gt;dbe_esikFark,1,0))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IF($A447="","",IF($F447&gt;dbe_esikFark,1,0))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IF($A448="","",IF($F448&gt;dbe_esikFark,1,0))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IF($A449="","",IF($F449&gt;dbe_esikFark,1,0))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IF($A450="","",IF($F450&gt;dbe_esikFark,1,0))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IF($A451="","",IF($F451&gt;dbe_esikFark,1,0))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IF($A452="","",IF($F452&gt;dbe_esikFark,1,0))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IF($A453="","",IF($F453&gt;dbe_esikFark,1,0))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IF($A454="","",IF($F454&gt;dbe_esikFark,1,0))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IF($A455="","",IF($F455&gt;dbe_esikFark,1,0))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IF($A456="","",IF($F456&gt;dbe_esikFark,1,0))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IF($A457="","",IF($F457&gt;dbe_esikFark,1,0))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IF($A458="","",IF($F458&gt;dbe_esikFark,1,0))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IF($A459="","",IF($F459&gt;dbe_esikFark,1,0))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IF($A460="","",IF($F460&gt;dbe_esikFark,1,0))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IF($A461="","",IF($F461&gt;dbe_esikFark,1,0))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IF($A462="","",IF($F462&gt;dbe_esikFark,1,0))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IF($A463="","",IF($F463&gt;dbe_esikFark,1,0))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IF($A464="","",IF($F464&gt;dbe_esikFark,1,0))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IF($A465="","",IF($F465&gt;dbe_esikFark,1,0))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IF($A466="","",IF($F466&gt;dbe_esikFark,1,0))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IF($A467="","",IF($F467&gt;dbe_esikFark,1,0))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IF($A468="","",IF($F468&gt;dbe_esikFark,1,0))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IF($A469="","",IF($F469&gt;dbe_esikFark,1,0))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IF($A470="","",IF($F470&gt;dbe_esikFark,1,0))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IF($A471="","",IF($F471&gt;dbe_esikFark,1,0))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IF($A472="","",IF($F472&gt;dbe_esikFark,1,0))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IF($A473="","",IF($F473&gt;dbe_esikFark,1,0))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IF($A474="","",IF($F474&gt;dbe_esikFark,1,0))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IF($A475="","",IF($F475&gt;dbe_esikFark,1,0))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IF($A476="","",IF($F476&gt;dbe_esikFark,1,0))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IF($A477="","",IF($F477&gt;dbe_esikFark,1,0))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IF($A478="","",IF($F478&gt;dbe_esikFark,1,0))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IF($A479="","",IF($F479&gt;dbe_esikFark,1,0))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IF($A480="","",IF($F480&gt;dbe_esikFark,1,0))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IF($A481="","",IF($F481&gt;dbe_esikFark,1,0))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IF($A482="","",IF($F482&gt;dbe_esikFark,1,0))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IF($A483="","",IF($F483&gt;dbe_esikFark,1,0))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IF($A484="","",IF($F484&gt;dbe_esikFark,1,0))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IF($A485="","",IF($F485&gt;dbe_esikFark,1,0))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IF($A486="","",IF($F486&gt;dbe_esikFark,1,0))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IF($A487="","",IF($F487&gt;dbe_esikFark,1,0))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IF($A488="","",IF($F488&gt;dbe_esikFark,1,0))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IF($A489="","",IF($F489&gt;dbe_esikFark,1,0))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IF($A490="","",IF($F490&gt;dbe_esikFark,1,0))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IF($A491="","",IF($F491&gt;dbe_esikFark,1,0))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IF($A492="","",IF($F492&gt;dbe_esikFark,1,0))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IF($A493="","",IF($F493&gt;dbe_esikFark,1,0))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IF($A494="","",IF($F494&gt;dbe_esikFark,1,0))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IF($A495="","",IF($F495&gt;dbe_esikFark,1,0))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IF($A496="","",IF($F496&gt;dbe_esikFark,1,0))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IF($A497="","",IF($F497&gt;dbe_esikFark,1,0))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IF($A498="","",IF($F498&gt;dbe_esikFark,1,0))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IF($A499="","",IF($F499&gt;dbe_esikFark,1,0))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IF($A500="","",IF($F500&gt;dbe_esikFark,1,0))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IF($A501="","",IF($F501&gt;dbe_esikFark,1,0))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IF($A502="","",IF($F502&gt;dbe_esikFark,1,0))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IF($A503="","",IF($F503&gt;dbe_esikFark,1,0))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IF($A504="","",IF($F504&gt;dbe_esikFark,1,0))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IF($A505="","",IF($F505&gt;dbe_esikFark,1,0))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IF($A506="","",IF($F506&gt;dbe_esikFark,1,0))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IF($A507="","",IF($F507&gt;dbe_esikFark,1,0))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IF($A508="","",IF($F508&gt;dbe_esikFark,1,0))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IF($A509="","",IF($F509&gt;dbe_esikFark,1,0))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IF($A510="","",IF($F510&gt;dbe_esikFark,1,0))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IF($A511="","",IF($F511&gt;dbe_esikFark,1,0))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IF($A512="","",IF($F512&gt;dbe_esikFark,1,0))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IF($A513="","",IF($F513&gt;dbe_esikFark,1,0))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IF($A514="","",IF($F514&gt;dbe_esikFark,1,0))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IF($A515="","",IF($F515&gt;dbe_esikFark,1,0))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IF($A516="","",IF($F516&gt;dbe_esikFark,1,0))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IF($A517="","",IF($F517&gt;dbe_esikFark,1,0))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IF($A518="","",IF($F518&gt;dbe_esikFark,1,0))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IF($A519="","",IF($F519&gt;dbe_esikFark,1,0))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IF($A520="","",IF($F520&gt;dbe_esikFark,1,0))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IF($A521="","",IF($F521&gt;dbe_esikFark,1,0))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IF($A522="","",IF($F522&gt;dbe_esikFark,1,0))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IF($A523="","",IF($F523&gt;dbe_esikFark,1,0))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IF($A524="","",IF($F524&gt;dbe_esikFark,1,0))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IF($A525="","",IF($F525&gt;dbe_esikFark,1,0))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IF($A526="","",IF($F526&gt;dbe_esikFark,1,0))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IF($A527="","",IF($F527&gt;dbe_esikFark,1,0))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IF($A528="","",IF($F528&gt;dbe_esikFark,1,0))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IF($A529="","",IF($F529&gt;dbe_esikFark,1,0))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IF($A530="","",IF($F530&gt;dbe_esikFark,1,0))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IF($A531="","",IF($F531&gt;dbe_esikFark,1,0))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IF($A532="","",IF($F532&gt;dbe_esikFark,1,0))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IF($A533="","",IF($F533&gt;dbe_esikFark,1,0))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IF($A534="","",IF($F534&gt;dbe_esikFark,1,0))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IF($A535="","",IF($F535&gt;dbe_esikFark,1,0))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IF($A536="","",IF($F536&gt;dbe_esikFark,1,0))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IF($A537="","",IF($F537&gt;dbe_esikFark,1,0))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IF($A538="","",IF($F538&gt;dbe_esikFark,1,0))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IF($A539="","",IF($F539&gt;dbe_esikFark,1,0))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IF($A540="","",IF($F540&gt;dbe_esikFark,1,0))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IF($A541="","",IF($F541&gt;dbe_esikFark,1,0))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IF($A542="","",IF($F542&gt;dbe_esikFark,1,0))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IF($A543="","",IF($F543&gt;dbe_esikFark,1,0))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IF($A544="","",IF($F544&gt;dbe_esikFark,1,0))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IF($A545="","",IF($F545&gt;dbe_esikFark,1,0))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IF($A546="","",IF($F546&gt;dbe_esikFark,1,0))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IF($A547="","",IF($F547&gt;dbe_esikFark,1,0))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IF($A548="","",IF($F548&gt;dbe_esikFark,1,0))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IF($A549="","",IF($F549&gt;dbe_esikFark,1,0))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IF($A550="","",IF($F550&gt;dbe_esikFark,1,0))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IF($A551="","",IF($F551&gt;dbe_esikFark,1,0))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IF($A552="","",IF($F552&gt;dbe_esikFark,1,0))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IF($A553="","",IF($F553&gt;dbe_esikFark,1,0))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IF($A554="","",IF($F554&gt;dbe_esikFark,1,0))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IF($A555="","",IF($F555&gt;dbe_esikFark,1,0))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IF($A556="","",IF($F556&gt;dbe_esikFark,1,0))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IF($A557="","",IF($F557&gt;dbe_esikFark,1,0))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IF($A558="","",IF($F558&gt;dbe_esikFark,1,0))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IF($A559="","",IF($F559&gt;dbe_esikFark,1,0))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IF($A560="","",IF($F560&gt;dbe_esikFark,1,0))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IF($A561="","",IF($F561&gt;dbe_esikFark,1,0))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IF($A562="","",IF($F562&gt;dbe_esikFark,1,0))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IF($A563="","",IF($F563&gt;dbe_esikFark,1,0))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IF($A564="","",IF($F564&gt;dbe_esikFark,1,0))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IF($A565="","",IF($F565&gt;dbe_esikFark,1,0))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IF($A566="","",IF($F566&gt;dbe_esikFark,1,0))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IF($A567="","",IF($F567&gt;dbe_esikFark,1,0))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IF($A568="","",IF($F568&gt;dbe_esikFark,1,0))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IF($A569="","",IF($F569&gt;dbe_esikFark,1,0))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IF($A570="","",IF($F570&gt;dbe_esikFark,1,0))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IF($A571="","",IF($F571&gt;dbe_esikFark,1,0))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IF($A572="","",IF($F572&gt;dbe_esikFark,1,0))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IF($A573="","",IF($F573&gt;dbe_esikFark,1,0))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IF($A574="","",IF($F574&gt;dbe_esikFark,1,0))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IF($A575="","",IF($F575&gt;dbe_esikFark,1,0))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IF($A576="","",IF($F576&gt;dbe_esikFark,1,0))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IF($A577="","",IF($F577&gt;dbe_esikFark,1,0))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IF($A578="","",IF($F578&gt;dbe_esikFark,1,0))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IF($A579="","",IF($F579&gt;dbe_esikFark,1,0))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IF($A580="","",IF($F580&gt;dbe_esikFark,1,0))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IF($A581="","",IF($F581&gt;dbe_esikFark,1,0))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IF($A582="","",IF($F582&gt;dbe_esikFark,1,0))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IF($A583="","",IF($F583&gt;dbe_esikFark,1,0))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IF($A584="","",IF($F584&gt;dbe_esikFark,1,0))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IF($A585="","",IF($F585&gt;dbe_esikFark,1,0))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IF($A586="","",IF($F586&gt;dbe_esikFark,1,0))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IF($A587="","",IF($F587&gt;dbe_esikFark,1,0))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IF($A588="","",IF($F588&gt;dbe_esikFark,1,0))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IF($A589="","",IF($F589&gt;dbe_esikFark,1,0))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IF($A590="","",IF($F590&gt;dbe_esikFark,1,0))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IF($A591="","",IF($F591&gt;dbe_esikFark,1,0))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IF($A592="","",IF($F592&gt;dbe_esikFark,1,0))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IF($A593="","",IF($F593&gt;dbe_esikFark,1,0))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IF($A594="","",IF($F594&gt;dbe_esikFark,1,0))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IF($A595="","",IF($F595&gt;dbe_esikFark,1,0))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IF($A596="","",IF($F596&gt;dbe_esikFark,1,0))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IF($A597="","",IF($F597&gt;dbe_esikFark,1,0))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IF($A598="","",IF($F598&gt;dbe_esikFark,1,0))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IF($A599="","",IF($F599&gt;dbe_esikFark,1,0))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IF($A600="","",IF($F600&gt;dbe_esikFark,1,0))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IF($A601="","",IF($F601&gt;dbe_esikFark,1,0))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IF($A602="","",IF($F602&gt;dbe_esikFark,1,0))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IF($A603="","",IF($F603&gt;dbe_esikFark,1,0))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IF($A604="","",IF($F604&gt;dbe_esikFark,1,0))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IF($A605="","",IF($F605&gt;dbe_esikFark,1,0))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IF($A606="","",IF($F606&gt;dbe_esikFark,1,0))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IF($A607="","",IF($F607&gt;dbe_esikFark,1,0))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IF($A608="","",IF($F608&gt;dbe_esikFark,1,0))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IF($A609="","",IF($F609&gt;dbe_esikFark,1,0))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IF($A610="","",IF($F610&gt;dbe_esikFark,1,0))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IF($A611="","",IF($F611&gt;dbe_esikFark,1,0))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IF($A612="","",IF($F612&gt;dbe_esikFark,1,0))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IF($A613="","",IF($F613&gt;dbe_esikFark,1,0))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IF($A614="","",IF($F614&gt;dbe_esikFark,1,0))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IF($A615="","",IF($F615&gt;dbe_esikFark,1,0))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IF($A616="","",IF($F616&gt;dbe_esikFark,1,0))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IF($A617="","",IF($F617&gt;dbe_esikFark,1,0))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IF($A618="","",IF($F618&gt;dbe_esikFark,1,0))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IF($A619="","",IF($F619&gt;dbe_esikFark,1,0))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IF($A620="","",IF($F620&gt;dbe_esikFark,1,0))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IF($A621="","",IF($F621&gt;dbe_esikFark,1,0))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IF($A622="","",IF($F622&gt;dbe_esikFark,1,0))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IF($A623="","",IF($F623&gt;dbe_esikFark,1,0))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IF($A624="","",IF($F624&gt;dbe_esikFark,1,0))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IF($A625="","",IF($F625&gt;dbe_esikFark,1,0))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IF($A626="","",IF($F626&gt;dbe_esikFark,1,0))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IF($A627="","",IF($F627&gt;dbe_esikFark,1,0))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IF($A628="","",IF($F628&gt;dbe_esikFark,1,0))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IF($A629="","",IF($F629&gt;dbe_esikFark,1,0))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IF($A630="","",IF($F630&gt;dbe_esikFark,1,0))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IF($A631="","",IF($F631&gt;dbe_esikFark,1,0))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IF($A632="","",IF($F632&gt;dbe_esikFark,1,0))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IF($A633="","",IF($F633&gt;dbe_esikFark,1,0))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IF($A634="","",IF($F634&gt;dbe_esikFark,1,0))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IF($A635="","",IF($F635&gt;dbe_esikFark,1,0))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IF($A636="","",IF($F636&gt;dbe_esikFark,1,0))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IF($A637="","",IF($F637&gt;dbe_esikFark,1,0))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IF($A638="","",IF($F638&gt;dbe_esikFark,1,0))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IF($A639="","",IF($F639&gt;dbe_esikFark,1,0))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IF($A640="","",IF($F640&gt;dbe_esikFark,1,0))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IF($A641="","",IF($F641&gt;dbe_esikFark,1,0))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IF($A642="","",IF($F642&gt;dbe_esikFark,1,0))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IF($A643="","",IF($F643&gt;dbe_esikFark,1,0))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IF($A644="","",IF($F644&gt;dbe_esikFark,1,0))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IF($A645="","",IF($F645&gt;dbe_esikFark,1,0))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IF($A646="","",IF($F646&gt;dbe_esikFark,1,0))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IF($A647="","",IF($F647&gt;dbe_esikFark,1,0))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IF($A648="","",IF($F648&gt;dbe_esikFark,1,0))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IF($A649="","",IF($F649&gt;dbe_esikFark,1,0))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IF($A650="","",IF($F650&gt;dbe_esikFark,1,0))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IF($A651="","",IF($F651&gt;dbe_esikFark,1,0))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IF($A652="","",IF($F652&gt;dbe_esikFark,1,0))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IF($A653="","",IF($F653&gt;dbe_esikFark,1,0))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IF($A654="","",IF($F654&gt;dbe_esikFark,1,0))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IF($A655="","",IF($F655&gt;dbe_esikFark,1,0))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IF($A656="","",IF($F656&gt;dbe_esikFark,1,0))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IF($A657="","",IF($F657&gt;dbe_esikFark,1,0))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IF($A658="","",IF($F658&gt;dbe_esikFark,1,0))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IF($A659="","",IF($F659&gt;dbe_esikFark,1,0))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IF($A660="","",IF($F660&gt;dbe_esikFark,1,0))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IF($A661="","",IF($F661&gt;dbe_esikFark,1,0))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IF($A662="","",IF($F662&gt;dbe_esikFark,1,0))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IF($A663="","",IF($F663&gt;dbe_esikFark,1,0))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IF($A664="","",IF($F664&gt;dbe_esikFark,1,0))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IF($A665="","",IF($F665&gt;dbe_esikFark,1,0))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IF($A666="","",IF($F666&gt;dbe_esikFark,1,0))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IF($A667="","",IF($F667&gt;dbe_esikFark,1,0))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IF($A668="","",IF($F668&gt;dbe_esikFark,1,0))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IF($A669="","",IF($F669&gt;dbe_esikFark,1,0))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IF($A670="","",IF($F670&gt;dbe_esikFark,1,0))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IF($A671="","",IF($F671&gt;dbe_esikFark,1,0))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IF($A672="","",IF($F672&gt;dbe_esikFark,1,0))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IF($A673="","",IF($F673&gt;dbe_esikFark,1,0))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IF($A674="","",IF($F674&gt;dbe_esikFark,1,0))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IF($A675="","",IF($F675&gt;dbe_esikFark,1,0))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IF($A676="","",IF($F676&gt;dbe_esikFark,1,0))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IF($A677="","",IF($F677&gt;dbe_esikFark,1,0))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IF($A678="","",IF($F678&gt;dbe_esikFark,1,0))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IF($A679="","",IF($F679&gt;dbe_esikFark,1,0))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IF($A680="","",IF($F680&gt;dbe_esikFark,1,0))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IF($A681="","",IF($F681&gt;dbe_esikFark,1,0))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IF($A682="","",IF($F682&gt;dbe_esikFark,1,0))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IF($A683="","",IF($F683&gt;dbe_esikFark,1,0))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IF($A684="","",IF($F684&gt;dbe_esikFark,1,0))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IF($A685="","",IF($F685&gt;dbe_esikFark,1,0))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IF($A686="","",IF($F686&gt;dbe_esikFark,1,0))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IF($A687="","",IF($F687&gt;dbe_esikFark,1,0))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IF($A688="","",IF($F688&gt;dbe_esikFark,1,0))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IF($A689="","",IF($F689&gt;dbe_esikFark,1,0))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IF($A690="","",IF($F690&gt;dbe_esikFark,1,0))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IF($A691="","",IF($F691&gt;dbe_esikFark,1,0))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IF($A692="","",IF($F692&gt;dbe_esikFark,1,0))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IF($A693="","",IF($F693&gt;dbe_esikFark,1,0))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IF($A694="","",IF($F694&gt;dbe_esikFark,1,0))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IF($A695="","",IF($F695&gt;dbe_esikFark,1,0))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IF($A696="","",IF($F696&gt;dbe_esikFark,1,0))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IF($A697="","",IF($F697&gt;dbe_esikFark,1,0))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IF($A698="","",IF($F698&gt;dbe_esikFark,1,0))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IF($A699="","",IF($F699&gt;dbe_esikFark,1,0))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IF($A700="","",IF($F700&gt;dbe_esikFark,1,0))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IF($A701="","",IF($F701&gt;dbe_esikFark,1,0))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IF($A702="","",IF($F702&gt;dbe_esikFark,1,0))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IF($A703="","",IF($F703&gt;dbe_esikFark,1,0))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IF($A704="","",IF($F704&gt;dbe_esikFark,1,0))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IF($A705="","",IF($F705&gt;dbe_esikFark,1,0))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IF($A706="","",IF($F706&gt;dbe_esikFark,1,0))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IF($A707="","",IF($F707&gt;dbe_esikFark,1,0))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IF($A708="","",IF($F708&gt;dbe_esikFark,1,0))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IF($A709="","",IF($F709&gt;dbe_esikFark,1,0))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IF($A710="","",IF($F710&gt;dbe_esikFark,1,0))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IF($A711="","",IF($F711&gt;dbe_esikFark,1,0))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IF($A712="","",IF($F712&gt;dbe_esikFark,1,0))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IF($A713="","",IF($F713&gt;dbe_esikFark,1,0))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IF($A714="","",IF($F714&gt;dbe_esikFark,1,0))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IF($A715="","",IF($F715&gt;dbe_esikFark,1,0))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IF($A716="","",IF($F716&gt;dbe_esikFark,1,0))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IF($A717="","",IF($F717&gt;dbe_esikFark,1,0))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IF($A718="","",IF($F718&gt;dbe_esikFark,1,0))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IF($A719="","",IF($F719&gt;dbe_esikFark,1,0))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IF($A720="","",IF($F720&gt;dbe_esikFark,1,0))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IF($A721="","",IF($F721&gt;dbe_esikFark,1,0))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IF($A722="","",IF($F722&gt;dbe_esikFark,1,0))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IF($A723="","",IF($F723&gt;dbe_esikFark,1,0))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IF($A724="","",IF($F724&gt;dbe_esikFark,1,0))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IF($A725="","",IF($F725&gt;dbe_esikFark,1,0))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IF($A726="","",IF($F726&gt;dbe_esikFark,1,0))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IF($A727="","",IF($F727&gt;dbe_esikFark,1,0))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IF($A728="","",IF($F728&gt;dbe_esikFark,1,0))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IF($A729="","",IF($F729&gt;dbe_esikFark,1,0))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IF($A730="","",IF($F730&gt;dbe_esikFark,1,0))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IF($A731="","",IF($F731&gt;dbe_esikFark,1,0))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IF($A732="","",IF($F732&gt;dbe_esikFark,1,0))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IF($A733="","",IF($F733&gt;dbe_esikFark,1,0))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IF($A734="","",IF($F734&gt;dbe_esikFark,1,0))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IF($A735="","",IF($F735&gt;dbe_esikFark,1,0))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IF($A736="","",IF($F736&gt;dbe_esikFark,1,0))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IF($A737="","",IF($F737&gt;dbe_esikFark,1,0))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IF($A738="","",IF($F738&gt;dbe_esikFark,1,0))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IF($A739="","",IF($F739&gt;dbe_esikFark,1,0))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IF($A740="","",IF($F740&gt;dbe_esikFark,1,0))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IF($A741="","",IF($F741&gt;dbe_esikFark,1,0))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IF($A742="","",IF($F742&gt;dbe_esikFark,1,0))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IF($A743="","",IF($F743&gt;dbe_esikFark,1,0))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IF($A744="","",IF($F744&gt;dbe_esikFark,1,0))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IF($A745="","",IF($F745&gt;dbe_esikFark,1,0))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IF($A746="","",IF($F746&gt;dbe_esikFark,1,0))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IF($A747="","",IF($F747&gt;dbe_esikFark,1,0))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IF($A748="","",IF($F748&gt;dbe_esikFark,1,0))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IF($A749="","",IF($F749&gt;dbe_esikFark,1,0))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IF($A750="","",IF($F750&gt;dbe_esikFark,1,0))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IF($A751="","",IF($F751&gt;dbe_esikFark,1,0))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IF($A752="","",IF($F752&gt;dbe_esikFark,1,0))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IF($A753="","",IF($F753&gt;dbe_esikFark,1,0))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IF($A754="","",IF($F754&gt;dbe_esikFark,1,0))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IF($A755="","",IF($F755&gt;dbe_esikFark,1,0))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IF($A756="","",IF($F756&gt;dbe_esikFark,1,0))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IF($A757="","",IF($F757&gt;dbe_esikFark,1,0))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IF($A758="","",IF($F758&gt;dbe_esikFark,1,0))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IF($A759="","",IF($F759&gt;dbe_esikFark,1,0))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IF($A760="","",IF($F760&gt;dbe_esikFark,1,0))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IF($A761="","",IF($F761&gt;dbe_esikFark,1,0))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IF($A762="","",IF($F762&gt;dbe_esikFark,1,0))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IF($A763="","",IF($F763&gt;dbe_esikFark,1,0))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IF($A764="","",IF($F764&gt;dbe_esikFark,1,0))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IF($A765="","",IF($F765&gt;dbe_esikFark,1,0))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IF($A766="","",IF($F766&gt;dbe_esikFark,1,0))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IF($A767="","",IF($F767&gt;dbe_esikFark,1,0))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IF($A768="","",IF($F768&gt;dbe_esikFark,1,0))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IF($A769="","",IF($F769&gt;dbe_esikFark,1,0))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IF($A770="","",IF($F770&gt;dbe_esikFark,1,0))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IF($A771="","",IF($F771&gt;dbe_esikFark,1,0))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IF($A772="","",IF($F772&gt;dbe_esikFark,1,0))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IF($A773="","",IF($F773&gt;dbe_esikFark,1,0))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IF($A774="","",IF($F774&gt;dbe_esikFark,1,0))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IF($A775="","",IF($F775&gt;dbe_esikFark,1,0))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IF($A776="","",IF($F776&gt;dbe_esikFark,1,0))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IF($A777="","",IF($F777&gt;dbe_esikFark,1,0))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IF($A778="","",IF($F778&gt;dbe_esikFark,1,0))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IF($A779="","",IF($F779&gt;dbe_esikFark,1,0))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IF($A780="","",IF($F780&gt;dbe_esikFark,1,0))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IF($A781="","",IF($F781&gt;dbe_esikFark,1,0))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IF($A782="","",IF($F782&gt;dbe_esikFark,1,0))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IF($A783="","",IF($F783&gt;dbe_esikFark,1,0))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IF($A784="","",IF($F784&gt;dbe_esikFark,1,0))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IF($A785="","",IF($F785&gt;dbe_esikFark,1,0))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IF($A786="","",IF($F786&gt;dbe_esikFark,1,0))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IF($A787="","",IF($F787&gt;dbe_esikFark,1,0))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IF($A788="","",IF($F788&gt;dbe_esikFark,1,0))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IF($A789="","",IF($F789&gt;dbe_esikFark,1,0))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IF($A790="","",IF($F790&gt;dbe_esikFark,1,0))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IF($A791="","",IF($F791&gt;dbe_esikFark,1,0))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IF($A792="","",IF($F792&gt;dbe_esikFark,1,0))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IF($A793="","",IF($F793&gt;dbe_esikFark,1,0))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IF($A794="","",IF($F794&gt;dbe_esikFark,1,0))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IF($A795="","",IF($F795&gt;dbe_esikFark,1,0))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IF($A796="","",IF($F796&gt;dbe_esikFark,1,0))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IF($A797="","",IF($F797&gt;dbe_esikFark,1,0))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IF($A798="","",IF($F798&gt;dbe_esikFark,1,0))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IF($A799="","",IF($F799&gt;dbe_esikFark,1,0))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IF($A800="","",IF($F800&gt;dbe_esikFark,1,0))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IF($A801="","",IF($F801&gt;dbe_esikFark,1,0))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IF($A802="","",IF($F802&gt;dbe_esikFark,1,0))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IF($A803="","",IF($F803&gt;dbe_esikFark,1,0))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IF($A804="","",IF($F804&gt;dbe_esikFark,1,0))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IF($A805="","",IF($F805&gt;dbe_esikFark,1,0))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IF($A806="","",IF($F806&gt;dbe_esikFark,1,0))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IF($A807="","",IF($F807&gt;dbe_esikFark,1,0))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IF($A808="","",IF($F808&gt;dbe_esikFark,1,0))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IF($A809="","",IF($F809&gt;dbe_esikFark,1,0))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IF($A810="","",IF($F810&gt;dbe_esikFark,1,0))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IF($A811="","",IF($F811&gt;dbe_esikFark,1,0))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IF($A812="","",IF($F812&gt;dbe_esikFark,1,0))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IF($A813="","",IF($F813&gt;dbe_esikFark,1,0))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IF($A814="","",IF($F814&gt;dbe_esikFark,1,0))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IF($A815="","",IF($F815&gt;dbe_esikFark,1,0))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IF($A816="","",IF($F816&gt;dbe_esikFark,1,0))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IF($A817="","",IF($F817&gt;dbe_esikFark,1,0))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IF($A818="","",IF($F818&gt;dbe_esikFark,1,0))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IF($A819="","",IF($F819&gt;dbe_esikFark,1,0))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IF($A820="","",IF($F820&gt;dbe_esikFark,1,0))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IF($A821="","",IF($F821&gt;dbe_esikFark,1,0))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IF($A822="","",IF($F822&gt;dbe_esikFark,1,0))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IF($A823="","",IF($F823&gt;dbe_esikFark,1,0))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IF($A824="","",IF($F824&gt;dbe_esikFark,1,0))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IF($A825="","",IF($F825&gt;dbe_esikFark,1,0))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IF($A826="","",IF($F826&gt;dbe_esikFark,1,0))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IF($A827="","",IF($F827&gt;dbe_esikFark,1,0))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IF($A828="","",IF($F828&gt;dbe_esikFark,1,0))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IF($A829="","",IF($F829&gt;dbe_esikFark,1,0))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IF($A830="","",IF($F830&gt;dbe_esikFark,1,0))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IF($A831="","",IF($F831&gt;dbe_esikFark,1,0))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IF($A832="","",IF($F832&gt;dbe_esikFark,1,0))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IF($A833="","",IF($F833&gt;dbe_esikFark,1,0))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IF($A834="","",IF($F834&gt;dbe_esikFark,1,0))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IF($A835="","",IF($F835&gt;dbe_esikFark,1,0))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IF($A836="","",IF($F836&gt;dbe_esikFark,1,0))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IF($A837="","",IF($F837&gt;dbe_esikFark,1,0))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IF($A838="","",IF($F838&gt;dbe_esikFark,1,0))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IF($A839="","",IF($F839&gt;dbe_esikFark,1,0))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IF($A840="","",IF($F840&gt;dbe_esikFark,1,0))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IF($A841="","",IF($F841&gt;dbe_esikFark,1,0))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IF($A842="","",IF($F842&gt;dbe_esikFark,1,0))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IF($A843="","",IF($F843&gt;dbe_esikFark,1,0))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IF($A844="","",IF($F844&gt;dbe_esikFark,1,0))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IF($A845="","",IF($F845&gt;dbe_esikFark,1,0))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IF($A846="","",IF($F846&gt;dbe_esikFark,1,0))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IF($A847="","",IF($F847&gt;dbe_esikFark,1,0))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IF($A848="","",IF($F848&gt;dbe_esikFark,1,0))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IF($A849="","",IF($F849&gt;dbe_esikFark,1,0))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IF($A850="","",IF($F850&gt;dbe_esikFark,1,0))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IF($A851="","",IF($F851&gt;dbe_esikFark,1,0))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IF($A852="","",IF($F852&gt;dbe_esikFark,1,0))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IF($A853="","",IF($F853&gt;dbe_esikFark,1,0))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IF($A854="","",IF($F854&gt;dbe_esikFark,1,0))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IF($A855="","",IF($F855&gt;dbe_esikFark,1,0))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IF($A856="","",IF($F856&gt;dbe_esikFark,1,0))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IF($A857="","",IF($F857&gt;dbe_esikFark,1,0))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IF($A858="","",IF($F858&gt;dbe_esikFark,1,0))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IF($A859="","",IF($F859&gt;dbe_esikFark,1,0))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IF($A860="","",IF($F860&gt;dbe_esikFark,1,0))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IF($A861="","",IF($F861&gt;dbe_esikFark,1,0))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IF($A862="","",IF($F862&gt;dbe_esikFark,1,0))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IF($A863="","",IF($F863&gt;dbe_esikFark,1,0))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IF($A864="","",IF($F864&gt;dbe_esikFark,1,0))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IF($A865="","",IF($F865&gt;dbe_esikFark,1,0))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IF($A866="","",IF($F866&gt;dbe_esikFark,1,0))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IF($A867="","",IF($F867&gt;dbe_esikFark,1,0))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IF($A868="","",IF($F868&gt;dbe_esikFark,1,0))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IF($A869="","",IF($F869&gt;dbe_esikFark,1,0))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IF($A870="","",IF($F870&gt;dbe_esikFark,1,0))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IF($A871="","",IF($F871&gt;dbe_esikFark,1,0))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IF($A872="","",IF($F872&gt;dbe_esikFark,1,0))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IF($A873="","",IF($F873&gt;dbe_esikFark,1,0))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IF($A874="","",IF($F874&gt;dbe_esikFark,1,0))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IF($A875="","",IF($F875&gt;dbe_esikFark,1,0))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IF($A876="","",IF($F876&gt;dbe_esikFark,1,0))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IF($A877="","",IF($F877&gt;dbe_esikFark,1,0))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IF($A878="","",IF($F878&gt;dbe_esikFark,1,0))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IF($A879="","",IF($F879&gt;dbe_esikFark,1,0))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IF($A880="","",IF($F880&gt;dbe_esikFark,1,0))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IF($A881="","",IF($F881&gt;dbe_esikFark,1,0))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IF($A882="","",IF($F882&gt;dbe_esikFark,1,0))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IF($A883="","",IF($F883&gt;dbe_esikFark,1,0))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IF($A884="","",IF($F884&gt;dbe_esikFark,1,0))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IF($A885="","",IF($F885&gt;dbe_esikFark,1,0))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IF($A886="","",IF($F886&gt;dbe_esikFark,1,0))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IF($A887="","",IF($F887&gt;dbe_esikFark,1,0))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IF($A888="","",IF($F888&gt;dbe_esikFark,1,0))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IF($A889="","",IF($F889&gt;dbe_esikFark,1,0))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IF($A890="","",IF($F890&gt;dbe_esikFark,1,0))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IF($A891="","",IF($F891&gt;dbe_esikFark,1,0))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IF($A892="","",IF($F892&gt;dbe_esikFark,1,0))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IF($A893="","",IF($F893&gt;dbe_esikFark,1,0))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IF($A894="","",IF($F894&gt;dbe_esikFark,1,0))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IF($A895="","",IF($F895&gt;dbe_esikFark,1,0))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IF($A896="","",IF($F896&gt;dbe_esikFark,1,0))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IF($A897="","",IF($F897&gt;dbe_esikFark,1,0))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IF($A898="","",IF($F898&gt;dbe_esikFark,1,0))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IF($A899="","",IF($F899&gt;dbe_esikFark,1,0))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IF($A900="","",IF($F900&gt;dbe_esikFark,1,0))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IF($A901="","",IF($F901&gt;dbe_esikFark,1,0))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IF($A902="","",IF($F902&gt;dbe_esikFark,1,0))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IF($A903="","",IF($F903&gt;dbe_esikFark,1,0))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IF($A904="","",IF($F904&gt;dbe_esikFark,1,0))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IF($A905="","",IF($F905&gt;dbe_esikFark,1,0))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IF($A906="","",IF($F906&gt;dbe_esikFark,1,0))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IF($A907="","",IF($F907&gt;dbe_esikFark,1,0))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IF($A908="","",IF($F908&gt;dbe_esikFark,1,0))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IF($A909="","",IF($F909&gt;dbe_esikFark,1,0))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IF($A910="","",IF($F910&gt;dbe_esikFark,1,0))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IF($A911="","",IF($F911&gt;dbe_esikFark,1,0))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IF($A912="","",IF($F912&gt;dbe_esikFark,1,0))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IF($A913="","",IF($F913&gt;dbe_esikFark,1,0))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IF($A914="","",IF($F914&gt;dbe_esikFark,1,0))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IF($A915="","",IF($F915&gt;dbe_esikFark,1,0))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IF($A916="","",IF($F916&gt;dbe_esikFark,1,0))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IF($A917="","",IF($F917&gt;dbe_esikFark,1,0))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IF($A918="","",IF($F918&gt;dbe_esikFark,1,0))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IF($A919="","",IF($F919&gt;dbe_esikFark,1,0))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IF($A920="","",IF($F920&gt;dbe_esikFark,1,0))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IF($A921="","",IF($F921&gt;dbe_esikFark,1,0))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IF($A922="","",IF($F922&gt;dbe_esikFark,1,0))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IF($A923="","",IF($F923&gt;dbe_esikFark,1,0))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IF($A924="","",IF($F924&gt;dbe_esikFark,1,0))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IF($A925="","",IF($F925&gt;dbe_esikFark,1,0))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IF($A926="","",IF($F926&gt;dbe_esikFark,1,0))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IF($A927="","",IF($F927&gt;dbe_esikFark,1,0))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IF($A928="","",IF($F928&gt;dbe_esikFark,1,0))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IF($A929="","",IF($F929&gt;dbe_esikFark,1,0))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IF($A930="","",IF($F930&gt;dbe_esikFark,1,0))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IF($A931="","",IF($F931&gt;dbe_esikFark,1,0))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IF($A932="","",IF($F932&gt;dbe_esikFark,1,0))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IF($A933="","",IF($F933&gt;dbe_esikFark,1,0))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IF($A934="","",IF($F934&gt;dbe_esikFark,1,0))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IF($A935="","",IF($F935&gt;dbe_esikFark,1,0))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IF($A936="","",IF($F936&gt;dbe_esikFark,1,0))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IF($A937="","",IF($F937&gt;dbe_esikFark,1,0))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IF($A938="","",IF($F938&gt;dbe_esikFark,1,0))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IF($A939="","",IF($F939&gt;dbe_esikFark,1,0))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IF($A940="","",IF($F940&gt;dbe_esikFark,1,0))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IF($A941="","",IF($F941&gt;dbe_esikFark,1,0))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IF($A942="","",IF($F942&gt;dbe_esikFark,1,0))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IF($A943="","",IF($F943&gt;dbe_esikFark,1,0))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IF($A944="","",IF($F944&gt;dbe_esikFark,1,0))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IF($A945="","",IF($F945&gt;dbe_esikFark,1,0))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IF($A946="","",IF($F946&gt;dbe_esikFark,1,0))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IF($A947="","",IF($F947&gt;dbe_esikFark,1,0))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IF($A948="","",IF($F948&gt;dbe_esikFark,1,0))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IF($A949="","",IF($F949&gt;dbe_esikFark,1,0))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IF($A950="","",IF($F950&gt;dbe_esikFark,1,0))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IF($A951="","",IF($F951&gt;dbe_esikFark,1,0))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IF($A952="","",IF($F952&gt;dbe_esikFark,1,0))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IF($A953="","",IF($F953&gt;dbe_esikFark,1,0))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IF($A954="","",IF($F954&gt;dbe_esikFark,1,0))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IF($A955="","",IF($F955&gt;dbe_esikFark,1,0))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IF($A956="","",IF($F956&gt;dbe_esikFark,1,0))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IF($A957="","",IF($F957&gt;dbe_esikFark,1,0))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IF($A958="","",IF($F958&gt;dbe_esikFark,1,0))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IF($A959="","",IF($F959&gt;dbe_esikFark,1,0))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IF($A960="","",IF($F960&gt;dbe_esikFark,1,0))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IF($A961="","",IF($F961&gt;dbe_esikFark,1,0))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IF($A962="","",IF($F962&gt;dbe_esikFark,1,0))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IF($A963="","",IF($F963&gt;dbe_esikFark,1,0))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IF($A964="","",IF($F964&gt;dbe_esikFark,1,0))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IF($A965="","",IF($F965&gt;dbe_esikFark,1,0))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IF($A966="","",IF($F966&gt;dbe_esikFark,1,0))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IF($A967="","",IF($F967&gt;dbe_esikFark,1,0))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IF($A968="","",IF($F968&gt;dbe_esikFark,1,0))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IF($A969="","",IF($F969&gt;dbe_esikFark,1,0))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IF($A970="","",IF($F970&gt;dbe_esikFark,1,0))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IF($A971="","",IF($F971&gt;dbe_esikFark,1,0))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IF($A972="","",IF($F972&gt;dbe_esikFark,1,0))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IF($A973="","",IF($F973&gt;dbe_esikFark,1,0))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IF($A974="","",IF($F974&gt;dbe_esikFark,1,0))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IF($A975="","",IF($F975&gt;dbe_esikFark,1,0))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IF($A976="","",IF($F976&gt;dbe_esikFark,1,0))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IF($A977="","",IF($F977&gt;dbe_esikFark,1,0))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IF($A978="","",IF($F978&gt;dbe_esikFark,1,0))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IF($A979="","",IF($F979&gt;dbe_esikFark,1,0))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IF($A980="","",IF($F980&gt;dbe_esikFark,1,0))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IF($A981="","",IF($F981&gt;dbe_esikFark,1,0))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IF($A982="","",IF($F982&gt;dbe_esikFark,1,0))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IF($A983="","",IF($F983&gt;dbe_esikFark,1,0))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IF($A984="","",IF($F984&gt;dbe_esikFark,1,0))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IF($A985="","",IF($F985&gt;dbe_esikFark,1,0))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IF($A986="","",IF($F986&gt;dbe_esikFark,1,0))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IF($A987="","",IF($F987&gt;dbe_esikFark,1,0))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IF($A988="","",IF($F988&gt;dbe_esikFark,1,0))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IF($A989="","",IF($F989&gt;dbe_esikFark,1,0))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IF($A990="","",IF($F990&gt;dbe_esikFark,1,0))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IF($A991="","",IF($F991&gt;dbe_esikFark,1,0))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IF($A992="","",IF($F992&gt;dbe_esikFark,1,0))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IF($A993="","",IF($F993&gt;dbe_esikFark,1,0))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IF($A994="","",IF($F994&gt;dbe_esikFark,1,0))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IF($A995="","",IF($F995&gt;dbe_esikFark,1,0))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IF($A996="","",IF($F996&gt;dbe_esikFark,1,0))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IF($A997="","",IF($F997&gt;dbe_esikFark,1,0))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IF($A998="","",IF($F998&gt;dbe_esikFark,1,0))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IF($A999="","",IF($F999&gt;dbe_esikFark,1,0))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IF($A1000="","",IF($F1000&gt;dbe_esikFark,1,0))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IF($A1001="","",IF($F1001&gt;dbe_esikFark,1,0))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IF($A1002="","",IF($F1002&gt;dbe_esikFark,1,0))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IF($A1003="","",IF($F1003&gt;dbe_esikFark,1,0))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IF($A1004="","",IF($F1004&gt;dbe_esikFark,1,0))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IF($A1005="","",IF($F1005&gt;dbe_esikFark,1,0))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B3261E"/>
    <outlinePr summaryBelow="1" summaryRight="1"/>
    <pageSetUpPr/>
  </sheetPr>
  <dimension ref="A1:N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HATA LISTE — Defter Beyan e-Arşiv Aktarım Düzenleyici</t>
        </is>
      </c>
    </row>
    <row r="3" ht="20" customHeight="1">
      <c r="A3" s="10" t="inlineStr">
        <is>
          <t>Zorunlu alan / format / VKN / tutar hataları — aktarım öncesi temizle</t>
        </is>
      </c>
    </row>
    <row r="4">
      <c r="A4" s="17" t="inlineStr">
        <is>
          <t>Özet</t>
        </is>
      </c>
      <c r="B4" s="21">
        <f>dbe_hataListesi</f>
        <v/>
      </c>
      <c r="C4" s="22" t="inlineStr">
        <is>
          <t>adet hata satırı</t>
        </is>
      </c>
    </row>
    <row r="5" ht="30" customHeight="1">
      <c r="A5" s="12" t="inlineStr">
        <is>
          <t>SatirNo</t>
        </is>
      </c>
      <c r="B5" s="12" t="inlineStr">
        <is>
          <t>FaturaNo</t>
        </is>
      </c>
      <c r="C5" s="12" t="inlineStr">
        <is>
          <t>HataKodu</t>
        </is>
      </c>
      <c r="D5" s="12" t="inlineStr">
        <is>
          <t>Aciklama</t>
        </is>
      </c>
      <c r="E5" s="12" t="inlineStr">
        <is>
          <t>Siddet</t>
        </is>
      </c>
      <c r="F5" s="12" t="inlineStr">
        <is>
          <t>KokNeden</t>
        </is>
      </c>
      <c r="G5" s="12" t="inlineStr">
        <is>
          <t>KayitDolu</t>
        </is>
      </c>
    </row>
    <row r="6">
      <c r="A6" s="16">
        <f>IF('VERI_A'!$A6="","",ROW()-ROW(tblVeriA[[#Headers]]))</f>
        <v/>
      </c>
      <c r="B6" s="23">
        <f>IF('VERI_A'!$A6="","",'VERI_A'!$A6)</f>
        <v/>
      </c>
      <c r="C6" s="16">
        <f>IF($B6="","",IF(OR('VERI_A'!$B6="",'VERI_A'!$B6=0),"TARIH_BOS",IF(LEN(TRIM('VERI_A'!$C6&amp;""))&lt;&gt;dbe_vknUzunluk,"VKN_UZUNLUK",IF('VERI_A'!$G6&lt;0,"TUTAR_NEGATIF",IF('VERI_A'!$I6="","DONEM_EKSIK",""))))</f>
        <v/>
      </c>
      <c r="D6" s="16">
        <f>IF($C6="","",IF($C6="TARIH_BOS","Belge tarihi zorunlu",IF($C6="VKN_UZUNLUK","VKN 10 hane olmalı",IF($C6="TUTAR_NEGATIF","Toplam negatif olamaz",IF($C6="DONEM_EKSIK","Dönem zorunlu","Elle incele"))))</f>
        <v/>
      </c>
      <c r="E6" s="16">
        <f>IF($C6="","",IF(OR($C6="TUTAR_NEGATIF",$C6="TARIH_BOS"),"YUKSEK","ORTA"))</f>
        <v/>
      </c>
      <c r="F6" s="16">
        <f>IF($C6="","",IF(OR($C6="TARIH_BOS",$C6="VKN_UZUNLUK",$C6="TUTAR_NEGATIF",$C6="DONEM_EKSIK"),$C6,"TANIMSIZ"))</f>
        <v/>
      </c>
      <c r="G6" s="16">
        <f>IF($C6="","",1)</f>
        <v/>
      </c>
    </row>
    <row r="7">
      <c r="A7" s="16">
        <f>IF('VERI_A'!$A7="","",ROW()-ROW(tblVeriA[[#Headers]]))</f>
        <v/>
      </c>
      <c r="B7" s="23">
        <f>IF('VERI_A'!$A7="","",'VERI_A'!$A7)</f>
        <v/>
      </c>
      <c r="C7" s="16">
        <f>IF($B7="","",IF(OR('VERI_A'!$B7="",'VERI_A'!$B7=0),"TARIH_BOS",IF(LEN(TRIM('VERI_A'!$C7&amp;""))&lt;&gt;dbe_vknUzunluk,"VKN_UZUNLUK",IF('VERI_A'!$G7&lt;0,"TUTAR_NEGATIF",IF('VERI_A'!$I7="","DONEM_EKSIK",""))))</f>
        <v/>
      </c>
      <c r="D7" s="16">
        <f>IF($C7="","",IF($C7="TARIH_BOS","Belge tarihi zorunlu",IF($C7="VKN_UZUNLUK","VKN 10 hane olmalı",IF($C7="TUTAR_NEGATIF","Toplam negatif olamaz",IF($C7="DONEM_EKSIK","Dönem zorunlu","Elle incele"))))</f>
        <v/>
      </c>
      <c r="E7" s="16">
        <f>IF($C7="","",IF(OR($C7="TUTAR_NEGATIF",$C7="TARIH_BOS"),"YUKSEK","ORTA"))</f>
        <v/>
      </c>
      <c r="F7" s="16">
        <f>IF($C7="","",IF(OR($C7="TARIH_BOS",$C7="VKN_UZUNLUK",$C7="TUTAR_NEGATIF",$C7="DONEM_EKSIK"),$C7,"TANIMSIZ"))</f>
        <v/>
      </c>
      <c r="G7" s="16">
        <f>IF($C7="","",1)</f>
        <v/>
      </c>
    </row>
    <row r="8">
      <c r="A8" s="16">
        <f>IF('VERI_A'!$A8="","",ROW()-ROW(tblVeriA[[#Headers]]))</f>
        <v/>
      </c>
      <c r="B8" s="23">
        <f>IF('VERI_A'!$A8="","",'VERI_A'!$A8)</f>
        <v/>
      </c>
      <c r="C8" s="16">
        <f>IF($B8="","",IF(OR('VERI_A'!$B8="",'VERI_A'!$B8=0),"TARIH_BOS",IF(LEN(TRIM('VERI_A'!$C8&amp;""))&lt;&gt;dbe_vknUzunluk,"VKN_UZUNLUK",IF('VERI_A'!$G8&lt;0,"TUTAR_NEGATIF",IF('VERI_A'!$I8="","DONEM_EKSIK",""))))</f>
        <v/>
      </c>
      <c r="D8" s="16">
        <f>IF($C8="","",IF($C8="TARIH_BOS","Belge tarihi zorunlu",IF($C8="VKN_UZUNLUK","VKN 10 hane olmalı",IF($C8="TUTAR_NEGATIF","Toplam negatif olamaz",IF($C8="DONEM_EKSIK","Dönem zorunlu","Elle incele"))))</f>
        <v/>
      </c>
      <c r="E8" s="16">
        <f>IF($C8="","",IF(OR($C8="TUTAR_NEGATIF",$C8="TARIH_BOS"),"YUKSEK","ORTA"))</f>
        <v/>
      </c>
      <c r="F8" s="16">
        <f>IF($C8="","",IF(OR($C8="TARIH_BOS",$C8="VKN_UZUNLUK",$C8="TUTAR_NEGATIF",$C8="DONEM_EKSIK"),$C8,"TANIMSIZ"))</f>
        <v/>
      </c>
      <c r="G8" s="16">
        <f>IF($C8="","",1)</f>
        <v/>
      </c>
    </row>
    <row r="9">
      <c r="A9" s="16">
        <f>IF('VERI_A'!$A9="","",ROW()-ROW(tblVeriA[[#Headers]]))</f>
        <v/>
      </c>
      <c r="B9" s="23">
        <f>IF('VERI_A'!$A9="","",'VERI_A'!$A9)</f>
        <v/>
      </c>
      <c r="C9" s="16">
        <f>IF($B9="","",IF(OR('VERI_A'!$B9="",'VERI_A'!$B9=0),"TARIH_BOS",IF(LEN(TRIM('VERI_A'!$C9&amp;""))&lt;&gt;dbe_vknUzunluk,"VKN_UZUNLUK",IF('VERI_A'!$G9&lt;0,"TUTAR_NEGATIF",IF('VERI_A'!$I9="","DONEM_EKSIK",""))))</f>
        <v/>
      </c>
      <c r="D9" s="16">
        <f>IF($C9="","",IF($C9="TARIH_BOS","Belge tarihi zorunlu",IF($C9="VKN_UZUNLUK","VKN 10 hane olmalı",IF($C9="TUTAR_NEGATIF","Toplam negatif olamaz",IF($C9="DONEM_EKSIK","Dönem zorunlu","Elle incele"))))</f>
        <v/>
      </c>
      <c r="E9" s="16">
        <f>IF($C9="","",IF(OR($C9="TUTAR_NEGATIF",$C9="TARIH_BOS"),"YUKSEK","ORTA"))</f>
        <v/>
      </c>
      <c r="F9" s="16">
        <f>IF($C9="","",IF(OR($C9="TARIH_BOS",$C9="VKN_UZUNLUK",$C9="TUTAR_NEGATIF",$C9="DONEM_EKSIK"),$C9,"TANIMSIZ"))</f>
        <v/>
      </c>
      <c r="G9" s="16">
        <f>IF($C9="","",1)</f>
        <v/>
      </c>
    </row>
    <row r="10">
      <c r="A10" s="16">
        <f>IF('VERI_A'!$A10="","",ROW()-ROW(tblVeriA[[#Headers]]))</f>
        <v/>
      </c>
      <c r="B10" s="23">
        <f>IF('VERI_A'!$A10="","",'VERI_A'!$A10)</f>
        <v/>
      </c>
      <c r="C10" s="16">
        <f>IF($B10="","",IF(OR('VERI_A'!$B10="",'VERI_A'!$B10=0),"TARIH_BOS",IF(LEN(TRIM('VERI_A'!$C10&amp;""))&lt;&gt;dbe_vknUzunluk,"VKN_UZUNLUK",IF('VERI_A'!$G10&lt;0,"TUTAR_NEGATIF",IF('VERI_A'!$I10="","DONEM_EKSIK",""))))</f>
        <v/>
      </c>
      <c r="D10" s="16">
        <f>IF($C10="","",IF($C10="TARIH_BOS","Belge tarihi zorunlu",IF($C10="VKN_UZUNLUK","VKN 10 hane olmalı",IF($C10="TUTAR_NEGATIF","Toplam negatif olamaz",IF($C10="DONEM_EKSIK","Dönem zorunlu","Elle incele"))))</f>
        <v/>
      </c>
      <c r="E10" s="16">
        <f>IF($C10="","",IF(OR($C10="TUTAR_NEGATIF",$C10="TARIH_BOS"),"YUKSEK","ORTA"))</f>
        <v/>
      </c>
      <c r="F10" s="16">
        <f>IF($C10="","",IF(OR($C10="TARIH_BOS",$C10="VKN_UZUNLUK",$C10="TUTAR_NEGATIF",$C10="DONEM_EKSIK"),$C10,"TANIMSIZ"))</f>
        <v/>
      </c>
      <c r="G10" s="16">
        <f>IF($C10="","",1)</f>
        <v/>
      </c>
    </row>
    <row r="11">
      <c r="A11" s="16">
        <f>IF('VERI_A'!$A11="","",ROW()-ROW(tblVeriA[[#Headers]]))</f>
        <v/>
      </c>
      <c r="B11" s="23">
        <f>IF('VERI_A'!$A11="","",'VERI_A'!$A11)</f>
        <v/>
      </c>
      <c r="C11" s="16">
        <f>IF($B11="","",IF(OR('VERI_A'!$B11="",'VERI_A'!$B11=0),"TARIH_BOS",IF(LEN(TRIM('VERI_A'!$C11&amp;""))&lt;&gt;dbe_vknUzunluk,"VKN_UZUNLUK",IF('VERI_A'!$G11&lt;0,"TUTAR_NEGATIF",IF('VERI_A'!$I11="","DONEM_EKSIK",""))))</f>
        <v/>
      </c>
      <c r="D11" s="16">
        <f>IF($C11="","",IF($C11="TARIH_BOS","Belge tarihi zorunlu",IF($C11="VKN_UZUNLUK","VKN 10 hane olmalı",IF($C11="TUTAR_NEGATIF","Toplam negatif olamaz",IF($C11="DONEM_EKSIK","Dönem zorunlu","Elle incele"))))</f>
        <v/>
      </c>
      <c r="E11" s="16">
        <f>IF($C11="","",IF(OR($C11="TUTAR_NEGATIF",$C11="TARIH_BOS"),"YUKSEK","ORTA"))</f>
        <v/>
      </c>
      <c r="F11" s="16">
        <f>IF($C11="","",IF(OR($C11="TARIH_BOS",$C11="VKN_UZUNLUK",$C11="TUTAR_NEGATIF",$C11="DONEM_EKSIK"),$C11,"TANIMSIZ"))</f>
        <v/>
      </c>
      <c r="G11" s="16">
        <f>IF($C11="","",1)</f>
        <v/>
      </c>
    </row>
    <row r="12">
      <c r="A12" s="16">
        <f>IF('VERI_A'!$A12="","",ROW()-ROW(tblVeriA[[#Headers]]))</f>
        <v/>
      </c>
      <c r="B12" s="23">
        <f>IF('VERI_A'!$A12="","",'VERI_A'!$A12)</f>
        <v/>
      </c>
      <c r="C12" s="16">
        <f>IF($B12="","",IF(OR('VERI_A'!$B12="",'VERI_A'!$B12=0),"TARIH_BOS",IF(LEN(TRIM('VERI_A'!$C12&amp;""))&lt;&gt;dbe_vknUzunluk,"VKN_UZUNLUK",IF('VERI_A'!$G12&lt;0,"TUTAR_NEGATIF",IF('VERI_A'!$I12="","DONEM_EKSIK",""))))</f>
        <v/>
      </c>
      <c r="D12" s="16">
        <f>IF($C12="","",IF($C12="TARIH_BOS","Belge tarihi zorunlu",IF($C12="VKN_UZUNLUK","VKN 10 hane olmalı",IF($C12="TUTAR_NEGATIF","Toplam negatif olamaz",IF($C12="DONEM_EKSIK","Dönem zorunlu","Elle incele"))))</f>
        <v/>
      </c>
      <c r="E12" s="16">
        <f>IF($C12="","",IF(OR($C12="TUTAR_NEGATIF",$C12="TARIH_BOS"),"YUKSEK","ORTA"))</f>
        <v/>
      </c>
      <c r="F12" s="16">
        <f>IF($C12="","",IF(OR($C12="TARIH_BOS",$C12="VKN_UZUNLUK",$C12="TUTAR_NEGATIF",$C12="DONEM_EKSIK"),$C12,"TANIMSIZ"))</f>
        <v/>
      </c>
      <c r="G12" s="16">
        <f>IF($C12="","",1)</f>
        <v/>
      </c>
    </row>
    <row r="13">
      <c r="A13" s="16">
        <f>IF('VERI_A'!$A13="","",ROW()-ROW(tblVeriA[[#Headers]]))</f>
        <v/>
      </c>
      <c r="B13" s="23">
        <f>IF('VERI_A'!$A13="","",'VERI_A'!$A13)</f>
        <v/>
      </c>
      <c r="C13" s="16">
        <f>IF($B13="","",IF(OR('VERI_A'!$B13="",'VERI_A'!$B13=0),"TARIH_BOS",IF(LEN(TRIM('VERI_A'!$C13&amp;""))&lt;&gt;dbe_vknUzunluk,"VKN_UZUNLUK",IF('VERI_A'!$G13&lt;0,"TUTAR_NEGATIF",IF('VERI_A'!$I13="","DONEM_EKSIK",""))))</f>
        <v/>
      </c>
      <c r="D13" s="16">
        <f>IF($C13="","",IF($C13="TARIH_BOS","Belge tarihi zorunlu",IF($C13="VKN_UZUNLUK","VKN 10 hane olmalı",IF($C13="TUTAR_NEGATIF","Toplam negatif olamaz",IF($C13="DONEM_EKSIK","Dönem zorunlu","Elle incele"))))</f>
        <v/>
      </c>
      <c r="E13" s="16">
        <f>IF($C13="","",IF(OR($C13="TUTAR_NEGATIF",$C13="TARIH_BOS"),"YUKSEK","ORTA"))</f>
        <v/>
      </c>
      <c r="F13" s="16">
        <f>IF($C13="","",IF(OR($C13="TARIH_BOS",$C13="VKN_UZUNLUK",$C13="TUTAR_NEGATIF",$C13="DONEM_EKSIK"),$C13,"TANIMSIZ"))</f>
        <v/>
      </c>
      <c r="G13" s="16">
        <f>IF($C13="","",1)</f>
        <v/>
      </c>
    </row>
    <row r="14">
      <c r="A14" s="16">
        <f>IF('VERI_A'!$A14="","",ROW()-ROW(tblVeriA[[#Headers]]))</f>
        <v/>
      </c>
      <c r="B14" s="23">
        <f>IF('VERI_A'!$A14="","",'VERI_A'!$A14)</f>
        <v/>
      </c>
      <c r="C14" s="16">
        <f>IF($B14="","",IF(OR('VERI_A'!$B14="",'VERI_A'!$B14=0),"TARIH_BOS",IF(LEN(TRIM('VERI_A'!$C14&amp;""))&lt;&gt;dbe_vknUzunluk,"VKN_UZUNLUK",IF('VERI_A'!$G14&lt;0,"TUTAR_NEGATIF",IF('VERI_A'!$I14="","DONEM_EKSIK",""))))</f>
        <v/>
      </c>
      <c r="D14" s="16">
        <f>IF($C14="","",IF($C14="TARIH_BOS","Belge tarihi zorunlu",IF($C14="VKN_UZUNLUK","VKN 10 hane olmalı",IF($C14="TUTAR_NEGATIF","Toplam negatif olamaz",IF($C14="DONEM_EKSIK","Dönem zorunlu","Elle incele"))))</f>
        <v/>
      </c>
      <c r="E14" s="16">
        <f>IF($C14="","",IF(OR($C14="TUTAR_NEGATIF",$C14="TARIH_BOS"),"YUKSEK","ORTA"))</f>
        <v/>
      </c>
      <c r="F14" s="16">
        <f>IF($C14="","",IF(OR($C14="TARIH_BOS",$C14="VKN_UZUNLUK",$C14="TUTAR_NEGATIF",$C14="DONEM_EKSIK"),$C14,"TANIMSIZ"))</f>
        <v/>
      </c>
      <c r="G14" s="16">
        <f>IF($C14="","",1)</f>
        <v/>
      </c>
    </row>
    <row r="15">
      <c r="A15" s="16">
        <f>IF('VERI_A'!$A15="","",ROW()-ROW(tblVeriA[[#Headers]]))</f>
        <v/>
      </c>
      <c r="B15" s="23">
        <f>IF('VERI_A'!$A15="","",'VERI_A'!$A15)</f>
        <v/>
      </c>
      <c r="C15" s="16">
        <f>IF($B15="","",IF(OR('VERI_A'!$B15="",'VERI_A'!$B15=0),"TARIH_BOS",IF(LEN(TRIM('VERI_A'!$C15&amp;""))&lt;&gt;dbe_vknUzunluk,"VKN_UZUNLUK",IF('VERI_A'!$G15&lt;0,"TUTAR_NEGATIF",IF('VERI_A'!$I15="","DONEM_EKSIK",""))))</f>
        <v/>
      </c>
      <c r="D15" s="16">
        <f>IF($C15="","",IF($C15="TARIH_BOS","Belge tarihi zorunlu",IF($C15="VKN_UZUNLUK","VKN 10 hane olmalı",IF($C15="TUTAR_NEGATIF","Toplam negatif olamaz",IF($C15="DONEM_EKSIK","Dönem zorunlu","Elle incele"))))</f>
        <v/>
      </c>
      <c r="E15" s="16">
        <f>IF($C15="","",IF(OR($C15="TUTAR_NEGATIF",$C15="TARIH_BOS"),"YUKSEK","ORTA"))</f>
        <v/>
      </c>
      <c r="F15" s="16">
        <f>IF($C15="","",IF(OR($C15="TARIH_BOS",$C15="VKN_UZUNLUK",$C15="TUTAR_NEGATIF",$C15="DONEM_EKSIK"),$C15,"TANIMSIZ"))</f>
        <v/>
      </c>
      <c r="G15" s="16">
        <f>IF($C15="","",1)</f>
        <v/>
      </c>
    </row>
    <row r="16">
      <c r="A16" s="16">
        <f>IF('VERI_A'!$A16="","",ROW()-ROW(tblVeriA[[#Headers]]))</f>
        <v/>
      </c>
      <c r="B16" s="23">
        <f>IF('VERI_A'!$A16="","",'VERI_A'!$A16)</f>
        <v/>
      </c>
      <c r="C16" s="16">
        <f>IF($B16="","",IF(OR('VERI_A'!$B16="",'VERI_A'!$B16=0),"TARIH_BOS",IF(LEN(TRIM('VERI_A'!$C16&amp;""))&lt;&gt;dbe_vknUzunluk,"VKN_UZUNLUK",IF('VERI_A'!$G16&lt;0,"TUTAR_NEGATIF",IF('VERI_A'!$I16="","DONEM_EKSIK",""))))</f>
        <v/>
      </c>
      <c r="D16" s="16">
        <f>IF($C16="","",IF($C16="TARIH_BOS","Belge tarihi zorunlu",IF($C16="VKN_UZUNLUK","VKN 10 hane olmalı",IF($C16="TUTAR_NEGATIF","Toplam negatif olamaz",IF($C16="DONEM_EKSIK","Dönem zorunlu","Elle incele"))))</f>
        <v/>
      </c>
      <c r="E16" s="16">
        <f>IF($C16="","",IF(OR($C16="TUTAR_NEGATIF",$C16="TARIH_BOS"),"YUKSEK","ORTA"))</f>
        <v/>
      </c>
      <c r="F16" s="16">
        <f>IF($C16="","",IF(OR($C16="TARIH_BOS",$C16="VKN_UZUNLUK",$C16="TUTAR_NEGATIF",$C16="DONEM_EKSIK"),$C16,"TANIMSIZ"))</f>
        <v/>
      </c>
      <c r="G16" s="16">
        <f>IF($C16="","",1)</f>
        <v/>
      </c>
    </row>
    <row r="17">
      <c r="A17" s="16">
        <f>IF('VERI_A'!$A17="","",ROW()-ROW(tblVeriA[[#Headers]]))</f>
        <v/>
      </c>
      <c r="B17" s="23">
        <f>IF('VERI_A'!$A17="","",'VERI_A'!$A17)</f>
        <v/>
      </c>
      <c r="C17" s="16">
        <f>IF($B17="","",IF(OR('VERI_A'!$B17="",'VERI_A'!$B17=0),"TARIH_BOS",IF(LEN(TRIM('VERI_A'!$C17&amp;""))&lt;&gt;dbe_vknUzunluk,"VKN_UZUNLUK",IF('VERI_A'!$G17&lt;0,"TUTAR_NEGATIF",IF('VERI_A'!$I17="","DONEM_EKSIK",""))))</f>
        <v/>
      </c>
      <c r="D17" s="16">
        <f>IF($C17="","",IF($C17="TARIH_BOS","Belge tarihi zorunlu",IF($C17="VKN_UZUNLUK","VKN 10 hane olmalı",IF($C17="TUTAR_NEGATIF","Toplam negatif olamaz",IF($C17="DONEM_EKSIK","Dönem zorunlu","Elle incele"))))</f>
        <v/>
      </c>
      <c r="E17" s="16">
        <f>IF($C17="","",IF(OR($C17="TUTAR_NEGATIF",$C17="TARIH_BOS"),"YUKSEK","ORTA"))</f>
        <v/>
      </c>
      <c r="F17" s="16">
        <f>IF($C17="","",IF(OR($C17="TARIH_BOS",$C17="VKN_UZUNLUK",$C17="TUTAR_NEGATIF",$C17="DONEM_EKSIK"),$C17,"TANIMSIZ"))</f>
        <v/>
      </c>
      <c r="G17" s="16">
        <f>IF($C17="","",1)</f>
        <v/>
      </c>
    </row>
    <row r="18">
      <c r="A18" s="16">
        <f>IF('VERI_A'!$A18="","",ROW()-ROW(tblVeriA[[#Headers]]))</f>
        <v/>
      </c>
      <c r="B18" s="23">
        <f>IF('VERI_A'!$A18="","",'VERI_A'!$A18)</f>
        <v/>
      </c>
      <c r="C18" s="16">
        <f>IF($B18="","",IF(OR('VERI_A'!$B18="",'VERI_A'!$B18=0),"TARIH_BOS",IF(LEN(TRIM('VERI_A'!$C18&amp;""))&lt;&gt;dbe_vknUzunluk,"VKN_UZUNLUK",IF('VERI_A'!$G18&lt;0,"TUTAR_NEGATIF",IF('VERI_A'!$I18="","DONEM_EKSIK",""))))</f>
        <v/>
      </c>
      <c r="D18" s="16">
        <f>IF($C18="","",IF($C18="TARIH_BOS","Belge tarihi zorunlu",IF($C18="VKN_UZUNLUK","VKN 10 hane olmalı",IF($C18="TUTAR_NEGATIF","Toplam negatif olamaz",IF($C18="DONEM_EKSIK","Dönem zorunlu","Elle incele"))))</f>
        <v/>
      </c>
      <c r="E18" s="16">
        <f>IF($C18="","",IF(OR($C18="TUTAR_NEGATIF",$C18="TARIH_BOS"),"YUKSEK","ORTA"))</f>
        <v/>
      </c>
      <c r="F18" s="16">
        <f>IF($C18="","",IF(OR($C18="TARIH_BOS",$C18="VKN_UZUNLUK",$C18="TUTAR_NEGATIF",$C18="DONEM_EKSIK"),$C18,"TANIMSIZ"))</f>
        <v/>
      </c>
      <c r="G18" s="16">
        <f>IF($C18="","",1)</f>
        <v/>
      </c>
    </row>
    <row r="19">
      <c r="A19" s="16">
        <f>IF('VERI_A'!$A19="","",ROW()-ROW(tblVeriA[[#Headers]]))</f>
        <v/>
      </c>
      <c r="B19" s="23">
        <f>IF('VERI_A'!$A19="","",'VERI_A'!$A19)</f>
        <v/>
      </c>
      <c r="C19" s="16">
        <f>IF($B19="","",IF(OR('VERI_A'!$B19="",'VERI_A'!$B19=0),"TARIH_BOS",IF(LEN(TRIM('VERI_A'!$C19&amp;""))&lt;&gt;dbe_vknUzunluk,"VKN_UZUNLUK",IF('VERI_A'!$G19&lt;0,"TUTAR_NEGATIF",IF('VERI_A'!$I19="","DONEM_EKSIK",""))))</f>
        <v/>
      </c>
      <c r="D19" s="16">
        <f>IF($C19="","",IF($C19="TARIH_BOS","Belge tarihi zorunlu",IF($C19="VKN_UZUNLUK","VKN 10 hane olmalı",IF($C19="TUTAR_NEGATIF","Toplam negatif olamaz",IF($C19="DONEM_EKSIK","Dönem zorunlu","Elle incele"))))</f>
        <v/>
      </c>
      <c r="E19" s="16">
        <f>IF($C19="","",IF(OR($C19="TUTAR_NEGATIF",$C19="TARIH_BOS"),"YUKSEK","ORTA"))</f>
        <v/>
      </c>
      <c r="F19" s="16">
        <f>IF($C19="","",IF(OR($C19="TARIH_BOS",$C19="VKN_UZUNLUK",$C19="TUTAR_NEGATIF",$C19="DONEM_EKSIK"),$C19,"TANIMSIZ"))</f>
        <v/>
      </c>
      <c r="G19" s="16">
        <f>IF($C19="","",1)</f>
        <v/>
      </c>
    </row>
    <row r="20">
      <c r="A20" s="16">
        <f>IF('VERI_A'!$A20="","",ROW()-ROW(tblVeriA[[#Headers]]))</f>
        <v/>
      </c>
      <c r="B20" s="23">
        <f>IF('VERI_A'!$A20="","",'VERI_A'!$A20)</f>
        <v/>
      </c>
      <c r="C20" s="16">
        <f>IF($B20="","",IF(OR('VERI_A'!$B20="",'VERI_A'!$B20=0),"TARIH_BOS",IF(LEN(TRIM('VERI_A'!$C20&amp;""))&lt;&gt;dbe_vknUzunluk,"VKN_UZUNLUK",IF('VERI_A'!$G20&lt;0,"TUTAR_NEGATIF",IF('VERI_A'!$I20="","DONEM_EKSIK",""))))</f>
        <v/>
      </c>
      <c r="D20" s="16">
        <f>IF($C20="","",IF($C20="TARIH_BOS","Belge tarihi zorunlu",IF($C20="VKN_UZUNLUK","VKN 10 hane olmalı",IF($C20="TUTAR_NEGATIF","Toplam negatif olamaz",IF($C20="DONEM_EKSIK","Dönem zorunlu","Elle incele"))))</f>
        <v/>
      </c>
      <c r="E20" s="16">
        <f>IF($C20="","",IF(OR($C20="TUTAR_NEGATIF",$C20="TARIH_BOS"),"YUKSEK","ORTA"))</f>
        <v/>
      </c>
      <c r="F20" s="16">
        <f>IF($C20="","",IF(OR($C20="TARIH_BOS",$C20="VKN_UZUNLUK",$C20="TUTAR_NEGATIF",$C20="DONEM_EKSIK"),$C20,"TANIMSIZ"))</f>
        <v/>
      </c>
      <c r="G20" s="16">
        <f>IF($C20="","",1)</f>
        <v/>
      </c>
    </row>
    <row r="21">
      <c r="A21" s="16">
        <f>IF('VERI_A'!$A21="","",ROW()-ROW(tblVeriA[[#Headers]]))</f>
        <v/>
      </c>
      <c r="B21" s="23">
        <f>IF('VERI_A'!$A21="","",'VERI_A'!$A21)</f>
        <v/>
      </c>
      <c r="C21" s="16">
        <f>IF($B21="","",IF(OR('VERI_A'!$B21="",'VERI_A'!$B21=0),"TARIH_BOS",IF(LEN(TRIM('VERI_A'!$C21&amp;""))&lt;&gt;dbe_vknUzunluk,"VKN_UZUNLUK",IF('VERI_A'!$G21&lt;0,"TUTAR_NEGATIF",IF('VERI_A'!$I21="","DONEM_EKSIK",""))))</f>
        <v/>
      </c>
      <c r="D21" s="16">
        <f>IF($C21="","",IF($C21="TARIH_BOS","Belge tarihi zorunlu",IF($C21="VKN_UZUNLUK","VKN 10 hane olmalı",IF($C21="TUTAR_NEGATIF","Toplam negatif olamaz",IF($C21="DONEM_EKSIK","Dönem zorunlu","Elle incele"))))</f>
        <v/>
      </c>
      <c r="E21" s="16">
        <f>IF($C21="","",IF(OR($C21="TUTAR_NEGATIF",$C21="TARIH_BOS"),"YUKSEK","ORTA"))</f>
        <v/>
      </c>
      <c r="F21" s="16">
        <f>IF($C21="","",IF(OR($C21="TARIH_BOS",$C21="VKN_UZUNLUK",$C21="TUTAR_NEGATIF",$C21="DONEM_EKSIK"),$C21,"TANIMSIZ"))</f>
        <v/>
      </c>
      <c r="G21" s="16">
        <f>IF($C21="","",1)</f>
        <v/>
      </c>
    </row>
    <row r="22">
      <c r="A22" s="16">
        <f>IF('VERI_A'!$A22="","",ROW()-ROW(tblVeriA[[#Headers]]))</f>
        <v/>
      </c>
      <c r="B22" s="23">
        <f>IF('VERI_A'!$A22="","",'VERI_A'!$A22)</f>
        <v/>
      </c>
      <c r="C22" s="16">
        <f>IF($B22="","",IF(OR('VERI_A'!$B22="",'VERI_A'!$B22=0),"TARIH_BOS",IF(LEN(TRIM('VERI_A'!$C22&amp;""))&lt;&gt;dbe_vknUzunluk,"VKN_UZUNLUK",IF('VERI_A'!$G22&lt;0,"TUTAR_NEGATIF",IF('VERI_A'!$I22="","DONEM_EKSIK",""))))</f>
        <v/>
      </c>
      <c r="D22" s="16">
        <f>IF($C22="","",IF($C22="TARIH_BOS","Belge tarihi zorunlu",IF($C22="VKN_UZUNLUK","VKN 10 hane olmalı",IF($C22="TUTAR_NEGATIF","Toplam negatif olamaz",IF($C22="DONEM_EKSIK","Dönem zorunlu","Elle incele"))))</f>
        <v/>
      </c>
      <c r="E22" s="16">
        <f>IF($C22="","",IF(OR($C22="TUTAR_NEGATIF",$C22="TARIH_BOS"),"YUKSEK","ORTA"))</f>
        <v/>
      </c>
      <c r="F22" s="16">
        <f>IF($C22="","",IF(OR($C22="TARIH_BOS",$C22="VKN_UZUNLUK",$C22="TUTAR_NEGATIF",$C22="DONEM_EKSIK"),$C22,"TANIMSIZ"))</f>
        <v/>
      </c>
      <c r="G22" s="16">
        <f>IF($C22="","",1)</f>
        <v/>
      </c>
    </row>
    <row r="23">
      <c r="A23" s="16">
        <f>IF('VERI_A'!$A23="","",ROW()-ROW(tblVeriA[[#Headers]]))</f>
        <v/>
      </c>
      <c r="B23" s="23">
        <f>IF('VERI_A'!$A23="","",'VERI_A'!$A23)</f>
        <v/>
      </c>
      <c r="C23" s="16">
        <f>IF($B23="","",IF(OR('VERI_A'!$B23="",'VERI_A'!$B23=0),"TARIH_BOS",IF(LEN(TRIM('VERI_A'!$C23&amp;""))&lt;&gt;dbe_vknUzunluk,"VKN_UZUNLUK",IF('VERI_A'!$G23&lt;0,"TUTAR_NEGATIF",IF('VERI_A'!$I23="","DONEM_EKSIK",""))))</f>
        <v/>
      </c>
      <c r="D23" s="16">
        <f>IF($C23="","",IF($C23="TARIH_BOS","Belge tarihi zorunlu",IF($C23="VKN_UZUNLUK","VKN 10 hane olmalı",IF($C23="TUTAR_NEGATIF","Toplam negatif olamaz",IF($C23="DONEM_EKSIK","Dönem zorunlu","Elle incele"))))</f>
        <v/>
      </c>
      <c r="E23" s="16">
        <f>IF($C23="","",IF(OR($C23="TUTAR_NEGATIF",$C23="TARIH_BOS"),"YUKSEK","ORTA"))</f>
        <v/>
      </c>
      <c r="F23" s="16">
        <f>IF($C23="","",IF(OR($C23="TARIH_BOS",$C23="VKN_UZUNLUK",$C23="TUTAR_NEGATIF",$C23="DONEM_EKSIK"),$C23,"TANIMSIZ"))</f>
        <v/>
      </c>
      <c r="G23" s="16">
        <f>IF($C23="","",1)</f>
        <v/>
      </c>
    </row>
    <row r="24">
      <c r="A24" s="16">
        <f>IF('VERI_A'!$A24="","",ROW()-ROW(tblVeriA[[#Headers]]))</f>
        <v/>
      </c>
      <c r="B24" s="23">
        <f>IF('VERI_A'!$A24="","",'VERI_A'!$A24)</f>
        <v/>
      </c>
      <c r="C24" s="16">
        <f>IF($B24="","",IF(OR('VERI_A'!$B24="",'VERI_A'!$B24=0),"TARIH_BOS",IF(LEN(TRIM('VERI_A'!$C24&amp;""))&lt;&gt;dbe_vknUzunluk,"VKN_UZUNLUK",IF('VERI_A'!$G24&lt;0,"TUTAR_NEGATIF",IF('VERI_A'!$I24="","DONEM_EKSIK",""))))</f>
        <v/>
      </c>
      <c r="D24" s="16">
        <f>IF($C24="","",IF($C24="TARIH_BOS","Belge tarihi zorunlu",IF($C24="VKN_UZUNLUK","VKN 10 hane olmalı",IF($C24="TUTAR_NEGATIF","Toplam negatif olamaz",IF($C24="DONEM_EKSIK","Dönem zorunlu","Elle incele"))))</f>
        <v/>
      </c>
      <c r="E24" s="16">
        <f>IF($C24="","",IF(OR($C24="TUTAR_NEGATIF",$C24="TARIH_BOS"),"YUKSEK","ORTA"))</f>
        <v/>
      </c>
      <c r="F24" s="16">
        <f>IF($C24="","",IF(OR($C24="TARIH_BOS",$C24="VKN_UZUNLUK",$C24="TUTAR_NEGATIF",$C24="DONEM_EKSIK"),$C24,"TANIMSIZ"))</f>
        <v/>
      </c>
      <c r="G24" s="16">
        <f>IF($C24="","",1)</f>
        <v/>
      </c>
    </row>
    <row r="25">
      <c r="A25" s="16">
        <f>IF('VERI_A'!$A25="","",ROW()-ROW(tblVeriA[[#Headers]]))</f>
        <v/>
      </c>
      <c r="B25" s="23">
        <f>IF('VERI_A'!$A25="","",'VERI_A'!$A25)</f>
        <v/>
      </c>
      <c r="C25" s="16">
        <f>IF($B25="","",IF(OR('VERI_A'!$B25="",'VERI_A'!$B25=0),"TARIH_BOS",IF(LEN(TRIM('VERI_A'!$C25&amp;""))&lt;&gt;dbe_vknUzunluk,"VKN_UZUNLUK",IF('VERI_A'!$G25&lt;0,"TUTAR_NEGATIF",IF('VERI_A'!$I25="","DONEM_EKSIK",""))))</f>
        <v/>
      </c>
      <c r="D25" s="16">
        <f>IF($C25="","",IF($C25="TARIH_BOS","Belge tarihi zorunlu",IF($C25="VKN_UZUNLUK","VKN 10 hane olmalı",IF($C25="TUTAR_NEGATIF","Toplam negatif olamaz",IF($C25="DONEM_EKSIK","Dönem zorunlu","Elle incele"))))</f>
        <v/>
      </c>
      <c r="E25" s="16">
        <f>IF($C25="","",IF(OR($C25="TUTAR_NEGATIF",$C25="TARIH_BOS"),"YUKSEK","ORTA"))</f>
        <v/>
      </c>
      <c r="F25" s="16">
        <f>IF($C25="","",IF(OR($C25="TARIH_BOS",$C25="VKN_UZUNLUK",$C25="TUTAR_NEGATIF",$C25="DONEM_EKSIK"),$C25,"TANIMSIZ"))</f>
        <v/>
      </c>
      <c r="G25" s="16">
        <f>IF($C25="","",1)</f>
        <v/>
      </c>
    </row>
    <row r="26">
      <c r="A26" s="16">
        <f>IF('VERI_A'!$A26="","",ROW()-ROW(tblVeriA[[#Headers]]))</f>
        <v/>
      </c>
      <c r="B26" s="23">
        <f>IF('VERI_A'!$A26="","",'VERI_A'!$A26)</f>
        <v/>
      </c>
      <c r="C26" s="16">
        <f>IF($B26="","",IF(OR('VERI_A'!$B26="",'VERI_A'!$B26=0),"TARIH_BOS",IF(LEN(TRIM('VERI_A'!$C26&amp;""))&lt;&gt;dbe_vknUzunluk,"VKN_UZUNLUK",IF('VERI_A'!$G26&lt;0,"TUTAR_NEGATIF",IF('VERI_A'!$I26="","DONEM_EKSIK",""))))</f>
        <v/>
      </c>
      <c r="D26" s="16">
        <f>IF($C26="","",IF($C26="TARIH_BOS","Belge tarihi zorunlu",IF($C26="VKN_UZUNLUK","VKN 10 hane olmalı",IF($C26="TUTAR_NEGATIF","Toplam negatif olamaz",IF($C26="DONEM_EKSIK","Dönem zorunlu","Elle incele"))))</f>
        <v/>
      </c>
      <c r="E26" s="16">
        <f>IF($C26="","",IF(OR($C26="TUTAR_NEGATIF",$C26="TARIH_BOS"),"YUKSEK","ORTA"))</f>
        <v/>
      </c>
      <c r="F26" s="16">
        <f>IF($C26="","",IF(OR($C26="TARIH_BOS",$C26="VKN_UZUNLUK",$C26="TUTAR_NEGATIF",$C26="DONEM_EKSIK"),$C26,"TANIMSIZ"))</f>
        <v/>
      </c>
      <c r="G26" s="16">
        <f>IF($C26="","",1)</f>
        <v/>
      </c>
    </row>
    <row r="27">
      <c r="A27" s="16">
        <f>IF('VERI_A'!$A27="","",ROW()-ROW(tblVeriA[[#Headers]]))</f>
        <v/>
      </c>
      <c r="B27" s="23">
        <f>IF('VERI_A'!$A27="","",'VERI_A'!$A27)</f>
        <v/>
      </c>
      <c r="C27" s="16">
        <f>IF($B27="","",IF(OR('VERI_A'!$B27="",'VERI_A'!$B27=0),"TARIH_BOS",IF(LEN(TRIM('VERI_A'!$C27&amp;""))&lt;&gt;dbe_vknUzunluk,"VKN_UZUNLUK",IF('VERI_A'!$G27&lt;0,"TUTAR_NEGATIF",IF('VERI_A'!$I27="","DONEM_EKSIK",""))))</f>
        <v/>
      </c>
      <c r="D27" s="16">
        <f>IF($C27="","",IF($C27="TARIH_BOS","Belge tarihi zorunlu",IF($C27="VKN_UZUNLUK","VKN 10 hane olmalı",IF($C27="TUTAR_NEGATIF","Toplam negatif olamaz",IF($C27="DONEM_EKSIK","Dönem zorunlu","Elle incele"))))</f>
        <v/>
      </c>
      <c r="E27" s="16">
        <f>IF($C27="","",IF(OR($C27="TUTAR_NEGATIF",$C27="TARIH_BOS"),"YUKSEK","ORTA"))</f>
        <v/>
      </c>
      <c r="F27" s="16">
        <f>IF($C27="","",IF(OR($C27="TARIH_BOS",$C27="VKN_UZUNLUK",$C27="TUTAR_NEGATIF",$C27="DONEM_EKSIK"),$C27,"TANIMSIZ"))</f>
        <v/>
      </c>
      <c r="G27" s="16">
        <f>IF($C27="","",1)</f>
        <v/>
      </c>
    </row>
    <row r="28">
      <c r="A28" s="16">
        <f>IF('VERI_A'!$A28="","",ROW()-ROW(tblVeriA[[#Headers]]))</f>
        <v/>
      </c>
      <c r="B28" s="23">
        <f>IF('VERI_A'!$A28="","",'VERI_A'!$A28)</f>
        <v/>
      </c>
      <c r="C28" s="16">
        <f>IF($B28="","",IF(OR('VERI_A'!$B28="",'VERI_A'!$B28=0),"TARIH_BOS",IF(LEN(TRIM('VERI_A'!$C28&amp;""))&lt;&gt;dbe_vknUzunluk,"VKN_UZUNLUK",IF('VERI_A'!$G28&lt;0,"TUTAR_NEGATIF",IF('VERI_A'!$I28="","DONEM_EKSIK",""))))</f>
        <v/>
      </c>
      <c r="D28" s="16">
        <f>IF($C28="","",IF($C28="TARIH_BOS","Belge tarihi zorunlu",IF($C28="VKN_UZUNLUK","VKN 10 hane olmalı",IF($C28="TUTAR_NEGATIF","Toplam negatif olamaz",IF($C28="DONEM_EKSIK","Dönem zorunlu","Elle incele"))))</f>
        <v/>
      </c>
      <c r="E28" s="16">
        <f>IF($C28="","",IF(OR($C28="TUTAR_NEGATIF",$C28="TARIH_BOS"),"YUKSEK","ORTA"))</f>
        <v/>
      </c>
      <c r="F28" s="16">
        <f>IF($C28="","",IF(OR($C28="TARIH_BOS",$C28="VKN_UZUNLUK",$C28="TUTAR_NEGATIF",$C28="DONEM_EKSIK"),$C28,"TANIMSIZ"))</f>
        <v/>
      </c>
      <c r="G28" s="16">
        <f>IF($C28="","",1)</f>
        <v/>
      </c>
    </row>
    <row r="29">
      <c r="A29" s="16">
        <f>IF('VERI_A'!$A29="","",ROW()-ROW(tblVeriA[[#Headers]]))</f>
        <v/>
      </c>
      <c r="B29" s="23">
        <f>IF('VERI_A'!$A29="","",'VERI_A'!$A29)</f>
        <v/>
      </c>
      <c r="C29" s="16">
        <f>IF($B29="","",IF(OR('VERI_A'!$B29="",'VERI_A'!$B29=0),"TARIH_BOS",IF(LEN(TRIM('VERI_A'!$C29&amp;""))&lt;&gt;dbe_vknUzunluk,"VKN_UZUNLUK",IF('VERI_A'!$G29&lt;0,"TUTAR_NEGATIF",IF('VERI_A'!$I29="","DONEM_EKSIK",""))))</f>
        <v/>
      </c>
      <c r="D29" s="16">
        <f>IF($C29="","",IF($C29="TARIH_BOS","Belge tarihi zorunlu",IF($C29="VKN_UZUNLUK","VKN 10 hane olmalı",IF($C29="TUTAR_NEGATIF","Toplam negatif olamaz",IF($C29="DONEM_EKSIK","Dönem zorunlu","Elle incele"))))</f>
        <v/>
      </c>
      <c r="E29" s="16">
        <f>IF($C29="","",IF(OR($C29="TUTAR_NEGATIF",$C29="TARIH_BOS"),"YUKSEK","ORTA"))</f>
        <v/>
      </c>
      <c r="F29" s="16">
        <f>IF($C29="","",IF(OR($C29="TARIH_BOS",$C29="VKN_UZUNLUK",$C29="TUTAR_NEGATIF",$C29="DONEM_EKSIK"),$C29,"TANIMSIZ"))</f>
        <v/>
      </c>
      <c r="G29" s="16">
        <f>IF($C29="","",1)</f>
        <v/>
      </c>
    </row>
    <row r="30">
      <c r="A30" s="16">
        <f>IF('VERI_A'!$A30="","",ROW()-ROW(tblVeriA[[#Headers]]))</f>
        <v/>
      </c>
      <c r="B30" s="23">
        <f>IF('VERI_A'!$A30="","",'VERI_A'!$A30)</f>
        <v/>
      </c>
      <c r="C30" s="16">
        <f>IF($B30="","",IF(OR('VERI_A'!$B30="",'VERI_A'!$B30=0),"TARIH_BOS",IF(LEN(TRIM('VERI_A'!$C30&amp;""))&lt;&gt;dbe_vknUzunluk,"VKN_UZUNLUK",IF('VERI_A'!$G30&lt;0,"TUTAR_NEGATIF",IF('VERI_A'!$I30="","DONEM_EKSIK",""))))</f>
        <v/>
      </c>
      <c r="D30" s="16">
        <f>IF($C30="","",IF($C30="TARIH_BOS","Belge tarihi zorunlu",IF($C30="VKN_UZUNLUK","VKN 10 hane olmalı",IF($C30="TUTAR_NEGATIF","Toplam negatif olamaz",IF($C30="DONEM_EKSIK","Dönem zorunlu","Elle incele"))))</f>
        <v/>
      </c>
      <c r="E30" s="16">
        <f>IF($C30="","",IF(OR($C30="TUTAR_NEGATIF",$C30="TARIH_BOS"),"YUKSEK","ORTA"))</f>
        <v/>
      </c>
      <c r="F30" s="16">
        <f>IF($C30="","",IF(OR($C30="TARIH_BOS",$C30="VKN_UZUNLUK",$C30="TUTAR_NEGATIF",$C30="DONEM_EKSIK"),$C30,"TANIMSIZ"))</f>
        <v/>
      </c>
      <c r="G30" s="16">
        <f>IF($C30="","",1)</f>
        <v/>
      </c>
    </row>
    <row r="31">
      <c r="A31" s="16">
        <f>IF('VERI_A'!$A31="","",ROW()-ROW(tblVeriA[[#Headers]]))</f>
        <v/>
      </c>
      <c r="B31" s="23">
        <f>IF('VERI_A'!$A31="","",'VERI_A'!$A31)</f>
        <v/>
      </c>
      <c r="C31" s="16">
        <f>IF($B31="","",IF(OR('VERI_A'!$B31="",'VERI_A'!$B31=0),"TARIH_BOS",IF(LEN(TRIM('VERI_A'!$C31&amp;""))&lt;&gt;dbe_vknUzunluk,"VKN_UZUNLUK",IF('VERI_A'!$G31&lt;0,"TUTAR_NEGATIF",IF('VERI_A'!$I31="","DONEM_EKSIK",""))))</f>
        <v/>
      </c>
      <c r="D31" s="16">
        <f>IF($C31="","",IF($C31="TARIH_BOS","Belge tarihi zorunlu",IF($C31="VKN_UZUNLUK","VKN 10 hane olmalı",IF($C31="TUTAR_NEGATIF","Toplam negatif olamaz",IF($C31="DONEM_EKSIK","Dönem zorunlu","Elle incele"))))</f>
        <v/>
      </c>
      <c r="E31" s="16">
        <f>IF($C31="","",IF(OR($C31="TUTAR_NEGATIF",$C31="TARIH_BOS"),"YUKSEK","ORTA"))</f>
        <v/>
      </c>
      <c r="F31" s="16">
        <f>IF($C31="","",IF(OR($C31="TARIH_BOS",$C31="VKN_UZUNLUK",$C31="TUTAR_NEGATIF",$C31="DONEM_EKSIK"),$C31,"TANIMSIZ"))</f>
        <v/>
      </c>
      <c r="G31" s="16">
        <f>IF($C31="","",1)</f>
        <v/>
      </c>
    </row>
    <row r="32">
      <c r="A32" s="16">
        <f>IF('VERI_A'!$A32="","",ROW()-ROW(tblVeriA[[#Headers]]))</f>
        <v/>
      </c>
      <c r="B32" s="23">
        <f>IF('VERI_A'!$A32="","",'VERI_A'!$A32)</f>
        <v/>
      </c>
      <c r="C32" s="16">
        <f>IF($B32="","",IF(OR('VERI_A'!$B32="",'VERI_A'!$B32=0),"TARIH_BOS",IF(LEN(TRIM('VERI_A'!$C32&amp;""))&lt;&gt;dbe_vknUzunluk,"VKN_UZUNLUK",IF('VERI_A'!$G32&lt;0,"TUTAR_NEGATIF",IF('VERI_A'!$I32="","DONEM_EKSIK",""))))</f>
        <v/>
      </c>
      <c r="D32" s="16">
        <f>IF($C32="","",IF($C32="TARIH_BOS","Belge tarihi zorunlu",IF($C32="VKN_UZUNLUK","VKN 10 hane olmalı",IF($C32="TUTAR_NEGATIF","Toplam negatif olamaz",IF($C32="DONEM_EKSIK","Dönem zorunlu","Elle incele"))))</f>
        <v/>
      </c>
      <c r="E32" s="16">
        <f>IF($C32="","",IF(OR($C32="TUTAR_NEGATIF",$C32="TARIH_BOS"),"YUKSEK","ORTA"))</f>
        <v/>
      </c>
      <c r="F32" s="16">
        <f>IF($C32="","",IF(OR($C32="TARIH_BOS",$C32="VKN_UZUNLUK",$C32="TUTAR_NEGATIF",$C32="DONEM_EKSIK"),$C32,"TANIMSIZ"))</f>
        <v/>
      </c>
      <c r="G32" s="16">
        <f>IF($C32="","",1)</f>
        <v/>
      </c>
    </row>
    <row r="33">
      <c r="A33" s="16">
        <f>IF('VERI_A'!$A33="","",ROW()-ROW(tblVeriA[[#Headers]]))</f>
        <v/>
      </c>
      <c r="B33" s="23">
        <f>IF('VERI_A'!$A33="","",'VERI_A'!$A33)</f>
        <v/>
      </c>
      <c r="C33" s="16">
        <f>IF($B33="","",IF(OR('VERI_A'!$B33="",'VERI_A'!$B33=0),"TARIH_BOS",IF(LEN(TRIM('VERI_A'!$C33&amp;""))&lt;&gt;dbe_vknUzunluk,"VKN_UZUNLUK",IF('VERI_A'!$G33&lt;0,"TUTAR_NEGATIF",IF('VERI_A'!$I33="","DONEM_EKSIK",""))))</f>
        <v/>
      </c>
      <c r="D33" s="16">
        <f>IF($C33="","",IF($C33="TARIH_BOS","Belge tarihi zorunlu",IF($C33="VKN_UZUNLUK","VKN 10 hane olmalı",IF($C33="TUTAR_NEGATIF","Toplam negatif olamaz",IF($C33="DONEM_EKSIK","Dönem zorunlu","Elle incele"))))</f>
        <v/>
      </c>
      <c r="E33" s="16">
        <f>IF($C33="","",IF(OR($C33="TUTAR_NEGATIF",$C33="TARIH_BOS"),"YUKSEK","ORTA"))</f>
        <v/>
      </c>
      <c r="F33" s="16">
        <f>IF($C33="","",IF(OR($C33="TARIH_BOS",$C33="VKN_UZUNLUK",$C33="TUTAR_NEGATIF",$C33="DONEM_EKSIK"),$C33,"TANIMSIZ"))</f>
        <v/>
      </c>
      <c r="G33" s="16">
        <f>IF($C33="","",1)</f>
        <v/>
      </c>
    </row>
    <row r="34">
      <c r="A34" s="16">
        <f>IF('VERI_A'!$A34="","",ROW()-ROW(tblVeriA[[#Headers]]))</f>
        <v/>
      </c>
      <c r="B34" s="23">
        <f>IF('VERI_A'!$A34="","",'VERI_A'!$A34)</f>
        <v/>
      </c>
      <c r="C34" s="16">
        <f>IF($B34="","",IF(OR('VERI_A'!$B34="",'VERI_A'!$B34=0),"TARIH_BOS",IF(LEN(TRIM('VERI_A'!$C34&amp;""))&lt;&gt;dbe_vknUzunluk,"VKN_UZUNLUK",IF('VERI_A'!$G34&lt;0,"TUTAR_NEGATIF",IF('VERI_A'!$I34="","DONEM_EKSIK",""))))</f>
        <v/>
      </c>
      <c r="D34" s="16">
        <f>IF($C34="","",IF($C34="TARIH_BOS","Belge tarihi zorunlu",IF($C34="VKN_UZUNLUK","VKN 10 hane olmalı",IF($C34="TUTAR_NEGATIF","Toplam negatif olamaz",IF($C34="DONEM_EKSIK","Dönem zorunlu","Elle incele"))))</f>
        <v/>
      </c>
      <c r="E34" s="16">
        <f>IF($C34="","",IF(OR($C34="TUTAR_NEGATIF",$C34="TARIH_BOS"),"YUKSEK","ORTA"))</f>
        <v/>
      </c>
      <c r="F34" s="16">
        <f>IF($C34="","",IF(OR($C34="TARIH_BOS",$C34="VKN_UZUNLUK",$C34="TUTAR_NEGATIF",$C34="DONEM_EKSIK"),$C34,"TANIMSIZ"))</f>
        <v/>
      </c>
      <c r="G34" s="16">
        <f>IF($C34="","",1)</f>
        <v/>
      </c>
    </row>
    <row r="35">
      <c r="A35" s="16">
        <f>IF('VERI_A'!$A35="","",ROW()-ROW(tblVeriA[[#Headers]]))</f>
        <v/>
      </c>
      <c r="B35" s="23">
        <f>IF('VERI_A'!$A35="","",'VERI_A'!$A35)</f>
        <v/>
      </c>
      <c r="C35" s="16">
        <f>IF($B35="","",IF(OR('VERI_A'!$B35="",'VERI_A'!$B35=0),"TARIH_BOS",IF(LEN(TRIM('VERI_A'!$C35&amp;""))&lt;&gt;dbe_vknUzunluk,"VKN_UZUNLUK",IF('VERI_A'!$G35&lt;0,"TUTAR_NEGATIF",IF('VERI_A'!$I35="","DONEM_EKSIK",""))))</f>
        <v/>
      </c>
      <c r="D35" s="16">
        <f>IF($C35="","",IF($C35="TARIH_BOS","Belge tarihi zorunlu",IF($C35="VKN_UZUNLUK","VKN 10 hane olmalı",IF($C35="TUTAR_NEGATIF","Toplam negatif olamaz",IF($C35="DONEM_EKSIK","Dönem zorunlu","Elle incele"))))</f>
        <v/>
      </c>
      <c r="E35" s="16">
        <f>IF($C35="","",IF(OR($C35="TUTAR_NEGATIF",$C35="TARIH_BOS"),"YUKSEK","ORTA"))</f>
        <v/>
      </c>
      <c r="F35" s="16">
        <f>IF($C35="","",IF(OR($C35="TARIH_BOS",$C35="VKN_UZUNLUK",$C35="TUTAR_NEGATIF",$C35="DONEM_EKSIK"),$C35,"TANIMSIZ"))</f>
        <v/>
      </c>
      <c r="G35" s="16">
        <f>IF($C35="","",1)</f>
        <v/>
      </c>
    </row>
    <row r="36">
      <c r="A36" s="16">
        <f>IF('VERI_A'!$A36="","",ROW()-ROW(tblVeriA[[#Headers]]))</f>
        <v/>
      </c>
      <c r="B36" s="23">
        <f>IF('VERI_A'!$A36="","",'VERI_A'!$A36)</f>
        <v/>
      </c>
      <c r="C36" s="16">
        <f>IF($B36="","",IF(OR('VERI_A'!$B36="",'VERI_A'!$B36=0),"TARIH_BOS",IF(LEN(TRIM('VERI_A'!$C36&amp;""))&lt;&gt;dbe_vknUzunluk,"VKN_UZUNLUK",IF('VERI_A'!$G36&lt;0,"TUTAR_NEGATIF",IF('VERI_A'!$I36="","DONEM_EKSIK",""))))</f>
        <v/>
      </c>
      <c r="D36" s="16">
        <f>IF($C36="","",IF($C36="TARIH_BOS","Belge tarihi zorunlu",IF($C36="VKN_UZUNLUK","VKN 10 hane olmalı",IF($C36="TUTAR_NEGATIF","Toplam negatif olamaz",IF($C36="DONEM_EKSIK","Dönem zorunlu","Elle incele"))))</f>
        <v/>
      </c>
      <c r="E36" s="16">
        <f>IF($C36="","",IF(OR($C36="TUTAR_NEGATIF",$C36="TARIH_BOS"),"YUKSEK","ORTA"))</f>
        <v/>
      </c>
      <c r="F36" s="16">
        <f>IF($C36="","",IF(OR($C36="TARIH_BOS",$C36="VKN_UZUNLUK",$C36="TUTAR_NEGATIF",$C36="DONEM_EKSIK"),$C36,"TANIMSIZ"))</f>
        <v/>
      </c>
      <c r="G36" s="16">
        <f>IF($C36="","",1)</f>
        <v/>
      </c>
    </row>
    <row r="37">
      <c r="A37" s="16">
        <f>IF('VERI_A'!$A37="","",ROW()-ROW(tblVeriA[[#Headers]]))</f>
        <v/>
      </c>
      <c r="B37" s="23">
        <f>IF('VERI_A'!$A37="","",'VERI_A'!$A37)</f>
        <v/>
      </c>
      <c r="C37" s="16">
        <f>IF($B37="","",IF(OR('VERI_A'!$B37="",'VERI_A'!$B37=0),"TARIH_BOS",IF(LEN(TRIM('VERI_A'!$C37&amp;""))&lt;&gt;dbe_vknUzunluk,"VKN_UZUNLUK",IF('VERI_A'!$G37&lt;0,"TUTAR_NEGATIF",IF('VERI_A'!$I37="","DONEM_EKSIK",""))))</f>
        <v/>
      </c>
      <c r="D37" s="16">
        <f>IF($C37="","",IF($C37="TARIH_BOS","Belge tarihi zorunlu",IF($C37="VKN_UZUNLUK","VKN 10 hane olmalı",IF($C37="TUTAR_NEGATIF","Toplam negatif olamaz",IF($C37="DONEM_EKSIK","Dönem zorunlu","Elle incele"))))</f>
        <v/>
      </c>
      <c r="E37" s="16">
        <f>IF($C37="","",IF(OR($C37="TUTAR_NEGATIF",$C37="TARIH_BOS"),"YUKSEK","ORTA"))</f>
        <v/>
      </c>
      <c r="F37" s="16">
        <f>IF($C37="","",IF(OR($C37="TARIH_BOS",$C37="VKN_UZUNLUK",$C37="TUTAR_NEGATIF",$C37="DONEM_EKSIK"),$C37,"TANIMSIZ"))</f>
        <v/>
      </c>
      <c r="G37" s="16">
        <f>IF($C37="","",1)</f>
        <v/>
      </c>
    </row>
    <row r="38">
      <c r="A38" s="16">
        <f>IF('VERI_A'!$A38="","",ROW()-ROW(tblVeriA[[#Headers]]))</f>
        <v/>
      </c>
      <c r="B38" s="23">
        <f>IF('VERI_A'!$A38="","",'VERI_A'!$A38)</f>
        <v/>
      </c>
      <c r="C38" s="16">
        <f>IF($B38="","",IF(OR('VERI_A'!$B38="",'VERI_A'!$B38=0),"TARIH_BOS",IF(LEN(TRIM('VERI_A'!$C38&amp;""))&lt;&gt;dbe_vknUzunluk,"VKN_UZUNLUK",IF('VERI_A'!$G38&lt;0,"TUTAR_NEGATIF",IF('VERI_A'!$I38="","DONEM_EKSIK",""))))</f>
        <v/>
      </c>
      <c r="D38" s="16">
        <f>IF($C38="","",IF($C38="TARIH_BOS","Belge tarihi zorunlu",IF($C38="VKN_UZUNLUK","VKN 10 hane olmalı",IF($C38="TUTAR_NEGATIF","Toplam negatif olamaz",IF($C38="DONEM_EKSIK","Dönem zorunlu","Elle incele"))))</f>
        <v/>
      </c>
      <c r="E38" s="16">
        <f>IF($C38="","",IF(OR($C38="TUTAR_NEGATIF",$C38="TARIH_BOS"),"YUKSEK","ORTA"))</f>
        <v/>
      </c>
      <c r="F38" s="16">
        <f>IF($C38="","",IF(OR($C38="TARIH_BOS",$C38="VKN_UZUNLUK",$C38="TUTAR_NEGATIF",$C38="DONEM_EKSIK"),$C38,"TANIMSIZ"))</f>
        <v/>
      </c>
      <c r="G38" s="16">
        <f>IF($C38="","",1)</f>
        <v/>
      </c>
    </row>
    <row r="39">
      <c r="A39" s="16">
        <f>IF('VERI_A'!$A39="","",ROW()-ROW(tblVeriA[[#Headers]]))</f>
        <v/>
      </c>
      <c r="B39" s="23">
        <f>IF('VERI_A'!$A39="","",'VERI_A'!$A39)</f>
        <v/>
      </c>
      <c r="C39" s="16">
        <f>IF($B39="","",IF(OR('VERI_A'!$B39="",'VERI_A'!$B39=0),"TARIH_BOS",IF(LEN(TRIM('VERI_A'!$C39&amp;""))&lt;&gt;dbe_vknUzunluk,"VKN_UZUNLUK",IF('VERI_A'!$G39&lt;0,"TUTAR_NEGATIF",IF('VERI_A'!$I39="","DONEM_EKSIK",""))))</f>
        <v/>
      </c>
      <c r="D39" s="16">
        <f>IF($C39="","",IF($C39="TARIH_BOS","Belge tarihi zorunlu",IF($C39="VKN_UZUNLUK","VKN 10 hane olmalı",IF($C39="TUTAR_NEGATIF","Toplam negatif olamaz",IF($C39="DONEM_EKSIK","Dönem zorunlu","Elle incele"))))</f>
        <v/>
      </c>
      <c r="E39" s="16">
        <f>IF($C39="","",IF(OR($C39="TUTAR_NEGATIF",$C39="TARIH_BOS"),"YUKSEK","ORTA"))</f>
        <v/>
      </c>
      <c r="F39" s="16">
        <f>IF($C39="","",IF(OR($C39="TARIH_BOS",$C39="VKN_UZUNLUK",$C39="TUTAR_NEGATIF",$C39="DONEM_EKSIK"),$C39,"TANIMSIZ"))</f>
        <v/>
      </c>
      <c r="G39" s="16">
        <f>IF($C39="","",1)</f>
        <v/>
      </c>
    </row>
    <row r="40">
      <c r="A40" s="16">
        <f>IF('VERI_A'!$A40="","",ROW()-ROW(tblVeriA[[#Headers]]))</f>
        <v/>
      </c>
      <c r="B40" s="23">
        <f>IF('VERI_A'!$A40="","",'VERI_A'!$A40)</f>
        <v/>
      </c>
      <c r="C40" s="16">
        <f>IF($B40="","",IF(OR('VERI_A'!$B40="",'VERI_A'!$B40=0),"TARIH_BOS",IF(LEN(TRIM('VERI_A'!$C40&amp;""))&lt;&gt;dbe_vknUzunluk,"VKN_UZUNLUK",IF('VERI_A'!$G40&lt;0,"TUTAR_NEGATIF",IF('VERI_A'!$I40="","DONEM_EKSIK",""))))</f>
        <v/>
      </c>
      <c r="D40" s="16">
        <f>IF($C40="","",IF($C40="TARIH_BOS","Belge tarihi zorunlu",IF($C40="VKN_UZUNLUK","VKN 10 hane olmalı",IF($C40="TUTAR_NEGATIF","Toplam negatif olamaz",IF($C40="DONEM_EKSIK","Dönem zorunlu","Elle incele"))))</f>
        <v/>
      </c>
      <c r="E40" s="16">
        <f>IF($C40="","",IF(OR($C40="TUTAR_NEGATIF",$C40="TARIH_BOS"),"YUKSEK","ORTA"))</f>
        <v/>
      </c>
      <c r="F40" s="16">
        <f>IF($C40="","",IF(OR($C40="TARIH_BOS",$C40="VKN_UZUNLUK",$C40="TUTAR_NEGATIF",$C40="DONEM_EKSIK"),$C40,"TANIMSIZ"))</f>
        <v/>
      </c>
      <c r="G40" s="16">
        <f>IF($C40="","",1)</f>
        <v/>
      </c>
    </row>
    <row r="41">
      <c r="A41" s="16">
        <f>IF('VERI_A'!$A41="","",ROW()-ROW(tblVeriA[[#Headers]]))</f>
        <v/>
      </c>
      <c r="B41" s="23">
        <f>IF('VERI_A'!$A41="","",'VERI_A'!$A41)</f>
        <v/>
      </c>
      <c r="C41" s="16">
        <f>IF($B41="","",IF(OR('VERI_A'!$B41="",'VERI_A'!$B41=0),"TARIH_BOS",IF(LEN(TRIM('VERI_A'!$C41&amp;""))&lt;&gt;dbe_vknUzunluk,"VKN_UZUNLUK",IF('VERI_A'!$G41&lt;0,"TUTAR_NEGATIF",IF('VERI_A'!$I41="","DONEM_EKSIK",""))))</f>
        <v/>
      </c>
      <c r="D41" s="16">
        <f>IF($C41="","",IF($C41="TARIH_BOS","Belge tarihi zorunlu",IF($C41="VKN_UZUNLUK","VKN 10 hane olmalı",IF($C41="TUTAR_NEGATIF","Toplam negatif olamaz",IF($C41="DONEM_EKSIK","Dönem zorunlu","Elle incele"))))</f>
        <v/>
      </c>
      <c r="E41" s="16">
        <f>IF($C41="","",IF(OR($C41="TUTAR_NEGATIF",$C41="TARIH_BOS"),"YUKSEK","ORTA"))</f>
        <v/>
      </c>
      <c r="F41" s="16">
        <f>IF($C41="","",IF(OR($C41="TARIH_BOS",$C41="VKN_UZUNLUK",$C41="TUTAR_NEGATIF",$C41="DONEM_EKSIK"),$C41,"TANIMSIZ"))</f>
        <v/>
      </c>
      <c r="G41" s="16">
        <f>IF($C41="","",1)</f>
        <v/>
      </c>
    </row>
    <row r="42">
      <c r="A42" s="16">
        <f>IF('VERI_A'!$A42="","",ROW()-ROW(tblVeriA[[#Headers]]))</f>
        <v/>
      </c>
      <c r="B42" s="23">
        <f>IF('VERI_A'!$A42="","",'VERI_A'!$A42)</f>
        <v/>
      </c>
      <c r="C42" s="16">
        <f>IF($B42="","",IF(OR('VERI_A'!$B42="",'VERI_A'!$B42=0),"TARIH_BOS",IF(LEN(TRIM('VERI_A'!$C42&amp;""))&lt;&gt;dbe_vknUzunluk,"VKN_UZUNLUK",IF('VERI_A'!$G42&lt;0,"TUTAR_NEGATIF",IF('VERI_A'!$I42="","DONEM_EKSIK",""))))</f>
        <v/>
      </c>
      <c r="D42" s="16">
        <f>IF($C42="","",IF($C42="TARIH_BOS","Belge tarihi zorunlu",IF($C42="VKN_UZUNLUK","VKN 10 hane olmalı",IF($C42="TUTAR_NEGATIF","Toplam negatif olamaz",IF($C42="DONEM_EKSIK","Dönem zorunlu","Elle incele"))))</f>
        <v/>
      </c>
      <c r="E42" s="16">
        <f>IF($C42="","",IF(OR($C42="TUTAR_NEGATIF",$C42="TARIH_BOS"),"YUKSEK","ORTA"))</f>
        <v/>
      </c>
      <c r="F42" s="16">
        <f>IF($C42="","",IF(OR($C42="TARIH_BOS",$C42="VKN_UZUNLUK",$C42="TUTAR_NEGATIF",$C42="DONEM_EKSIK"),$C42,"TANIMSIZ"))</f>
        <v/>
      </c>
      <c r="G42" s="16">
        <f>IF($C42="","",1)</f>
        <v/>
      </c>
    </row>
    <row r="43">
      <c r="A43" s="16">
        <f>IF('VERI_A'!$A43="","",ROW()-ROW(tblVeriA[[#Headers]]))</f>
        <v/>
      </c>
      <c r="B43" s="23">
        <f>IF('VERI_A'!$A43="","",'VERI_A'!$A43)</f>
        <v/>
      </c>
      <c r="C43" s="16">
        <f>IF($B43="","",IF(OR('VERI_A'!$B43="",'VERI_A'!$B43=0),"TARIH_BOS",IF(LEN(TRIM('VERI_A'!$C43&amp;""))&lt;&gt;dbe_vknUzunluk,"VKN_UZUNLUK",IF('VERI_A'!$G43&lt;0,"TUTAR_NEGATIF",IF('VERI_A'!$I43="","DONEM_EKSIK",""))))</f>
        <v/>
      </c>
      <c r="D43" s="16">
        <f>IF($C43="","",IF($C43="TARIH_BOS","Belge tarihi zorunlu",IF($C43="VKN_UZUNLUK","VKN 10 hane olmalı",IF($C43="TUTAR_NEGATIF","Toplam negatif olamaz",IF($C43="DONEM_EKSIK","Dönem zorunlu","Elle incele"))))</f>
        <v/>
      </c>
      <c r="E43" s="16">
        <f>IF($C43="","",IF(OR($C43="TUTAR_NEGATIF",$C43="TARIH_BOS"),"YUKSEK","ORTA"))</f>
        <v/>
      </c>
      <c r="F43" s="16">
        <f>IF($C43="","",IF(OR($C43="TARIH_BOS",$C43="VKN_UZUNLUK",$C43="TUTAR_NEGATIF",$C43="DONEM_EKSIK"),$C43,"TANIMSIZ"))</f>
        <v/>
      </c>
      <c r="G43" s="16">
        <f>IF($C43="","",1)</f>
        <v/>
      </c>
    </row>
    <row r="44">
      <c r="A44" s="16">
        <f>IF('VERI_A'!$A44="","",ROW()-ROW(tblVeriA[[#Headers]]))</f>
        <v/>
      </c>
      <c r="B44" s="23">
        <f>IF('VERI_A'!$A44="","",'VERI_A'!$A44)</f>
        <v/>
      </c>
      <c r="C44" s="16">
        <f>IF($B44="","",IF(OR('VERI_A'!$B44="",'VERI_A'!$B44=0),"TARIH_BOS",IF(LEN(TRIM('VERI_A'!$C44&amp;""))&lt;&gt;dbe_vknUzunluk,"VKN_UZUNLUK",IF('VERI_A'!$G44&lt;0,"TUTAR_NEGATIF",IF('VERI_A'!$I44="","DONEM_EKSIK",""))))</f>
        <v/>
      </c>
      <c r="D44" s="16">
        <f>IF($C44="","",IF($C44="TARIH_BOS","Belge tarihi zorunlu",IF($C44="VKN_UZUNLUK","VKN 10 hane olmalı",IF($C44="TUTAR_NEGATIF","Toplam negatif olamaz",IF($C44="DONEM_EKSIK","Dönem zorunlu","Elle incele"))))</f>
        <v/>
      </c>
      <c r="E44" s="16">
        <f>IF($C44="","",IF(OR($C44="TUTAR_NEGATIF",$C44="TARIH_BOS"),"YUKSEK","ORTA"))</f>
        <v/>
      </c>
      <c r="F44" s="16">
        <f>IF($C44="","",IF(OR($C44="TARIH_BOS",$C44="VKN_UZUNLUK",$C44="TUTAR_NEGATIF",$C44="DONEM_EKSIK"),$C44,"TANIMSIZ"))</f>
        <v/>
      </c>
      <c r="G44" s="16">
        <f>IF($C44="","",1)</f>
        <v/>
      </c>
    </row>
    <row r="45">
      <c r="A45" s="16">
        <f>IF('VERI_A'!$A45="","",ROW()-ROW(tblVeriA[[#Headers]]))</f>
        <v/>
      </c>
      <c r="B45" s="23">
        <f>IF('VERI_A'!$A45="","",'VERI_A'!$A45)</f>
        <v/>
      </c>
      <c r="C45" s="16">
        <f>IF($B45="","",IF(OR('VERI_A'!$B45="",'VERI_A'!$B45=0),"TARIH_BOS",IF(LEN(TRIM('VERI_A'!$C45&amp;""))&lt;&gt;dbe_vknUzunluk,"VKN_UZUNLUK",IF('VERI_A'!$G45&lt;0,"TUTAR_NEGATIF",IF('VERI_A'!$I45="","DONEM_EKSIK",""))))</f>
        <v/>
      </c>
      <c r="D45" s="16">
        <f>IF($C45="","",IF($C45="TARIH_BOS","Belge tarihi zorunlu",IF($C45="VKN_UZUNLUK","VKN 10 hane olmalı",IF($C45="TUTAR_NEGATIF","Toplam negatif olamaz",IF($C45="DONEM_EKSIK","Dönem zorunlu","Elle incele"))))</f>
        <v/>
      </c>
      <c r="E45" s="16">
        <f>IF($C45="","",IF(OR($C45="TUTAR_NEGATIF",$C45="TARIH_BOS"),"YUKSEK","ORTA"))</f>
        <v/>
      </c>
      <c r="F45" s="16">
        <f>IF($C45="","",IF(OR($C45="TARIH_BOS",$C45="VKN_UZUNLUK",$C45="TUTAR_NEGATIF",$C45="DONEM_EKSIK"),$C45,"TANIMSIZ"))</f>
        <v/>
      </c>
      <c r="G45" s="16">
        <f>IF($C45="","",1)</f>
        <v/>
      </c>
    </row>
    <row r="46">
      <c r="A46" s="16">
        <f>IF('VERI_A'!$A46="","",ROW()-ROW(tblVeriA[[#Headers]]))</f>
        <v/>
      </c>
      <c r="B46" s="23">
        <f>IF('VERI_A'!$A46="","",'VERI_A'!$A46)</f>
        <v/>
      </c>
      <c r="C46" s="16">
        <f>IF($B46="","",IF(OR('VERI_A'!$B46="",'VERI_A'!$B46=0),"TARIH_BOS",IF(LEN(TRIM('VERI_A'!$C46&amp;""))&lt;&gt;dbe_vknUzunluk,"VKN_UZUNLUK",IF('VERI_A'!$G46&lt;0,"TUTAR_NEGATIF",IF('VERI_A'!$I46="","DONEM_EKSIK",""))))</f>
        <v/>
      </c>
      <c r="D46" s="16">
        <f>IF($C46="","",IF($C46="TARIH_BOS","Belge tarihi zorunlu",IF($C46="VKN_UZUNLUK","VKN 10 hane olmalı",IF($C46="TUTAR_NEGATIF","Toplam negatif olamaz",IF($C46="DONEM_EKSIK","Dönem zorunlu","Elle incele"))))</f>
        <v/>
      </c>
      <c r="E46" s="16">
        <f>IF($C46="","",IF(OR($C46="TUTAR_NEGATIF",$C46="TARIH_BOS"),"YUKSEK","ORTA"))</f>
        <v/>
      </c>
      <c r="F46" s="16">
        <f>IF($C46="","",IF(OR($C46="TARIH_BOS",$C46="VKN_UZUNLUK",$C46="TUTAR_NEGATIF",$C46="DONEM_EKSIK"),$C46,"TANIMSIZ"))</f>
        <v/>
      </c>
      <c r="G46" s="16">
        <f>IF($C46="","",1)</f>
        <v/>
      </c>
    </row>
    <row r="47">
      <c r="A47" s="16">
        <f>IF('VERI_A'!$A47="","",ROW()-ROW(tblVeriA[[#Headers]]))</f>
        <v/>
      </c>
      <c r="B47" s="23">
        <f>IF('VERI_A'!$A47="","",'VERI_A'!$A47)</f>
        <v/>
      </c>
      <c r="C47" s="16">
        <f>IF($B47="","",IF(OR('VERI_A'!$B47="",'VERI_A'!$B47=0),"TARIH_BOS",IF(LEN(TRIM('VERI_A'!$C47&amp;""))&lt;&gt;dbe_vknUzunluk,"VKN_UZUNLUK",IF('VERI_A'!$G47&lt;0,"TUTAR_NEGATIF",IF('VERI_A'!$I47="","DONEM_EKSIK",""))))</f>
        <v/>
      </c>
      <c r="D47" s="16">
        <f>IF($C47="","",IF($C47="TARIH_BOS","Belge tarihi zorunlu",IF($C47="VKN_UZUNLUK","VKN 10 hane olmalı",IF($C47="TUTAR_NEGATIF","Toplam negatif olamaz",IF($C47="DONEM_EKSIK","Dönem zorunlu","Elle incele"))))</f>
        <v/>
      </c>
      <c r="E47" s="16">
        <f>IF($C47="","",IF(OR($C47="TUTAR_NEGATIF",$C47="TARIH_BOS"),"YUKSEK","ORTA"))</f>
        <v/>
      </c>
      <c r="F47" s="16">
        <f>IF($C47="","",IF(OR($C47="TARIH_BOS",$C47="VKN_UZUNLUK",$C47="TUTAR_NEGATIF",$C47="DONEM_EKSIK"),$C47,"TANIMSIZ"))</f>
        <v/>
      </c>
      <c r="G47" s="16">
        <f>IF($C47="","",1)</f>
        <v/>
      </c>
    </row>
    <row r="48">
      <c r="A48" s="16">
        <f>IF('VERI_A'!$A48="","",ROW()-ROW(tblVeriA[[#Headers]]))</f>
        <v/>
      </c>
      <c r="B48" s="23">
        <f>IF('VERI_A'!$A48="","",'VERI_A'!$A48)</f>
        <v/>
      </c>
      <c r="C48" s="16">
        <f>IF($B48="","",IF(OR('VERI_A'!$B48="",'VERI_A'!$B48=0),"TARIH_BOS",IF(LEN(TRIM('VERI_A'!$C48&amp;""))&lt;&gt;dbe_vknUzunluk,"VKN_UZUNLUK",IF('VERI_A'!$G48&lt;0,"TUTAR_NEGATIF",IF('VERI_A'!$I48="","DONEM_EKSIK",""))))</f>
        <v/>
      </c>
      <c r="D48" s="16">
        <f>IF($C48="","",IF($C48="TARIH_BOS","Belge tarihi zorunlu",IF($C48="VKN_UZUNLUK","VKN 10 hane olmalı",IF($C48="TUTAR_NEGATIF","Toplam negatif olamaz",IF($C48="DONEM_EKSIK","Dönem zorunlu","Elle incele"))))</f>
        <v/>
      </c>
      <c r="E48" s="16">
        <f>IF($C48="","",IF(OR($C48="TUTAR_NEGATIF",$C48="TARIH_BOS"),"YUKSEK","ORTA"))</f>
        <v/>
      </c>
      <c r="F48" s="16">
        <f>IF($C48="","",IF(OR($C48="TARIH_BOS",$C48="VKN_UZUNLUK",$C48="TUTAR_NEGATIF",$C48="DONEM_EKSIK"),$C48,"TANIMSIZ"))</f>
        <v/>
      </c>
      <c r="G48" s="16">
        <f>IF($C48="","",1)</f>
        <v/>
      </c>
    </row>
    <row r="49">
      <c r="A49" s="16">
        <f>IF('VERI_A'!$A49="","",ROW()-ROW(tblVeriA[[#Headers]]))</f>
        <v/>
      </c>
      <c r="B49" s="23">
        <f>IF('VERI_A'!$A49="","",'VERI_A'!$A49)</f>
        <v/>
      </c>
      <c r="C49" s="16">
        <f>IF($B49="","",IF(OR('VERI_A'!$B49="",'VERI_A'!$B49=0),"TARIH_BOS",IF(LEN(TRIM('VERI_A'!$C49&amp;""))&lt;&gt;dbe_vknUzunluk,"VKN_UZUNLUK",IF('VERI_A'!$G49&lt;0,"TUTAR_NEGATIF",IF('VERI_A'!$I49="","DONEM_EKSIK",""))))</f>
        <v/>
      </c>
      <c r="D49" s="16">
        <f>IF($C49="","",IF($C49="TARIH_BOS","Belge tarihi zorunlu",IF($C49="VKN_UZUNLUK","VKN 10 hane olmalı",IF($C49="TUTAR_NEGATIF","Toplam negatif olamaz",IF($C49="DONEM_EKSIK","Dönem zorunlu","Elle incele"))))</f>
        <v/>
      </c>
      <c r="E49" s="16">
        <f>IF($C49="","",IF(OR($C49="TUTAR_NEGATIF",$C49="TARIH_BOS"),"YUKSEK","ORTA"))</f>
        <v/>
      </c>
      <c r="F49" s="16">
        <f>IF($C49="","",IF(OR($C49="TARIH_BOS",$C49="VKN_UZUNLUK",$C49="TUTAR_NEGATIF",$C49="DONEM_EKSIK"),$C49,"TANIMSIZ"))</f>
        <v/>
      </c>
      <c r="G49" s="16">
        <f>IF($C49="","",1)</f>
        <v/>
      </c>
    </row>
    <row r="50">
      <c r="A50" s="16">
        <f>IF('VERI_A'!$A50="","",ROW()-ROW(tblVeriA[[#Headers]]))</f>
        <v/>
      </c>
      <c r="B50" s="23">
        <f>IF('VERI_A'!$A50="","",'VERI_A'!$A50)</f>
        <v/>
      </c>
      <c r="C50" s="16">
        <f>IF($B50="","",IF(OR('VERI_A'!$B50="",'VERI_A'!$B50=0),"TARIH_BOS",IF(LEN(TRIM('VERI_A'!$C50&amp;""))&lt;&gt;dbe_vknUzunluk,"VKN_UZUNLUK",IF('VERI_A'!$G50&lt;0,"TUTAR_NEGATIF",IF('VERI_A'!$I50="","DONEM_EKSIK",""))))</f>
        <v/>
      </c>
      <c r="D50" s="16">
        <f>IF($C50="","",IF($C50="TARIH_BOS","Belge tarihi zorunlu",IF($C50="VKN_UZUNLUK","VKN 10 hane olmalı",IF($C50="TUTAR_NEGATIF","Toplam negatif olamaz",IF($C50="DONEM_EKSIK","Dönem zorunlu","Elle incele"))))</f>
        <v/>
      </c>
      <c r="E50" s="16">
        <f>IF($C50="","",IF(OR($C50="TUTAR_NEGATIF",$C50="TARIH_BOS"),"YUKSEK","ORTA"))</f>
        <v/>
      </c>
      <c r="F50" s="16">
        <f>IF($C50="","",IF(OR($C50="TARIH_BOS",$C50="VKN_UZUNLUK",$C50="TUTAR_NEGATIF",$C50="DONEM_EKSIK"),$C50,"TANIMSIZ"))</f>
        <v/>
      </c>
      <c r="G50" s="16">
        <f>IF($C50="","",1)</f>
        <v/>
      </c>
    </row>
    <row r="51">
      <c r="A51" s="16">
        <f>IF('VERI_A'!$A51="","",ROW()-ROW(tblVeriA[[#Headers]]))</f>
        <v/>
      </c>
      <c r="B51" s="23">
        <f>IF('VERI_A'!$A51="","",'VERI_A'!$A51)</f>
        <v/>
      </c>
      <c r="C51" s="16">
        <f>IF($B51="","",IF(OR('VERI_A'!$B51="",'VERI_A'!$B51=0),"TARIH_BOS",IF(LEN(TRIM('VERI_A'!$C51&amp;""))&lt;&gt;dbe_vknUzunluk,"VKN_UZUNLUK",IF('VERI_A'!$G51&lt;0,"TUTAR_NEGATIF",IF('VERI_A'!$I51="","DONEM_EKSIK",""))))</f>
        <v/>
      </c>
      <c r="D51" s="16">
        <f>IF($C51="","",IF($C51="TARIH_BOS","Belge tarihi zorunlu",IF($C51="VKN_UZUNLUK","VKN 10 hane olmalı",IF($C51="TUTAR_NEGATIF","Toplam negatif olamaz",IF($C51="DONEM_EKSIK","Dönem zorunlu","Elle incele"))))</f>
        <v/>
      </c>
      <c r="E51" s="16">
        <f>IF($C51="","",IF(OR($C51="TUTAR_NEGATIF",$C51="TARIH_BOS"),"YUKSEK","ORTA"))</f>
        <v/>
      </c>
      <c r="F51" s="16">
        <f>IF($C51="","",IF(OR($C51="TARIH_BOS",$C51="VKN_UZUNLUK",$C51="TUTAR_NEGATIF",$C51="DONEM_EKSIK"),$C51,"TANIMSIZ"))</f>
        <v/>
      </c>
      <c r="G51" s="16">
        <f>IF($C51="","",1)</f>
        <v/>
      </c>
    </row>
    <row r="52">
      <c r="A52" s="16">
        <f>IF('VERI_A'!$A52="","",ROW()-ROW(tblVeriA[[#Headers]]))</f>
        <v/>
      </c>
      <c r="B52" s="23">
        <f>IF('VERI_A'!$A52="","",'VERI_A'!$A52)</f>
        <v/>
      </c>
      <c r="C52" s="16">
        <f>IF($B52="","",IF(OR('VERI_A'!$B52="",'VERI_A'!$B52=0),"TARIH_BOS",IF(LEN(TRIM('VERI_A'!$C52&amp;""))&lt;&gt;dbe_vknUzunluk,"VKN_UZUNLUK",IF('VERI_A'!$G52&lt;0,"TUTAR_NEGATIF",IF('VERI_A'!$I52="","DONEM_EKSIK",""))))</f>
        <v/>
      </c>
      <c r="D52" s="16">
        <f>IF($C52="","",IF($C52="TARIH_BOS","Belge tarihi zorunlu",IF($C52="VKN_UZUNLUK","VKN 10 hane olmalı",IF($C52="TUTAR_NEGATIF","Toplam negatif olamaz",IF($C52="DONEM_EKSIK","Dönem zorunlu","Elle incele"))))</f>
        <v/>
      </c>
      <c r="E52" s="16">
        <f>IF($C52="","",IF(OR($C52="TUTAR_NEGATIF",$C52="TARIH_BOS"),"YUKSEK","ORTA"))</f>
        <v/>
      </c>
      <c r="F52" s="16">
        <f>IF($C52="","",IF(OR($C52="TARIH_BOS",$C52="VKN_UZUNLUK",$C52="TUTAR_NEGATIF",$C52="DONEM_EKSIK"),$C52,"TANIMSIZ"))</f>
        <v/>
      </c>
      <c r="G52" s="16">
        <f>IF($C52="","",1)</f>
        <v/>
      </c>
    </row>
    <row r="53">
      <c r="A53" s="16">
        <f>IF('VERI_A'!$A53="","",ROW()-ROW(tblVeriA[[#Headers]]))</f>
        <v/>
      </c>
      <c r="B53" s="23">
        <f>IF('VERI_A'!$A53="","",'VERI_A'!$A53)</f>
        <v/>
      </c>
      <c r="C53" s="16">
        <f>IF($B53="","",IF(OR('VERI_A'!$B53="",'VERI_A'!$B53=0),"TARIH_BOS",IF(LEN(TRIM('VERI_A'!$C53&amp;""))&lt;&gt;dbe_vknUzunluk,"VKN_UZUNLUK",IF('VERI_A'!$G53&lt;0,"TUTAR_NEGATIF",IF('VERI_A'!$I53="","DONEM_EKSIK",""))))</f>
        <v/>
      </c>
      <c r="D53" s="16">
        <f>IF($C53="","",IF($C53="TARIH_BOS","Belge tarihi zorunlu",IF($C53="VKN_UZUNLUK","VKN 10 hane olmalı",IF($C53="TUTAR_NEGATIF","Toplam negatif olamaz",IF($C53="DONEM_EKSIK","Dönem zorunlu","Elle incele"))))</f>
        <v/>
      </c>
      <c r="E53" s="16">
        <f>IF($C53="","",IF(OR($C53="TUTAR_NEGATIF",$C53="TARIH_BOS"),"YUKSEK","ORTA"))</f>
        <v/>
      </c>
      <c r="F53" s="16">
        <f>IF($C53="","",IF(OR($C53="TARIH_BOS",$C53="VKN_UZUNLUK",$C53="TUTAR_NEGATIF",$C53="DONEM_EKSIK"),$C53,"TANIMSIZ"))</f>
        <v/>
      </c>
      <c r="G53" s="16">
        <f>IF($C53="","",1)</f>
        <v/>
      </c>
    </row>
    <row r="54">
      <c r="A54" s="16">
        <f>IF('VERI_A'!$A54="","",ROW()-ROW(tblVeriA[[#Headers]]))</f>
        <v/>
      </c>
      <c r="B54" s="23">
        <f>IF('VERI_A'!$A54="","",'VERI_A'!$A54)</f>
        <v/>
      </c>
      <c r="C54" s="16">
        <f>IF($B54="","",IF(OR('VERI_A'!$B54="",'VERI_A'!$B54=0),"TARIH_BOS",IF(LEN(TRIM('VERI_A'!$C54&amp;""))&lt;&gt;dbe_vknUzunluk,"VKN_UZUNLUK",IF('VERI_A'!$G54&lt;0,"TUTAR_NEGATIF",IF('VERI_A'!$I54="","DONEM_EKSIK",""))))</f>
        <v/>
      </c>
      <c r="D54" s="16">
        <f>IF($C54="","",IF($C54="TARIH_BOS","Belge tarihi zorunlu",IF($C54="VKN_UZUNLUK","VKN 10 hane olmalı",IF($C54="TUTAR_NEGATIF","Toplam negatif olamaz",IF($C54="DONEM_EKSIK","Dönem zorunlu","Elle incele"))))</f>
        <v/>
      </c>
      <c r="E54" s="16">
        <f>IF($C54="","",IF(OR($C54="TUTAR_NEGATIF",$C54="TARIH_BOS"),"YUKSEK","ORTA"))</f>
        <v/>
      </c>
      <c r="F54" s="16">
        <f>IF($C54="","",IF(OR($C54="TARIH_BOS",$C54="VKN_UZUNLUK",$C54="TUTAR_NEGATIF",$C54="DONEM_EKSIK"),$C54,"TANIMSIZ"))</f>
        <v/>
      </c>
      <c r="G54" s="16">
        <f>IF($C54="","",1)</f>
        <v/>
      </c>
    </row>
    <row r="55">
      <c r="A55" s="16">
        <f>IF('VERI_A'!$A55="","",ROW()-ROW(tblVeriA[[#Headers]]))</f>
        <v/>
      </c>
      <c r="B55" s="23">
        <f>IF('VERI_A'!$A55="","",'VERI_A'!$A55)</f>
        <v/>
      </c>
      <c r="C55" s="16">
        <f>IF($B55="","",IF(OR('VERI_A'!$B55="",'VERI_A'!$B55=0),"TARIH_BOS",IF(LEN(TRIM('VERI_A'!$C55&amp;""))&lt;&gt;dbe_vknUzunluk,"VKN_UZUNLUK",IF('VERI_A'!$G55&lt;0,"TUTAR_NEGATIF",IF('VERI_A'!$I55="","DONEM_EKSIK",""))))</f>
        <v/>
      </c>
      <c r="D55" s="16">
        <f>IF($C55="","",IF($C55="TARIH_BOS","Belge tarihi zorunlu",IF($C55="VKN_UZUNLUK","VKN 10 hane olmalı",IF($C55="TUTAR_NEGATIF","Toplam negatif olamaz",IF($C55="DONEM_EKSIK","Dönem zorunlu","Elle incele"))))</f>
        <v/>
      </c>
      <c r="E55" s="16">
        <f>IF($C55="","",IF(OR($C55="TUTAR_NEGATIF",$C55="TARIH_BOS"),"YUKSEK","ORTA"))</f>
        <v/>
      </c>
      <c r="F55" s="16">
        <f>IF($C55="","",IF(OR($C55="TARIH_BOS",$C55="VKN_UZUNLUK",$C55="TUTAR_NEGATIF",$C55="DONEM_EKSIK"),$C55,"TANIMSIZ"))</f>
        <v/>
      </c>
      <c r="G55" s="16">
        <f>IF($C55="","",1)</f>
        <v/>
      </c>
    </row>
    <row r="56">
      <c r="A56" s="16">
        <f>IF('VERI_A'!$A56="","",ROW()-ROW(tblVeriA[[#Headers]]))</f>
        <v/>
      </c>
      <c r="B56" s="23">
        <f>IF('VERI_A'!$A56="","",'VERI_A'!$A56)</f>
        <v/>
      </c>
      <c r="C56" s="16">
        <f>IF($B56="","",IF(OR('VERI_A'!$B56="",'VERI_A'!$B56=0),"TARIH_BOS",IF(LEN(TRIM('VERI_A'!$C56&amp;""))&lt;&gt;dbe_vknUzunluk,"VKN_UZUNLUK",IF('VERI_A'!$G56&lt;0,"TUTAR_NEGATIF",IF('VERI_A'!$I56="","DONEM_EKSIK",""))))</f>
        <v/>
      </c>
      <c r="D56" s="16">
        <f>IF($C56="","",IF($C56="TARIH_BOS","Belge tarihi zorunlu",IF($C56="VKN_UZUNLUK","VKN 10 hane olmalı",IF($C56="TUTAR_NEGATIF","Toplam negatif olamaz",IF($C56="DONEM_EKSIK","Dönem zorunlu","Elle incele"))))</f>
        <v/>
      </c>
      <c r="E56" s="16">
        <f>IF($C56="","",IF(OR($C56="TUTAR_NEGATIF",$C56="TARIH_BOS"),"YUKSEK","ORTA"))</f>
        <v/>
      </c>
      <c r="F56" s="16">
        <f>IF($C56="","",IF(OR($C56="TARIH_BOS",$C56="VKN_UZUNLUK",$C56="TUTAR_NEGATIF",$C56="DONEM_EKSIK"),$C56,"TANIMSIZ"))</f>
        <v/>
      </c>
      <c r="G56" s="16">
        <f>IF($C56="","",1)</f>
        <v/>
      </c>
    </row>
    <row r="57">
      <c r="A57" s="16">
        <f>IF('VERI_A'!$A57="","",ROW()-ROW(tblVeriA[[#Headers]]))</f>
        <v/>
      </c>
      <c r="B57" s="23">
        <f>IF('VERI_A'!$A57="","",'VERI_A'!$A57)</f>
        <v/>
      </c>
      <c r="C57" s="16">
        <f>IF($B57="","",IF(OR('VERI_A'!$B57="",'VERI_A'!$B57=0),"TARIH_BOS",IF(LEN(TRIM('VERI_A'!$C57&amp;""))&lt;&gt;dbe_vknUzunluk,"VKN_UZUNLUK",IF('VERI_A'!$G57&lt;0,"TUTAR_NEGATIF",IF('VERI_A'!$I57="","DONEM_EKSIK",""))))</f>
        <v/>
      </c>
      <c r="D57" s="16">
        <f>IF($C57="","",IF($C57="TARIH_BOS","Belge tarihi zorunlu",IF($C57="VKN_UZUNLUK","VKN 10 hane olmalı",IF($C57="TUTAR_NEGATIF","Toplam negatif olamaz",IF($C57="DONEM_EKSIK","Dönem zorunlu","Elle incele"))))</f>
        <v/>
      </c>
      <c r="E57" s="16">
        <f>IF($C57="","",IF(OR($C57="TUTAR_NEGATIF",$C57="TARIH_BOS"),"YUKSEK","ORTA"))</f>
        <v/>
      </c>
      <c r="F57" s="16">
        <f>IF($C57="","",IF(OR($C57="TARIH_BOS",$C57="VKN_UZUNLUK",$C57="TUTAR_NEGATIF",$C57="DONEM_EKSIK"),$C57,"TANIMSIZ"))</f>
        <v/>
      </c>
      <c r="G57" s="16">
        <f>IF($C57="","",1)</f>
        <v/>
      </c>
    </row>
    <row r="58">
      <c r="A58" s="16">
        <f>IF('VERI_A'!$A58="","",ROW()-ROW(tblVeriA[[#Headers]]))</f>
        <v/>
      </c>
      <c r="B58" s="23">
        <f>IF('VERI_A'!$A58="","",'VERI_A'!$A58)</f>
        <v/>
      </c>
      <c r="C58" s="16">
        <f>IF($B58="","",IF(OR('VERI_A'!$B58="",'VERI_A'!$B58=0),"TARIH_BOS",IF(LEN(TRIM('VERI_A'!$C58&amp;""))&lt;&gt;dbe_vknUzunluk,"VKN_UZUNLUK",IF('VERI_A'!$G58&lt;0,"TUTAR_NEGATIF",IF('VERI_A'!$I58="","DONEM_EKSIK",""))))</f>
        <v/>
      </c>
      <c r="D58" s="16">
        <f>IF($C58="","",IF($C58="TARIH_BOS","Belge tarihi zorunlu",IF($C58="VKN_UZUNLUK","VKN 10 hane olmalı",IF($C58="TUTAR_NEGATIF","Toplam negatif olamaz",IF($C58="DONEM_EKSIK","Dönem zorunlu","Elle incele"))))</f>
        <v/>
      </c>
      <c r="E58" s="16">
        <f>IF($C58="","",IF(OR($C58="TUTAR_NEGATIF",$C58="TARIH_BOS"),"YUKSEK","ORTA"))</f>
        <v/>
      </c>
      <c r="F58" s="16">
        <f>IF($C58="","",IF(OR($C58="TARIH_BOS",$C58="VKN_UZUNLUK",$C58="TUTAR_NEGATIF",$C58="DONEM_EKSIK"),$C58,"TANIMSIZ"))</f>
        <v/>
      </c>
      <c r="G58" s="16">
        <f>IF($C58="","",1)</f>
        <v/>
      </c>
    </row>
    <row r="59">
      <c r="A59" s="16">
        <f>IF('VERI_A'!$A59="","",ROW()-ROW(tblVeriA[[#Headers]]))</f>
        <v/>
      </c>
      <c r="B59" s="23">
        <f>IF('VERI_A'!$A59="","",'VERI_A'!$A59)</f>
        <v/>
      </c>
      <c r="C59" s="16">
        <f>IF($B59="","",IF(OR('VERI_A'!$B59="",'VERI_A'!$B59=0),"TARIH_BOS",IF(LEN(TRIM('VERI_A'!$C59&amp;""))&lt;&gt;dbe_vknUzunluk,"VKN_UZUNLUK",IF('VERI_A'!$G59&lt;0,"TUTAR_NEGATIF",IF('VERI_A'!$I59="","DONEM_EKSIK",""))))</f>
        <v/>
      </c>
      <c r="D59" s="16">
        <f>IF($C59="","",IF($C59="TARIH_BOS","Belge tarihi zorunlu",IF($C59="VKN_UZUNLUK","VKN 10 hane olmalı",IF($C59="TUTAR_NEGATIF","Toplam negatif olamaz",IF($C59="DONEM_EKSIK","Dönem zorunlu","Elle incele"))))</f>
        <v/>
      </c>
      <c r="E59" s="16">
        <f>IF($C59="","",IF(OR($C59="TUTAR_NEGATIF",$C59="TARIH_BOS"),"YUKSEK","ORTA"))</f>
        <v/>
      </c>
      <c r="F59" s="16">
        <f>IF($C59="","",IF(OR($C59="TARIH_BOS",$C59="VKN_UZUNLUK",$C59="TUTAR_NEGATIF",$C59="DONEM_EKSIK"),$C59,"TANIMSIZ"))</f>
        <v/>
      </c>
      <c r="G59" s="16">
        <f>IF($C59="","",1)</f>
        <v/>
      </c>
    </row>
    <row r="60">
      <c r="A60" s="16">
        <f>IF('VERI_A'!$A60="","",ROW()-ROW(tblVeriA[[#Headers]]))</f>
        <v/>
      </c>
      <c r="B60" s="23">
        <f>IF('VERI_A'!$A60="","",'VERI_A'!$A60)</f>
        <v/>
      </c>
      <c r="C60" s="16">
        <f>IF($B60="","",IF(OR('VERI_A'!$B60="",'VERI_A'!$B60=0),"TARIH_BOS",IF(LEN(TRIM('VERI_A'!$C60&amp;""))&lt;&gt;dbe_vknUzunluk,"VKN_UZUNLUK",IF('VERI_A'!$G60&lt;0,"TUTAR_NEGATIF",IF('VERI_A'!$I60="","DONEM_EKSIK",""))))</f>
        <v/>
      </c>
      <c r="D60" s="16">
        <f>IF($C60="","",IF($C60="TARIH_BOS","Belge tarihi zorunlu",IF($C60="VKN_UZUNLUK","VKN 10 hane olmalı",IF($C60="TUTAR_NEGATIF","Toplam negatif olamaz",IF($C60="DONEM_EKSIK","Dönem zorunlu","Elle incele"))))</f>
        <v/>
      </c>
      <c r="E60" s="16">
        <f>IF($C60="","",IF(OR($C60="TUTAR_NEGATIF",$C60="TARIH_BOS"),"YUKSEK","ORTA"))</f>
        <v/>
      </c>
      <c r="F60" s="16">
        <f>IF($C60="","",IF(OR($C60="TARIH_BOS",$C60="VKN_UZUNLUK",$C60="TUTAR_NEGATIF",$C60="DONEM_EKSIK"),$C60,"TANIMSIZ"))</f>
        <v/>
      </c>
      <c r="G60" s="16">
        <f>IF($C60="","",1)</f>
        <v/>
      </c>
    </row>
    <row r="61">
      <c r="A61" s="16">
        <f>IF('VERI_A'!$A61="","",ROW()-ROW(tblVeriA[[#Headers]]))</f>
        <v/>
      </c>
      <c r="B61" s="23">
        <f>IF('VERI_A'!$A61="","",'VERI_A'!$A61)</f>
        <v/>
      </c>
      <c r="C61" s="16">
        <f>IF($B61="","",IF(OR('VERI_A'!$B61="",'VERI_A'!$B61=0),"TARIH_BOS",IF(LEN(TRIM('VERI_A'!$C61&amp;""))&lt;&gt;dbe_vknUzunluk,"VKN_UZUNLUK",IF('VERI_A'!$G61&lt;0,"TUTAR_NEGATIF",IF('VERI_A'!$I61="","DONEM_EKSIK",""))))</f>
        <v/>
      </c>
      <c r="D61" s="16">
        <f>IF($C61="","",IF($C61="TARIH_BOS","Belge tarihi zorunlu",IF($C61="VKN_UZUNLUK","VKN 10 hane olmalı",IF($C61="TUTAR_NEGATIF","Toplam negatif olamaz",IF($C61="DONEM_EKSIK","Dönem zorunlu","Elle incele"))))</f>
        <v/>
      </c>
      <c r="E61" s="16">
        <f>IF($C61="","",IF(OR($C61="TUTAR_NEGATIF",$C61="TARIH_BOS"),"YUKSEK","ORTA"))</f>
        <v/>
      </c>
      <c r="F61" s="16">
        <f>IF($C61="","",IF(OR($C61="TARIH_BOS",$C61="VKN_UZUNLUK",$C61="TUTAR_NEGATIF",$C61="DONEM_EKSIK"),$C61,"TANIMSIZ"))</f>
        <v/>
      </c>
      <c r="G61" s="16">
        <f>IF($C61="","",1)</f>
        <v/>
      </c>
    </row>
    <row r="62">
      <c r="A62" s="16">
        <f>IF('VERI_A'!$A62="","",ROW()-ROW(tblVeriA[[#Headers]]))</f>
        <v/>
      </c>
      <c r="B62" s="23">
        <f>IF('VERI_A'!$A62="","",'VERI_A'!$A62)</f>
        <v/>
      </c>
      <c r="C62" s="16">
        <f>IF($B62="","",IF(OR('VERI_A'!$B62="",'VERI_A'!$B62=0),"TARIH_BOS",IF(LEN(TRIM('VERI_A'!$C62&amp;""))&lt;&gt;dbe_vknUzunluk,"VKN_UZUNLUK",IF('VERI_A'!$G62&lt;0,"TUTAR_NEGATIF",IF('VERI_A'!$I62="","DONEM_EKSIK",""))))</f>
        <v/>
      </c>
      <c r="D62" s="16">
        <f>IF($C62="","",IF($C62="TARIH_BOS","Belge tarihi zorunlu",IF($C62="VKN_UZUNLUK","VKN 10 hane olmalı",IF($C62="TUTAR_NEGATIF","Toplam negatif olamaz",IF($C62="DONEM_EKSIK","Dönem zorunlu","Elle incele"))))</f>
        <v/>
      </c>
      <c r="E62" s="16">
        <f>IF($C62="","",IF(OR($C62="TUTAR_NEGATIF",$C62="TARIH_BOS"),"YUKSEK","ORTA"))</f>
        <v/>
      </c>
      <c r="F62" s="16">
        <f>IF($C62="","",IF(OR($C62="TARIH_BOS",$C62="VKN_UZUNLUK",$C62="TUTAR_NEGATIF",$C62="DONEM_EKSIK"),$C62,"TANIMSIZ"))</f>
        <v/>
      </c>
      <c r="G62" s="16">
        <f>IF($C62="","",1)</f>
        <v/>
      </c>
    </row>
    <row r="63">
      <c r="A63" s="16">
        <f>IF('VERI_A'!$A63="","",ROW()-ROW(tblVeriA[[#Headers]]))</f>
        <v/>
      </c>
      <c r="B63" s="23">
        <f>IF('VERI_A'!$A63="","",'VERI_A'!$A63)</f>
        <v/>
      </c>
      <c r="C63" s="16">
        <f>IF($B63="","",IF(OR('VERI_A'!$B63="",'VERI_A'!$B63=0),"TARIH_BOS",IF(LEN(TRIM('VERI_A'!$C63&amp;""))&lt;&gt;dbe_vknUzunluk,"VKN_UZUNLUK",IF('VERI_A'!$G63&lt;0,"TUTAR_NEGATIF",IF('VERI_A'!$I63="","DONEM_EKSIK",""))))</f>
        <v/>
      </c>
      <c r="D63" s="16">
        <f>IF($C63="","",IF($C63="TARIH_BOS","Belge tarihi zorunlu",IF($C63="VKN_UZUNLUK","VKN 10 hane olmalı",IF($C63="TUTAR_NEGATIF","Toplam negatif olamaz",IF($C63="DONEM_EKSIK","Dönem zorunlu","Elle incele"))))</f>
        <v/>
      </c>
      <c r="E63" s="16">
        <f>IF($C63="","",IF(OR($C63="TUTAR_NEGATIF",$C63="TARIH_BOS"),"YUKSEK","ORTA"))</f>
        <v/>
      </c>
      <c r="F63" s="16">
        <f>IF($C63="","",IF(OR($C63="TARIH_BOS",$C63="VKN_UZUNLUK",$C63="TUTAR_NEGATIF",$C63="DONEM_EKSIK"),$C63,"TANIMSIZ"))</f>
        <v/>
      </c>
      <c r="G63" s="16">
        <f>IF($C63="","",1)</f>
        <v/>
      </c>
    </row>
    <row r="64">
      <c r="A64" s="16">
        <f>IF('VERI_A'!$A64="","",ROW()-ROW(tblVeriA[[#Headers]]))</f>
        <v/>
      </c>
      <c r="B64" s="23">
        <f>IF('VERI_A'!$A64="","",'VERI_A'!$A64)</f>
        <v/>
      </c>
      <c r="C64" s="16">
        <f>IF($B64="","",IF(OR('VERI_A'!$B64="",'VERI_A'!$B64=0),"TARIH_BOS",IF(LEN(TRIM('VERI_A'!$C64&amp;""))&lt;&gt;dbe_vknUzunluk,"VKN_UZUNLUK",IF('VERI_A'!$G64&lt;0,"TUTAR_NEGATIF",IF('VERI_A'!$I64="","DONEM_EKSIK",""))))</f>
        <v/>
      </c>
      <c r="D64" s="16">
        <f>IF($C64="","",IF($C64="TARIH_BOS","Belge tarihi zorunlu",IF($C64="VKN_UZUNLUK","VKN 10 hane olmalı",IF($C64="TUTAR_NEGATIF","Toplam negatif olamaz",IF($C64="DONEM_EKSIK","Dönem zorunlu","Elle incele"))))</f>
        <v/>
      </c>
      <c r="E64" s="16">
        <f>IF($C64="","",IF(OR($C64="TUTAR_NEGATIF",$C64="TARIH_BOS"),"YUKSEK","ORTA"))</f>
        <v/>
      </c>
      <c r="F64" s="16">
        <f>IF($C64="","",IF(OR($C64="TARIH_BOS",$C64="VKN_UZUNLUK",$C64="TUTAR_NEGATIF",$C64="DONEM_EKSIK"),$C64,"TANIMSIZ"))</f>
        <v/>
      </c>
      <c r="G64" s="16">
        <f>IF($C64="","",1)</f>
        <v/>
      </c>
    </row>
    <row r="65">
      <c r="A65" s="16">
        <f>IF('VERI_A'!$A65="","",ROW()-ROW(tblVeriA[[#Headers]]))</f>
        <v/>
      </c>
      <c r="B65" s="23">
        <f>IF('VERI_A'!$A65="","",'VERI_A'!$A65)</f>
        <v/>
      </c>
      <c r="C65" s="16">
        <f>IF($B65="","",IF(OR('VERI_A'!$B65="",'VERI_A'!$B65=0),"TARIH_BOS",IF(LEN(TRIM('VERI_A'!$C65&amp;""))&lt;&gt;dbe_vknUzunluk,"VKN_UZUNLUK",IF('VERI_A'!$G65&lt;0,"TUTAR_NEGATIF",IF('VERI_A'!$I65="","DONEM_EKSIK",""))))</f>
        <v/>
      </c>
      <c r="D65" s="16">
        <f>IF($C65="","",IF($C65="TARIH_BOS","Belge tarihi zorunlu",IF($C65="VKN_UZUNLUK","VKN 10 hane olmalı",IF($C65="TUTAR_NEGATIF","Toplam negatif olamaz",IF($C65="DONEM_EKSIK","Dönem zorunlu","Elle incele"))))</f>
        <v/>
      </c>
      <c r="E65" s="16">
        <f>IF($C65="","",IF(OR($C65="TUTAR_NEGATIF",$C65="TARIH_BOS"),"YUKSEK","ORTA"))</f>
        <v/>
      </c>
      <c r="F65" s="16">
        <f>IF($C65="","",IF(OR($C65="TARIH_BOS",$C65="VKN_UZUNLUK",$C65="TUTAR_NEGATIF",$C65="DONEM_EKSIK"),$C65,"TANIMSIZ"))</f>
        <v/>
      </c>
      <c r="G65" s="16">
        <f>IF($C65="","",1)</f>
        <v/>
      </c>
    </row>
    <row r="66">
      <c r="A66" s="16">
        <f>IF('VERI_A'!$A66="","",ROW()-ROW(tblVeriA[[#Headers]]))</f>
        <v/>
      </c>
      <c r="B66" s="23">
        <f>IF('VERI_A'!$A66="","",'VERI_A'!$A66)</f>
        <v/>
      </c>
      <c r="C66" s="16">
        <f>IF($B66="","",IF(OR('VERI_A'!$B66="",'VERI_A'!$B66=0),"TARIH_BOS",IF(LEN(TRIM('VERI_A'!$C66&amp;""))&lt;&gt;dbe_vknUzunluk,"VKN_UZUNLUK",IF('VERI_A'!$G66&lt;0,"TUTAR_NEGATIF",IF('VERI_A'!$I66="","DONEM_EKSIK",""))))</f>
        <v/>
      </c>
      <c r="D66" s="16">
        <f>IF($C66="","",IF($C66="TARIH_BOS","Belge tarihi zorunlu",IF($C66="VKN_UZUNLUK","VKN 10 hane olmalı",IF($C66="TUTAR_NEGATIF","Toplam negatif olamaz",IF($C66="DONEM_EKSIK","Dönem zorunlu","Elle incele"))))</f>
        <v/>
      </c>
      <c r="E66" s="16">
        <f>IF($C66="","",IF(OR($C66="TUTAR_NEGATIF",$C66="TARIH_BOS"),"YUKSEK","ORTA"))</f>
        <v/>
      </c>
      <c r="F66" s="16">
        <f>IF($C66="","",IF(OR($C66="TARIH_BOS",$C66="VKN_UZUNLUK",$C66="TUTAR_NEGATIF",$C66="DONEM_EKSIK"),$C66,"TANIMSIZ"))</f>
        <v/>
      </c>
      <c r="G66" s="16">
        <f>IF($C66="","",1)</f>
        <v/>
      </c>
    </row>
    <row r="67">
      <c r="A67" s="16">
        <f>IF('VERI_A'!$A67="","",ROW()-ROW(tblVeriA[[#Headers]]))</f>
        <v/>
      </c>
      <c r="B67" s="23">
        <f>IF('VERI_A'!$A67="","",'VERI_A'!$A67)</f>
        <v/>
      </c>
      <c r="C67" s="16">
        <f>IF($B67="","",IF(OR('VERI_A'!$B67="",'VERI_A'!$B67=0),"TARIH_BOS",IF(LEN(TRIM('VERI_A'!$C67&amp;""))&lt;&gt;dbe_vknUzunluk,"VKN_UZUNLUK",IF('VERI_A'!$G67&lt;0,"TUTAR_NEGATIF",IF('VERI_A'!$I67="","DONEM_EKSIK",""))))</f>
        <v/>
      </c>
      <c r="D67" s="16">
        <f>IF($C67="","",IF($C67="TARIH_BOS","Belge tarihi zorunlu",IF($C67="VKN_UZUNLUK","VKN 10 hane olmalı",IF($C67="TUTAR_NEGATIF","Toplam negatif olamaz",IF($C67="DONEM_EKSIK","Dönem zorunlu","Elle incele"))))</f>
        <v/>
      </c>
      <c r="E67" s="16">
        <f>IF($C67="","",IF(OR($C67="TUTAR_NEGATIF",$C67="TARIH_BOS"),"YUKSEK","ORTA"))</f>
        <v/>
      </c>
      <c r="F67" s="16">
        <f>IF($C67="","",IF(OR($C67="TARIH_BOS",$C67="VKN_UZUNLUK",$C67="TUTAR_NEGATIF",$C67="DONEM_EKSIK"),$C67,"TANIMSIZ"))</f>
        <v/>
      </c>
      <c r="G67" s="16">
        <f>IF($C67="","",1)</f>
        <v/>
      </c>
    </row>
    <row r="68">
      <c r="A68" s="16">
        <f>IF('VERI_A'!$A68="","",ROW()-ROW(tblVeriA[[#Headers]]))</f>
        <v/>
      </c>
      <c r="B68" s="23">
        <f>IF('VERI_A'!$A68="","",'VERI_A'!$A68)</f>
        <v/>
      </c>
      <c r="C68" s="16">
        <f>IF($B68="","",IF(OR('VERI_A'!$B68="",'VERI_A'!$B68=0),"TARIH_BOS",IF(LEN(TRIM('VERI_A'!$C68&amp;""))&lt;&gt;dbe_vknUzunluk,"VKN_UZUNLUK",IF('VERI_A'!$G68&lt;0,"TUTAR_NEGATIF",IF('VERI_A'!$I68="","DONEM_EKSIK",""))))</f>
        <v/>
      </c>
      <c r="D68" s="16">
        <f>IF($C68="","",IF($C68="TARIH_BOS","Belge tarihi zorunlu",IF($C68="VKN_UZUNLUK","VKN 10 hane olmalı",IF($C68="TUTAR_NEGATIF","Toplam negatif olamaz",IF($C68="DONEM_EKSIK","Dönem zorunlu","Elle incele"))))</f>
        <v/>
      </c>
      <c r="E68" s="16">
        <f>IF($C68="","",IF(OR($C68="TUTAR_NEGATIF",$C68="TARIH_BOS"),"YUKSEK","ORTA"))</f>
        <v/>
      </c>
      <c r="F68" s="16">
        <f>IF($C68="","",IF(OR($C68="TARIH_BOS",$C68="VKN_UZUNLUK",$C68="TUTAR_NEGATIF",$C68="DONEM_EKSIK"),$C68,"TANIMSIZ"))</f>
        <v/>
      </c>
      <c r="G68" s="16">
        <f>IF($C68="","",1)</f>
        <v/>
      </c>
    </row>
    <row r="69">
      <c r="A69" s="16">
        <f>IF('VERI_A'!$A69="","",ROW()-ROW(tblVeriA[[#Headers]]))</f>
        <v/>
      </c>
      <c r="B69" s="23">
        <f>IF('VERI_A'!$A69="","",'VERI_A'!$A69)</f>
        <v/>
      </c>
      <c r="C69" s="16">
        <f>IF($B69="","",IF(OR('VERI_A'!$B69="",'VERI_A'!$B69=0),"TARIH_BOS",IF(LEN(TRIM('VERI_A'!$C69&amp;""))&lt;&gt;dbe_vknUzunluk,"VKN_UZUNLUK",IF('VERI_A'!$G69&lt;0,"TUTAR_NEGATIF",IF('VERI_A'!$I69="","DONEM_EKSIK",""))))</f>
        <v/>
      </c>
      <c r="D69" s="16">
        <f>IF($C69="","",IF($C69="TARIH_BOS","Belge tarihi zorunlu",IF($C69="VKN_UZUNLUK","VKN 10 hane olmalı",IF($C69="TUTAR_NEGATIF","Toplam negatif olamaz",IF($C69="DONEM_EKSIK","Dönem zorunlu","Elle incele"))))</f>
        <v/>
      </c>
      <c r="E69" s="16">
        <f>IF($C69="","",IF(OR($C69="TUTAR_NEGATIF",$C69="TARIH_BOS"),"YUKSEK","ORTA"))</f>
        <v/>
      </c>
      <c r="F69" s="16">
        <f>IF($C69="","",IF(OR($C69="TARIH_BOS",$C69="VKN_UZUNLUK",$C69="TUTAR_NEGATIF",$C69="DONEM_EKSIK"),$C69,"TANIMSIZ"))</f>
        <v/>
      </c>
      <c r="G69" s="16">
        <f>IF($C69="","",1)</f>
        <v/>
      </c>
    </row>
    <row r="70">
      <c r="A70" s="16">
        <f>IF('VERI_A'!$A70="","",ROW()-ROW(tblVeriA[[#Headers]]))</f>
        <v/>
      </c>
      <c r="B70" s="23">
        <f>IF('VERI_A'!$A70="","",'VERI_A'!$A70)</f>
        <v/>
      </c>
      <c r="C70" s="16">
        <f>IF($B70="","",IF(OR('VERI_A'!$B70="",'VERI_A'!$B70=0),"TARIH_BOS",IF(LEN(TRIM('VERI_A'!$C70&amp;""))&lt;&gt;dbe_vknUzunluk,"VKN_UZUNLUK",IF('VERI_A'!$G70&lt;0,"TUTAR_NEGATIF",IF('VERI_A'!$I70="","DONEM_EKSIK",""))))</f>
        <v/>
      </c>
      <c r="D70" s="16">
        <f>IF($C70="","",IF($C70="TARIH_BOS","Belge tarihi zorunlu",IF($C70="VKN_UZUNLUK","VKN 10 hane olmalı",IF($C70="TUTAR_NEGATIF","Toplam negatif olamaz",IF($C70="DONEM_EKSIK","Dönem zorunlu","Elle incele"))))</f>
        <v/>
      </c>
      <c r="E70" s="16">
        <f>IF($C70="","",IF(OR($C70="TUTAR_NEGATIF",$C70="TARIH_BOS"),"YUKSEK","ORTA"))</f>
        <v/>
      </c>
      <c r="F70" s="16">
        <f>IF($C70="","",IF(OR($C70="TARIH_BOS",$C70="VKN_UZUNLUK",$C70="TUTAR_NEGATIF",$C70="DONEM_EKSIK"),$C70,"TANIMSIZ"))</f>
        <v/>
      </c>
      <c r="G70" s="16">
        <f>IF($C70="","",1)</f>
        <v/>
      </c>
    </row>
    <row r="71">
      <c r="A71" s="16">
        <f>IF('VERI_A'!$A71="","",ROW()-ROW(tblVeriA[[#Headers]]))</f>
        <v/>
      </c>
      <c r="B71" s="23">
        <f>IF('VERI_A'!$A71="","",'VERI_A'!$A71)</f>
        <v/>
      </c>
      <c r="C71" s="16">
        <f>IF($B71="","",IF(OR('VERI_A'!$B71="",'VERI_A'!$B71=0),"TARIH_BOS",IF(LEN(TRIM('VERI_A'!$C71&amp;""))&lt;&gt;dbe_vknUzunluk,"VKN_UZUNLUK",IF('VERI_A'!$G71&lt;0,"TUTAR_NEGATIF",IF('VERI_A'!$I71="","DONEM_EKSIK",""))))</f>
        <v/>
      </c>
      <c r="D71" s="16">
        <f>IF($C71="","",IF($C71="TARIH_BOS","Belge tarihi zorunlu",IF($C71="VKN_UZUNLUK","VKN 10 hane olmalı",IF($C71="TUTAR_NEGATIF","Toplam negatif olamaz",IF($C71="DONEM_EKSIK","Dönem zorunlu","Elle incele"))))</f>
        <v/>
      </c>
      <c r="E71" s="16">
        <f>IF($C71="","",IF(OR($C71="TUTAR_NEGATIF",$C71="TARIH_BOS"),"YUKSEK","ORTA"))</f>
        <v/>
      </c>
      <c r="F71" s="16">
        <f>IF($C71="","",IF(OR($C71="TARIH_BOS",$C71="VKN_UZUNLUK",$C71="TUTAR_NEGATIF",$C71="DONEM_EKSIK"),$C71,"TANIMSIZ"))</f>
        <v/>
      </c>
      <c r="G71" s="16">
        <f>IF($C71="","",1)</f>
        <v/>
      </c>
    </row>
    <row r="72">
      <c r="A72" s="16">
        <f>IF('VERI_A'!$A72="","",ROW()-ROW(tblVeriA[[#Headers]]))</f>
        <v/>
      </c>
      <c r="B72" s="23">
        <f>IF('VERI_A'!$A72="","",'VERI_A'!$A72)</f>
        <v/>
      </c>
      <c r="C72" s="16">
        <f>IF($B72="","",IF(OR('VERI_A'!$B72="",'VERI_A'!$B72=0),"TARIH_BOS",IF(LEN(TRIM('VERI_A'!$C72&amp;""))&lt;&gt;dbe_vknUzunluk,"VKN_UZUNLUK",IF('VERI_A'!$G72&lt;0,"TUTAR_NEGATIF",IF('VERI_A'!$I72="","DONEM_EKSIK",""))))</f>
        <v/>
      </c>
      <c r="D72" s="16">
        <f>IF($C72="","",IF($C72="TARIH_BOS","Belge tarihi zorunlu",IF($C72="VKN_UZUNLUK","VKN 10 hane olmalı",IF($C72="TUTAR_NEGATIF","Toplam negatif olamaz",IF($C72="DONEM_EKSIK","Dönem zorunlu","Elle incele"))))</f>
        <v/>
      </c>
      <c r="E72" s="16">
        <f>IF($C72="","",IF(OR($C72="TUTAR_NEGATIF",$C72="TARIH_BOS"),"YUKSEK","ORTA"))</f>
        <v/>
      </c>
      <c r="F72" s="16">
        <f>IF($C72="","",IF(OR($C72="TARIH_BOS",$C72="VKN_UZUNLUK",$C72="TUTAR_NEGATIF",$C72="DONEM_EKSIK"),$C72,"TANIMSIZ"))</f>
        <v/>
      </c>
      <c r="G72" s="16">
        <f>IF($C72="","",1)</f>
        <v/>
      </c>
    </row>
    <row r="73">
      <c r="A73" s="16">
        <f>IF('VERI_A'!$A73="","",ROW()-ROW(tblVeriA[[#Headers]]))</f>
        <v/>
      </c>
      <c r="B73" s="23">
        <f>IF('VERI_A'!$A73="","",'VERI_A'!$A73)</f>
        <v/>
      </c>
      <c r="C73" s="16">
        <f>IF($B73="","",IF(OR('VERI_A'!$B73="",'VERI_A'!$B73=0),"TARIH_BOS",IF(LEN(TRIM('VERI_A'!$C73&amp;""))&lt;&gt;dbe_vknUzunluk,"VKN_UZUNLUK",IF('VERI_A'!$G73&lt;0,"TUTAR_NEGATIF",IF('VERI_A'!$I73="","DONEM_EKSIK",""))))</f>
        <v/>
      </c>
      <c r="D73" s="16">
        <f>IF($C73="","",IF($C73="TARIH_BOS","Belge tarihi zorunlu",IF($C73="VKN_UZUNLUK","VKN 10 hane olmalı",IF($C73="TUTAR_NEGATIF","Toplam negatif olamaz",IF($C73="DONEM_EKSIK","Dönem zorunlu","Elle incele"))))</f>
        <v/>
      </c>
      <c r="E73" s="16">
        <f>IF($C73="","",IF(OR($C73="TUTAR_NEGATIF",$C73="TARIH_BOS"),"YUKSEK","ORTA"))</f>
        <v/>
      </c>
      <c r="F73" s="16">
        <f>IF($C73="","",IF(OR($C73="TARIH_BOS",$C73="VKN_UZUNLUK",$C73="TUTAR_NEGATIF",$C73="DONEM_EKSIK"),$C73,"TANIMSIZ"))</f>
        <v/>
      </c>
      <c r="G73" s="16">
        <f>IF($C73="","",1)</f>
        <v/>
      </c>
    </row>
    <row r="74">
      <c r="A74" s="16">
        <f>IF('VERI_A'!$A74="","",ROW()-ROW(tblVeriA[[#Headers]]))</f>
        <v/>
      </c>
      <c r="B74" s="23">
        <f>IF('VERI_A'!$A74="","",'VERI_A'!$A74)</f>
        <v/>
      </c>
      <c r="C74" s="16">
        <f>IF($B74="","",IF(OR('VERI_A'!$B74="",'VERI_A'!$B74=0),"TARIH_BOS",IF(LEN(TRIM('VERI_A'!$C74&amp;""))&lt;&gt;dbe_vknUzunluk,"VKN_UZUNLUK",IF('VERI_A'!$G74&lt;0,"TUTAR_NEGATIF",IF('VERI_A'!$I74="","DONEM_EKSIK",""))))</f>
        <v/>
      </c>
      <c r="D74" s="16">
        <f>IF($C74="","",IF($C74="TARIH_BOS","Belge tarihi zorunlu",IF($C74="VKN_UZUNLUK","VKN 10 hane olmalı",IF($C74="TUTAR_NEGATIF","Toplam negatif olamaz",IF($C74="DONEM_EKSIK","Dönem zorunlu","Elle incele"))))</f>
        <v/>
      </c>
      <c r="E74" s="16">
        <f>IF($C74="","",IF(OR($C74="TUTAR_NEGATIF",$C74="TARIH_BOS"),"YUKSEK","ORTA"))</f>
        <v/>
      </c>
      <c r="F74" s="16">
        <f>IF($C74="","",IF(OR($C74="TARIH_BOS",$C74="VKN_UZUNLUK",$C74="TUTAR_NEGATIF",$C74="DONEM_EKSIK"),$C74,"TANIMSIZ"))</f>
        <v/>
      </c>
      <c r="G74" s="16">
        <f>IF($C74="","",1)</f>
        <v/>
      </c>
    </row>
    <row r="75">
      <c r="A75" s="16">
        <f>IF('VERI_A'!$A75="","",ROW()-ROW(tblVeriA[[#Headers]]))</f>
        <v/>
      </c>
      <c r="B75" s="23">
        <f>IF('VERI_A'!$A75="","",'VERI_A'!$A75)</f>
        <v/>
      </c>
      <c r="C75" s="16">
        <f>IF($B75="","",IF(OR('VERI_A'!$B75="",'VERI_A'!$B75=0),"TARIH_BOS",IF(LEN(TRIM('VERI_A'!$C75&amp;""))&lt;&gt;dbe_vknUzunluk,"VKN_UZUNLUK",IF('VERI_A'!$G75&lt;0,"TUTAR_NEGATIF",IF('VERI_A'!$I75="","DONEM_EKSIK",""))))</f>
        <v/>
      </c>
      <c r="D75" s="16">
        <f>IF($C75="","",IF($C75="TARIH_BOS","Belge tarihi zorunlu",IF($C75="VKN_UZUNLUK","VKN 10 hane olmalı",IF($C75="TUTAR_NEGATIF","Toplam negatif olamaz",IF($C75="DONEM_EKSIK","Dönem zorunlu","Elle incele"))))</f>
        <v/>
      </c>
      <c r="E75" s="16">
        <f>IF($C75="","",IF(OR($C75="TUTAR_NEGATIF",$C75="TARIH_BOS"),"YUKSEK","ORTA"))</f>
        <v/>
      </c>
      <c r="F75" s="16">
        <f>IF($C75="","",IF(OR($C75="TARIH_BOS",$C75="VKN_UZUNLUK",$C75="TUTAR_NEGATIF",$C75="DONEM_EKSIK"),$C75,"TANIMSIZ"))</f>
        <v/>
      </c>
      <c r="G75" s="16">
        <f>IF($C75="","",1)</f>
        <v/>
      </c>
    </row>
    <row r="76">
      <c r="A76" s="16">
        <f>IF('VERI_A'!$A76="","",ROW()-ROW(tblVeriA[[#Headers]]))</f>
        <v/>
      </c>
      <c r="B76" s="23">
        <f>IF('VERI_A'!$A76="","",'VERI_A'!$A76)</f>
        <v/>
      </c>
      <c r="C76" s="16">
        <f>IF($B76="","",IF(OR('VERI_A'!$B76="",'VERI_A'!$B76=0),"TARIH_BOS",IF(LEN(TRIM('VERI_A'!$C76&amp;""))&lt;&gt;dbe_vknUzunluk,"VKN_UZUNLUK",IF('VERI_A'!$G76&lt;0,"TUTAR_NEGATIF",IF('VERI_A'!$I76="","DONEM_EKSIK",""))))</f>
        <v/>
      </c>
      <c r="D76" s="16">
        <f>IF($C76="","",IF($C76="TARIH_BOS","Belge tarihi zorunlu",IF($C76="VKN_UZUNLUK","VKN 10 hane olmalı",IF($C76="TUTAR_NEGATIF","Toplam negatif olamaz",IF($C76="DONEM_EKSIK","Dönem zorunlu","Elle incele"))))</f>
        <v/>
      </c>
      <c r="E76" s="16">
        <f>IF($C76="","",IF(OR($C76="TUTAR_NEGATIF",$C76="TARIH_BOS"),"YUKSEK","ORTA"))</f>
        <v/>
      </c>
      <c r="F76" s="16">
        <f>IF($C76="","",IF(OR($C76="TARIH_BOS",$C76="VKN_UZUNLUK",$C76="TUTAR_NEGATIF",$C76="DONEM_EKSIK"),$C76,"TANIMSIZ"))</f>
        <v/>
      </c>
      <c r="G76" s="16">
        <f>IF($C76="","",1)</f>
        <v/>
      </c>
    </row>
    <row r="77">
      <c r="A77" s="16">
        <f>IF('VERI_A'!$A77="","",ROW()-ROW(tblVeriA[[#Headers]]))</f>
        <v/>
      </c>
      <c r="B77" s="23">
        <f>IF('VERI_A'!$A77="","",'VERI_A'!$A77)</f>
        <v/>
      </c>
      <c r="C77" s="16">
        <f>IF($B77="","",IF(OR('VERI_A'!$B77="",'VERI_A'!$B77=0),"TARIH_BOS",IF(LEN(TRIM('VERI_A'!$C77&amp;""))&lt;&gt;dbe_vknUzunluk,"VKN_UZUNLUK",IF('VERI_A'!$G77&lt;0,"TUTAR_NEGATIF",IF('VERI_A'!$I77="","DONEM_EKSIK",""))))</f>
        <v/>
      </c>
      <c r="D77" s="16">
        <f>IF($C77="","",IF($C77="TARIH_BOS","Belge tarihi zorunlu",IF($C77="VKN_UZUNLUK","VKN 10 hane olmalı",IF($C77="TUTAR_NEGATIF","Toplam negatif olamaz",IF($C77="DONEM_EKSIK","Dönem zorunlu","Elle incele"))))</f>
        <v/>
      </c>
      <c r="E77" s="16">
        <f>IF($C77="","",IF(OR($C77="TUTAR_NEGATIF",$C77="TARIH_BOS"),"YUKSEK","ORTA"))</f>
        <v/>
      </c>
      <c r="F77" s="16">
        <f>IF($C77="","",IF(OR($C77="TARIH_BOS",$C77="VKN_UZUNLUK",$C77="TUTAR_NEGATIF",$C77="DONEM_EKSIK"),$C77,"TANIMSIZ"))</f>
        <v/>
      </c>
      <c r="G77" s="16">
        <f>IF($C77="","",1)</f>
        <v/>
      </c>
    </row>
    <row r="78">
      <c r="A78" s="16">
        <f>IF('VERI_A'!$A78="","",ROW()-ROW(tblVeriA[[#Headers]]))</f>
        <v/>
      </c>
      <c r="B78" s="23">
        <f>IF('VERI_A'!$A78="","",'VERI_A'!$A78)</f>
        <v/>
      </c>
      <c r="C78" s="16">
        <f>IF($B78="","",IF(OR('VERI_A'!$B78="",'VERI_A'!$B78=0),"TARIH_BOS",IF(LEN(TRIM('VERI_A'!$C78&amp;""))&lt;&gt;dbe_vknUzunluk,"VKN_UZUNLUK",IF('VERI_A'!$G78&lt;0,"TUTAR_NEGATIF",IF('VERI_A'!$I78="","DONEM_EKSIK",""))))</f>
        <v/>
      </c>
      <c r="D78" s="16">
        <f>IF($C78="","",IF($C78="TARIH_BOS","Belge tarihi zorunlu",IF($C78="VKN_UZUNLUK","VKN 10 hane olmalı",IF($C78="TUTAR_NEGATIF","Toplam negatif olamaz",IF($C78="DONEM_EKSIK","Dönem zorunlu","Elle incele"))))</f>
        <v/>
      </c>
      <c r="E78" s="16">
        <f>IF($C78="","",IF(OR($C78="TUTAR_NEGATIF",$C78="TARIH_BOS"),"YUKSEK","ORTA"))</f>
        <v/>
      </c>
      <c r="F78" s="16">
        <f>IF($C78="","",IF(OR($C78="TARIH_BOS",$C78="VKN_UZUNLUK",$C78="TUTAR_NEGATIF",$C78="DONEM_EKSIK"),$C78,"TANIMSIZ"))</f>
        <v/>
      </c>
      <c r="G78" s="16">
        <f>IF($C78="","",1)</f>
        <v/>
      </c>
    </row>
    <row r="79">
      <c r="A79" s="16">
        <f>IF('VERI_A'!$A79="","",ROW()-ROW(tblVeriA[[#Headers]]))</f>
        <v/>
      </c>
      <c r="B79" s="23">
        <f>IF('VERI_A'!$A79="","",'VERI_A'!$A79)</f>
        <v/>
      </c>
      <c r="C79" s="16">
        <f>IF($B79="","",IF(OR('VERI_A'!$B79="",'VERI_A'!$B79=0),"TARIH_BOS",IF(LEN(TRIM('VERI_A'!$C79&amp;""))&lt;&gt;dbe_vknUzunluk,"VKN_UZUNLUK",IF('VERI_A'!$G79&lt;0,"TUTAR_NEGATIF",IF('VERI_A'!$I79="","DONEM_EKSIK",""))))</f>
        <v/>
      </c>
      <c r="D79" s="16">
        <f>IF($C79="","",IF($C79="TARIH_BOS","Belge tarihi zorunlu",IF($C79="VKN_UZUNLUK","VKN 10 hane olmalı",IF($C79="TUTAR_NEGATIF","Toplam negatif olamaz",IF($C79="DONEM_EKSIK","Dönem zorunlu","Elle incele"))))</f>
        <v/>
      </c>
      <c r="E79" s="16">
        <f>IF($C79="","",IF(OR($C79="TUTAR_NEGATIF",$C79="TARIH_BOS"),"YUKSEK","ORTA"))</f>
        <v/>
      </c>
      <c r="F79" s="16">
        <f>IF($C79="","",IF(OR($C79="TARIH_BOS",$C79="VKN_UZUNLUK",$C79="TUTAR_NEGATIF",$C79="DONEM_EKSIK"),$C79,"TANIMSIZ"))</f>
        <v/>
      </c>
      <c r="G79" s="16">
        <f>IF($C79="","",1)</f>
        <v/>
      </c>
    </row>
    <row r="80">
      <c r="A80" s="16">
        <f>IF('VERI_A'!$A80="","",ROW()-ROW(tblVeriA[[#Headers]]))</f>
        <v/>
      </c>
      <c r="B80" s="23">
        <f>IF('VERI_A'!$A80="","",'VERI_A'!$A80)</f>
        <v/>
      </c>
      <c r="C80" s="16">
        <f>IF($B80="","",IF(OR('VERI_A'!$B80="",'VERI_A'!$B80=0),"TARIH_BOS",IF(LEN(TRIM('VERI_A'!$C80&amp;""))&lt;&gt;dbe_vknUzunluk,"VKN_UZUNLUK",IF('VERI_A'!$G80&lt;0,"TUTAR_NEGATIF",IF('VERI_A'!$I80="","DONEM_EKSIK",""))))</f>
        <v/>
      </c>
      <c r="D80" s="16">
        <f>IF($C80="","",IF($C80="TARIH_BOS","Belge tarihi zorunlu",IF($C80="VKN_UZUNLUK","VKN 10 hane olmalı",IF($C80="TUTAR_NEGATIF","Toplam negatif olamaz",IF($C80="DONEM_EKSIK","Dönem zorunlu","Elle incele"))))</f>
        <v/>
      </c>
      <c r="E80" s="16">
        <f>IF($C80="","",IF(OR($C80="TUTAR_NEGATIF",$C80="TARIH_BOS"),"YUKSEK","ORTA"))</f>
        <v/>
      </c>
      <c r="F80" s="16">
        <f>IF($C80="","",IF(OR($C80="TARIH_BOS",$C80="VKN_UZUNLUK",$C80="TUTAR_NEGATIF",$C80="DONEM_EKSIK"),$C80,"TANIMSIZ"))</f>
        <v/>
      </c>
      <c r="G80" s="16">
        <f>IF($C80="","",1)</f>
        <v/>
      </c>
    </row>
    <row r="81">
      <c r="A81" s="16">
        <f>IF('VERI_A'!$A81="","",ROW()-ROW(tblVeriA[[#Headers]]))</f>
        <v/>
      </c>
      <c r="B81" s="23">
        <f>IF('VERI_A'!$A81="","",'VERI_A'!$A81)</f>
        <v/>
      </c>
      <c r="C81" s="16">
        <f>IF($B81="","",IF(OR('VERI_A'!$B81="",'VERI_A'!$B81=0),"TARIH_BOS",IF(LEN(TRIM('VERI_A'!$C81&amp;""))&lt;&gt;dbe_vknUzunluk,"VKN_UZUNLUK",IF('VERI_A'!$G81&lt;0,"TUTAR_NEGATIF",IF('VERI_A'!$I81="","DONEM_EKSIK",""))))</f>
        <v/>
      </c>
      <c r="D81" s="16">
        <f>IF($C81="","",IF($C81="TARIH_BOS","Belge tarihi zorunlu",IF($C81="VKN_UZUNLUK","VKN 10 hane olmalı",IF($C81="TUTAR_NEGATIF","Toplam negatif olamaz",IF($C81="DONEM_EKSIK","Dönem zorunlu","Elle incele"))))</f>
        <v/>
      </c>
      <c r="E81" s="16">
        <f>IF($C81="","",IF(OR($C81="TUTAR_NEGATIF",$C81="TARIH_BOS"),"YUKSEK","ORTA"))</f>
        <v/>
      </c>
      <c r="F81" s="16">
        <f>IF($C81="","",IF(OR($C81="TARIH_BOS",$C81="VKN_UZUNLUK",$C81="TUTAR_NEGATIF",$C81="DONEM_EKSIK"),$C81,"TANIMSIZ"))</f>
        <v/>
      </c>
      <c r="G81" s="16">
        <f>IF($C81="","",1)</f>
        <v/>
      </c>
    </row>
    <row r="82">
      <c r="A82" s="16">
        <f>IF('VERI_A'!$A82="","",ROW()-ROW(tblVeriA[[#Headers]]))</f>
        <v/>
      </c>
      <c r="B82" s="23">
        <f>IF('VERI_A'!$A82="","",'VERI_A'!$A82)</f>
        <v/>
      </c>
      <c r="C82" s="16">
        <f>IF($B82="","",IF(OR('VERI_A'!$B82="",'VERI_A'!$B82=0),"TARIH_BOS",IF(LEN(TRIM('VERI_A'!$C82&amp;""))&lt;&gt;dbe_vknUzunluk,"VKN_UZUNLUK",IF('VERI_A'!$G82&lt;0,"TUTAR_NEGATIF",IF('VERI_A'!$I82="","DONEM_EKSIK",""))))</f>
        <v/>
      </c>
      <c r="D82" s="16">
        <f>IF($C82="","",IF($C82="TARIH_BOS","Belge tarihi zorunlu",IF($C82="VKN_UZUNLUK","VKN 10 hane olmalı",IF($C82="TUTAR_NEGATIF","Toplam negatif olamaz",IF($C82="DONEM_EKSIK","Dönem zorunlu","Elle incele"))))</f>
        <v/>
      </c>
      <c r="E82" s="16">
        <f>IF($C82="","",IF(OR($C82="TUTAR_NEGATIF",$C82="TARIH_BOS"),"YUKSEK","ORTA"))</f>
        <v/>
      </c>
      <c r="F82" s="16">
        <f>IF($C82="","",IF(OR($C82="TARIH_BOS",$C82="VKN_UZUNLUK",$C82="TUTAR_NEGATIF",$C82="DONEM_EKSIK"),$C82,"TANIMSIZ"))</f>
        <v/>
      </c>
      <c r="G82" s="16">
        <f>IF($C82="","",1)</f>
        <v/>
      </c>
    </row>
    <row r="83">
      <c r="A83" s="16">
        <f>IF('VERI_A'!$A83="","",ROW()-ROW(tblVeriA[[#Headers]]))</f>
        <v/>
      </c>
      <c r="B83" s="23">
        <f>IF('VERI_A'!$A83="","",'VERI_A'!$A83)</f>
        <v/>
      </c>
      <c r="C83" s="16">
        <f>IF($B83="","",IF(OR('VERI_A'!$B83="",'VERI_A'!$B83=0),"TARIH_BOS",IF(LEN(TRIM('VERI_A'!$C83&amp;""))&lt;&gt;dbe_vknUzunluk,"VKN_UZUNLUK",IF('VERI_A'!$G83&lt;0,"TUTAR_NEGATIF",IF('VERI_A'!$I83="","DONEM_EKSIK",""))))</f>
        <v/>
      </c>
      <c r="D83" s="16">
        <f>IF($C83="","",IF($C83="TARIH_BOS","Belge tarihi zorunlu",IF($C83="VKN_UZUNLUK","VKN 10 hane olmalı",IF($C83="TUTAR_NEGATIF","Toplam negatif olamaz",IF($C83="DONEM_EKSIK","Dönem zorunlu","Elle incele"))))</f>
        <v/>
      </c>
      <c r="E83" s="16">
        <f>IF($C83="","",IF(OR($C83="TUTAR_NEGATIF",$C83="TARIH_BOS"),"YUKSEK","ORTA"))</f>
        <v/>
      </c>
      <c r="F83" s="16">
        <f>IF($C83="","",IF(OR($C83="TARIH_BOS",$C83="VKN_UZUNLUK",$C83="TUTAR_NEGATIF",$C83="DONEM_EKSIK"),$C83,"TANIMSIZ"))</f>
        <v/>
      </c>
      <c r="G83" s="16">
        <f>IF($C83="","",1)</f>
        <v/>
      </c>
    </row>
    <row r="84">
      <c r="A84" s="16">
        <f>IF('VERI_A'!$A84="","",ROW()-ROW(tblVeriA[[#Headers]]))</f>
        <v/>
      </c>
      <c r="B84" s="23">
        <f>IF('VERI_A'!$A84="","",'VERI_A'!$A84)</f>
        <v/>
      </c>
      <c r="C84" s="16">
        <f>IF($B84="","",IF(OR('VERI_A'!$B84="",'VERI_A'!$B84=0),"TARIH_BOS",IF(LEN(TRIM('VERI_A'!$C84&amp;""))&lt;&gt;dbe_vknUzunluk,"VKN_UZUNLUK",IF('VERI_A'!$G84&lt;0,"TUTAR_NEGATIF",IF('VERI_A'!$I84="","DONEM_EKSIK",""))))</f>
        <v/>
      </c>
      <c r="D84" s="16">
        <f>IF($C84="","",IF($C84="TARIH_BOS","Belge tarihi zorunlu",IF($C84="VKN_UZUNLUK","VKN 10 hane olmalı",IF($C84="TUTAR_NEGATIF","Toplam negatif olamaz",IF($C84="DONEM_EKSIK","Dönem zorunlu","Elle incele"))))</f>
        <v/>
      </c>
      <c r="E84" s="16">
        <f>IF($C84="","",IF(OR($C84="TUTAR_NEGATIF",$C84="TARIH_BOS"),"YUKSEK","ORTA"))</f>
        <v/>
      </c>
      <c r="F84" s="16">
        <f>IF($C84="","",IF(OR($C84="TARIH_BOS",$C84="VKN_UZUNLUK",$C84="TUTAR_NEGATIF",$C84="DONEM_EKSIK"),$C84,"TANIMSIZ"))</f>
        <v/>
      </c>
      <c r="G84" s="16">
        <f>IF($C84="","",1)</f>
        <v/>
      </c>
    </row>
    <row r="85">
      <c r="A85" s="16">
        <f>IF('VERI_A'!$A85="","",ROW()-ROW(tblVeriA[[#Headers]]))</f>
        <v/>
      </c>
      <c r="B85" s="23">
        <f>IF('VERI_A'!$A85="","",'VERI_A'!$A85)</f>
        <v/>
      </c>
      <c r="C85" s="16">
        <f>IF($B85="","",IF(OR('VERI_A'!$B85="",'VERI_A'!$B85=0),"TARIH_BOS",IF(LEN(TRIM('VERI_A'!$C85&amp;""))&lt;&gt;dbe_vknUzunluk,"VKN_UZUNLUK",IF('VERI_A'!$G85&lt;0,"TUTAR_NEGATIF",IF('VERI_A'!$I85="","DONEM_EKSIK",""))))</f>
        <v/>
      </c>
      <c r="D85" s="16">
        <f>IF($C85="","",IF($C85="TARIH_BOS","Belge tarihi zorunlu",IF($C85="VKN_UZUNLUK","VKN 10 hane olmalı",IF($C85="TUTAR_NEGATIF","Toplam negatif olamaz",IF($C85="DONEM_EKSIK","Dönem zorunlu","Elle incele"))))</f>
        <v/>
      </c>
      <c r="E85" s="16">
        <f>IF($C85="","",IF(OR($C85="TUTAR_NEGATIF",$C85="TARIH_BOS"),"YUKSEK","ORTA"))</f>
        <v/>
      </c>
      <c r="F85" s="16">
        <f>IF($C85="","",IF(OR($C85="TARIH_BOS",$C85="VKN_UZUNLUK",$C85="TUTAR_NEGATIF",$C85="DONEM_EKSIK"),$C85,"TANIMSIZ"))</f>
        <v/>
      </c>
      <c r="G85" s="16">
        <f>IF($C85="","",1)</f>
        <v/>
      </c>
    </row>
    <row r="86">
      <c r="A86" s="16">
        <f>IF('VERI_A'!$A86="","",ROW()-ROW(tblVeriA[[#Headers]]))</f>
        <v/>
      </c>
      <c r="B86" s="23">
        <f>IF('VERI_A'!$A86="","",'VERI_A'!$A86)</f>
        <v/>
      </c>
      <c r="C86" s="16">
        <f>IF($B86="","",IF(OR('VERI_A'!$B86="",'VERI_A'!$B86=0),"TARIH_BOS",IF(LEN(TRIM('VERI_A'!$C86&amp;""))&lt;&gt;dbe_vknUzunluk,"VKN_UZUNLUK",IF('VERI_A'!$G86&lt;0,"TUTAR_NEGATIF",IF('VERI_A'!$I86="","DONEM_EKSIK",""))))</f>
        <v/>
      </c>
      <c r="D86" s="16">
        <f>IF($C86="","",IF($C86="TARIH_BOS","Belge tarihi zorunlu",IF($C86="VKN_UZUNLUK","VKN 10 hane olmalı",IF($C86="TUTAR_NEGATIF","Toplam negatif olamaz",IF($C86="DONEM_EKSIK","Dönem zorunlu","Elle incele"))))</f>
        <v/>
      </c>
      <c r="E86" s="16">
        <f>IF($C86="","",IF(OR($C86="TUTAR_NEGATIF",$C86="TARIH_BOS"),"YUKSEK","ORTA"))</f>
        <v/>
      </c>
      <c r="F86" s="16">
        <f>IF($C86="","",IF(OR($C86="TARIH_BOS",$C86="VKN_UZUNLUK",$C86="TUTAR_NEGATIF",$C86="DONEM_EKSIK"),$C86,"TANIMSIZ"))</f>
        <v/>
      </c>
      <c r="G86" s="16">
        <f>IF($C86="","",1)</f>
        <v/>
      </c>
    </row>
    <row r="87">
      <c r="A87" s="16">
        <f>IF('VERI_A'!$A87="","",ROW()-ROW(tblVeriA[[#Headers]]))</f>
        <v/>
      </c>
      <c r="B87" s="23">
        <f>IF('VERI_A'!$A87="","",'VERI_A'!$A87)</f>
        <v/>
      </c>
      <c r="C87" s="16">
        <f>IF($B87="","",IF(OR('VERI_A'!$B87="",'VERI_A'!$B87=0),"TARIH_BOS",IF(LEN(TRIM('VERI_A'!$C87&amp;""))&lt;&gt;dbe_vknUzunluk,"VKN_UZUNLUK",IF('VERI_A'!$G87&lt;0,"TUTAR_NEGATIF",IF('VERI_A'!$I87="","DONEM_EKSIK",""))))</f>
        <v/>
      </c>
      <c r="D87" s="16">
        <f>IF($C87="","",IF($C87="TARIH_BOS","Belge tarihi zorunlu",IF($C87="VKN_UZUNLUK","VKN 10 hane olmalı",IF($C87="TUTAR_NEGATIF","Toplam negatif olamaz",IF($C87="DONEM_EKSIK","Dönem zorunlu","Elle incele"))))</f>
        <v/>
      </c>
      <c r="E87" s="16">
        <f>IF($C87="","",IF(OR($C87="TUTAR_NEGATIF",$C87="TARIH_BOS"),"YUKSEK","ORTA"))</f>
        <v/>
      </c>
      <c r="F87" s="16">
        <f>IF($C87="","",IF(OR($C87="TARIH_BOS",$C87="VKN_UZUNLUK",$C87="TUTAR_NEGATIF",$C87="DONEM_EKSIK"),$C87,"TANIMSIZ"))</f>
        <v/>
      </c>
      <c r="G87" s="16">
        <f>IF($C87="","",1)</f>
        <v/>
      </c>
    </row>
    <row r="88">
      <c r="A88" s="16">
        <f>IF('VERI_A'!$A88="","",ROW()-ROW(tblVeriA[[#Headers]]))</f>
        <v/>
      </c>
      <c r="B88" s="23">
        <f>IF('VERI_A'!$A88="","",'VERI_A'!$A88)</f>
        <v/>
      </c>
      <c r="C88" s="16">
        <f>IF($B88="","",IF(OR('VERI_A'!$B88="",'VERI_A'!$B88=0),"TARIH_BOS",IF(LEN(TRIM('VERI_A'!$C88&amp;""))&lt;&gt;dbe_vknUzunluk,"VKN_UZUNLUK",IF('VERI_A'!$G88&lt;0,"TUTAR_NEGATIF",IF('VERI_A'!$I88="","DONEM_EKSIK",""))))</f>
        <v/>
      </c>
      <c r="D88" s="16">
        <f>IF($C88="","",IF($C88="TARIH_BOS","Belge tarihi zorunlu",IF($C88="VKN_UZUNLUK","VKN 10 hane olmalı",IF($C88="TUTAR_NEGATIF","Toplam negatif olamaz",IF($C88="DONEM_EKSIK","Dönem zorunlu","Elle incele"))))</f>
        <v/>
      </c>
      <c r="E88" s="16">
        <f>IF($C88="","",IF(OR($C88="TUTAR_NEGATIF",$C88="TARIH_BOS"),"YUKSEK","ORTA"))</f>
        <v/>
      </c>
      <c r="F88" s="16">
        <f>IF($C88="","",IF(OR($C88="TARIH_BOS",$C88="VKN_UZUNLUK",$C88="TUTAR_NEGATIF",$C88="DONEM_EKSIK"),$C88,"TANIMSIZ"))</f>
        <v/>
      </c>
      <c r="G88" s="16">
        <f>IF($C88="","",1)</f>
        <v/>
      </c>
    </row>
    <row r="89">
      <c r="A89" s="16">
        <f>IF('VERI_A'!$A89="","",ROW()-ROW(tblVeriA[[#Headers]]))</f>
        <v/>
      </c>
      <c r="B89" s="23">
        <f>IF('VERI_A'!$A89="","",'VERI_A'!$A89)</f>
        <v/>
      </c>
      <c r="C89" s="16">
        <f>IF($B89="","",IF(OR('VERI_A'!$B89="",'VERI_A'!$B89=0),"TARIH_BOS",IF(LEN(TRIM('VERI_A'!$C89&amp;""))&lt;&gt;dbe_vknUzunluk,"VKN_UZUNLUK",IF('VERI_A'!$G89&lt;0,"TUTAR_NEGATIF",IF('VERI_A'!$I89="","DONEM_EKSIK",""))))</f>
        <v/>
      </c>
      <c r="D89" s="16">
        <f>IF($C89="","",IF($C89="TARIH_BOS","Belge tarihi zorunlu",IF($C89="VKN_UZUNLUK","VKN 10 hane olmalı",IF($C89="TUTAR_NEGATIF","Toplam negatif olamaz",IF($C89="DONEM_EKSIK","Dönem zorunlu","Elle incele"))))</f>
        <v/>
      </c>
      <c r="E89" s="16">
        <f>IF($C89="","",IF(OR($C89="TUTAR_NEGATIF",$C89="TARIH_BOS"),"YUKSEK","ORTA"))</f>
        <v/>
      </c>
      <c r="F89" s="16">
        <f>IF($C89="","",IF(OR($C89="TARIH_BOS",$C89="VKN_UZUNLUK",$C89="TUTAR_NEGATIF",$C89="DONEM_EKSIK"),$C89,"TANIMSIZ"))</f>
        <v/>
      </c>
      <c r="G89" s="16">
        <f>IF($C89="","",1)</f>
        <v/>
      </c>
    </row>
    <row r="90">
      <c r="A90" s="16">
        <f>IF('VERI_A'!$A90="","",ROW()-ROW(tblVeriA[[#Headers]]))</f>
        <v/>
      </c>
      <c r="B90" s="23">
        <f>IF('VERI_A'!$A90="","",'VERI_A'!$A90)</f>
        <v/>
      </c>
      <c r="C90" s="16">
        <f>IF($B90="","",IF(OR('VERI_A'!$B90="",'VERI_A'!$B90=0),"TARIH_BOS",IF(LEN(TRIM('VERI_A'!$C90&amp;""))&lt;&gt;dbe_vknUzunluk,"VKN_UZUNLUK",IF('VERI_A'!$G90&lt;0,"TUTAR_NEGATIF",IF('VERI_A'!$I90="","DONEM_EKSIK",""))))</f>
        <v/>
      </c>
      <c r="D90" s="16">
        <f>IF($C90="","",IF($C90="TARIH_BOS","Belge tarihi zorunlu",IF($C90="VKN_UZUNLUK","VKN 10 hane olmalı",IF($C90="TUTAR_NEGATIF","Toplam negatif olamaz",IF($C90="DONEM_EKSIK","Dönem zorunlu","Elle incele"))))</f>
        <v/>
      </c>
      <c r="E90" s="16">
        <f>IF($C90="","",IF(OR($C90="TUTAR_NEGATIF",$C90="TARIH_BOS"),"YUKSEK","ORTA"))</f>
        <v/>
      </c>
      <c r="F90" s="16">
        <f>IF($C90="","",IF(OR($C90="TARIH_BOS",$C90="VKN_UZUNLUK",$C90="TUTAR_NEGATIF",$C90="DONEM_EKSIK"),$C90,"TANIMSIZ"))</f>
        <v/>
      </c>
      <c r="G90" s="16">
        <f>IF($C90="","",1)</f>
        <v/>
      </c>
    </row>
    <row r="91">
      <c r="A91" s="16">
        <f>IF('VERI_A'!$A91="","",ROW()-ROW(tblVeriA[[#Headers]]))</f>
        <v/>
      </c>
      <c r="B91" s="23">
        <f>IF('VERI_A'!$A91="","",'VERI_A'!$A91)</f>
        <v/>
      </c>
      <c r="C91" s="16">
        <f>IF($B91="","",IF(OR('VERI_A'!$B91="",'VERI_A'!$B91=0),"TARIH_BOS",IF(LEN(TRIM('VERI_A'!$C91&amp;""))&lt;&gt;dbe_vknUzunluk,"VKN_UZUNLUK",IF('VERI_A'!$G91&lt;0,"TUTAR_NEGATIF",IF('VERI_A'!$I91="","DONEM_EKSIK",""))))</f>
        <v/>
      </c>
      <c r="D91" s="16">
        <f>IF($C91="","",IF($C91="TARIH_BOS","Belge tarihi zorunlu",IF($C91="VKN_UZUNLUK","VKN 10 hane olmalı",IF($C91="TUTAR_NEGATIF","Toplam negatif olamaz",IF($C91="DONEM_EKSIK","Dönem zorunlu","Elle incele"))))</f>
        <v/>
      </c>
      <c r="E91" s="16">
        <f>IF($C91="","",IF(OR($C91="TUTAR_NEGATIF",$C91="TARIH_BOS"),"YUKSEK","ORTA"))</f>
        <v/>
      </c>
      <c r="F91" s="16">
        <f>IF($C91="","",IF(OR($C91="TARIH_BOS",$C91="VKN_UZUNLUK",$C91="TUTAR_NEGATIF",$C91="DONEM_EKSIK"),$C91,"TANIMSIZ"))</f>
        <v/>
      </c>
      <c r="G91" s="16">
        <f>IF($C91="","",1)</f>
        <v/>
      </c>
    </row>
    <row r="92">
      <c r="A92" s="16">
        <f>IF('VERI_A'!$A92="","",ROW()-ROW(tblVeriA[[#Headers]]))</f>
        <v/>
      </c>
      <c r="B92" s="23">
        <f>IF('VERI_A'!$A92="","",'VERI_A'!$A92)</f>
        <v/>
      </c>
      <c r="C92" s="16">
        <f>IF($B92="","",IF(OR('VERI_A'!$B92="",'VERI_A'!$B92=0),"TARIH_BOS",IF(LEN(TRIM('VERI_A'!$C92&amp;""))&lt;&gt;dbe_vknUzunluk,"VKN_UZUNLUK",IF('VERI_A'!$G92&lt;0,"TUTAR_NEGATIF",IF('VERI_A'!$I92="","DONEM_EKSIK",""))))</f>
        <v/>
      </c>
      <c r="D92" s="16">
        <f>IF($C92="","",IF($C92="TARIH_BOS","Belge tarihi zorunlu",IF($C92="VKN_UZUNLUK","VKN 10 hane olmalı",IF($C92="TUTAR_NEGATIF","Toplam negatif olamaz",IF($C92="DONEM_EKSIK","Dönem zorunlu","Elle incele"))))</f>
        <v/>
      </c>
      <c r="E92" s="16">
        <f>IF($C92="","",IF(OR($C92="TUTAR_NEGATIF",$C92="TARIH_BOS"),"YUKSEK","ORTA"))</f>
        <v/>
      </c>
      <c r="F92" s="16">
        <f>IF($C92="","",IF(OR($C92="TARIH_BOS",$C92="VKN_UZUNLUK",$C92="TUTAR_NEGATIF",$C92="DONEM_EKSIK"),$C92,"TANIMSIZ"))</f>
        <v/>
      </c>
      <c r="G92" s="16">
        <f>IF($C92="","",1)</f>
        <v/>
      </c>
    </row>
    <row r="93">
      <c r="A93" s="16">
        <f>IF('VERI_A'!$A93="","",ROW()-ROW(tblVeriA[[#Headers]]))</f>
        <v/>
      </c>
      <c r="B93" s="23">
        <f>IF('VERI_A'!$A93="","",'VERI_A'!$A93)</f>
        <v/>
      </c>
      <c r="C93" s="16">
        <f>IF($B93="","",IF(OR('VERI_A'!$B93="",'VERI_A'!$B93=0),"TARIH_BOS",IF(LEN(TRIM('VERI_A'!$C93&amp;""))&lt;&gt;dbe_vknUzunluk,"VKN_UZUNLUK",IF('VERI_A'!$G93&lt;0,"TUTAR_NEGATIF",IF('VERI_A'!$I93="","DONEM_EKSIK",""))))</f>
        <v/>
      </c>
      <c r="D93" s="16">
        <f>IF($C93="","",IF($C93="TARIH_BOS","Belge tarihi zorunlu",IF($C93="VKN_UZUNLUK","VKN 10 hane olmalı",IF($C93="TUTAR_NEGATIF","Toplam negatif olamaz",IF($C93="DONEM_EKSIK","Dönem zorunlu","Elle incele"))))</f>
        <v/>
      </c>
      <c r="E93" s="16">
        <f>IF($C93="","",IF(OR($C93="TUTAR_NEGATIF",$C93="TARIH_BOS"),"YUKSEK","ORTA"))</f>
        <v/>
      </c>
      <c r="F93" s="16">
        <f>IF($C93="","",IF(OR($C93="TARIH_BOS",$C93="VKN_UZUNLUK",$C93="TUTAR_NEGATIF",$C93="DONEM_EKSIK"),$C93,"TANIMSIZ"))</f>
        <v/>
      </c>
      <c r="G93" s="16">
        <f>IF($C93="","",1)</f>
        <v/>
      </c>
    </row>
    <row r="94">
      <c r="A94" s="16">
        <f>IF('VERI_A'!$A94="","",ROW()-ROW(tblVeriA[[#Headers]]))</f>
        <v/>
      </c>
      <c r="B94" s="23">
        <f>IF('VERI_A'!$A94="","",'VERI_A'!$A94)</f>
        <v/>
      </c>
      <c r="C94" s="16">
        <f>IF($B94="","",IF(OR('VERI_A'!$B94="",'VERI_A'!$B94=0),"TARIH_BOS",IF(LEN(TRIM('VERI_A'!$C94&amp;""))&lt;&gt;dbe_vknUzunluk,"VKN_UZUNLUK",IF('VERI_A'!$G94&lt;0,"TUTAR_NEGATIF",IF('VERI_A'!$I94="","DONEM_EKSIK",""))))</f>
        <v/>
      </c>
      <c r="D94" s="16">
        <f>IF($C94="","",IF($C94="TARIH_BOS","Belge tarihi zorunlu",IF($C94="VKN_UZUNLUK","VKN 10 hane olmalı",IF($C94="TUTAR_NEGATIF","Toplam negatif olamaz",IF($C94="DONEM_EKSIK","Dönem zorunlu","Elle incele"))))</f>
        <v/>
      </c>
      <c r="E94" s="16">
        <f>IF($C94="","",IF(OR($C94="TUTAR_NEGATIF",$C94="TARIH_BOS"),"YUKSEK","ORTA"))</f>
        <v/>
      </c>
      <c r="F94" s="16">
        <f>IF($C94="","",IF(OR($C94="TARIH_BOS",$C94="VKN_UZUNLUK",$C94="TUTAR_NEGATIF",$C94="DONEM_EKSIK"),$C94,"TANIMSIZ"))</f>
        <v/>
      </c>
      <c r="G94" s="16">
        <f>IF($C94="","",1)</f>
        <v/>
      </c>
    </row>
    <row r="95">
      <c r="A95" s="16">
        <f>IF('VERI_A'!$A95="","",ROW()-ROW(tblVeriA[[#Headers]]))</f>
        <v/>
      </c>
      <c r="B95" s="23">
        <f>IF('VERI_A'!$A95="","",'VERI_A'!$A95)</f>
        <v/>
      </c>
      <c r="C95" s="16">
        <f>IF($B95="","",IF(OR('VERI_A'!$B95="",'VERI_A'!$B95=0),"TARIH_BOS",IF(LEN(TRIM('VERI_A'!$C95&amp;""))&lt;&gt;dbe_vknUzunluk,"VKN_UZUNLUK",IF('VERI_A'!$G95&lt;0,"TUTAR_NEGATIF",IF('VERI_A'!$I95="","DONEM_EKSIK",""))))</f>
        <v/>
      </c>
      <c r="D95" s="16">
        <f>IF($C95="","",IF($C95="TARIH_BOS","Belge tarihi zorunlu",IF($C95="VKN_UZUNLUK","VKN 10 hane olmalı",IF($C95="TUTAR_NEGATIF","Toplam negatif olamaz",IF($C95="DONEM_EKSIK","Dönem zorunlu","Elle incele"))))</f>
        <v/>
      </c>
      <c r="E95" s="16">
        <f>IF($C95="","",IF(OR($C95="TUTAR_NEGATIF",$C95="TARIH_BOS"),"YUKSEK","ORTA"))</f>
        <v/>
      </c>
      <c r="F95" s="16">
        <f>IF($C95="","",IF(OR($C95="TARIH_BOS",$C95="VKN_UZUNLUK",$C95="TUTAR_NEGATIF",$C95="DONEM_EKSIK"),$C95,"TANIMSIZ"))</f>
        <v/>
      </c>
      <c r="G95" s="16">
        <f>IF($C95="","",1)</f>
        <v/>
      </c>
    </row>
    <row r="96">
      <c r="A96" s="16">
        <f>IF('VERI_A'!$A96="","",ROW()-ROW(tblVeriA[[#Headers]]))</f>
        <v/>
      </c>
      <c r="B96" s="23">
        <f>IF('VERI_A'!$A96="","",'VERI_A'!$A96)</f>
        <v/>
      </c>
      <c r="C96" s="16">
        <f>IF($B96="","",IF(OR('VERI_A'!$B96="",'VERI_A'!$B96=0),"TARIH_BOS",IF(LEN(TRIM('VERI_A'!$C96&amp;""))&lt;&gt;dbe_vknUzunluk,"VKN_UZUNLUK",IF('VERI_A'!$G96&lt;0,"TUTAR_NEGATIF",IF('VERI_A'!$I96="","DONEM_EKSIK",""))))</f>
        <v/>
      </c>
      <c r="D96" s="16">
        <f>IF($C96="","",IF($C96="TARIH_BOS","Belge tarihi zorunlu",IF($C96="VKN_UZUNLUK","VKN 10 hane olmalı",IF($C96="TUTAR_NEGATIF","Toplam negatif olamaz",IF($C96="DONEM_EKSIK","Dönem zorunlu","Elle incele"))))</f>
        <v/>
      </c>
      <c r="E96" s="16">
        <f>IF($C96="","",IF(OR($C96="TUTAR_NEGATIF",$C96="TARIH_BOS"),"YUKSEK","ORTA"))</f>
        <v/>
      </c>
      <c r="F96" s="16">
        <f>IF($C96="","",IF(OR($C96="TARIH_BOS",$C96="VKN_UZUNLUK",$C96="TUTAR_NEGATIF",$C96="DONEM_EKSIK"),$C96,"TANIMSIZ"))</f>
        <v/>
      </c>
      <c r="G96" s="16">
        <f>IF($C96="","",1)</f>
        <v/>
      </c>
    </row>
    <row r="97">
      <c r="A97" s="16">
        <f>IF('VERI_A'!$A97="","",ROW()-ROW(tblVeriA[[#Headers]]))</f>
        <v/>
      </c>
      <c r="B97" s="23">
        <f>IF('VERI_A'!$A97="","",'VERI_A'!$A97)</f>
        <v/>
      </c>
      <c r="C97" s="16">
        <f>IF($B97="","",IF(OR('VERI_A'!$B97="",'VERI_A'!$B97=0),"TARIH_BOS",IF(LEN(TRIM('VERI_A'!$C97&amp;""))&lt;&gt;dbe_vknUzunluk,"VKN_UZUNLUK",IF('VERI_A'!$G97&lt;0,"TUTAR_NEGATIF",IF('VERI_A'!$I97="","DONEM_EKSIK",""))))</f>
        <v/>
      </c>
      <c r="D97" s="16">
        <f>IF($C97="","",IF($C97="TARIH_BOS","Belge tarihi zorunlu",IF($C97="VKN_UZUNLUK","VKN 10 hane olmalı",IF($C97="TUTAR_NEGATIF","Toplam negatif olamaz",IF($C97="DONEM_EKSIK","Dönem zorunlu","Elle incele"))))</f>
        <v/>
      </c>
      <c r="E97" s="16">
        <f>IF($C97="","",IF(OR($C97="TUTAR_NEGATIF",$C97="TARIH_BOS"),"YUKSEK","ORTA"))</f>
        <v/>
      </c>
      <c r="F97" s="16">
        <f>IF($C97="","",IF(OR($C97="TARIH_BOS",$C97="VKN_UZUNLUK",$C97="TUTAR_NEGATIF",$C97="DONEM_EKSIK"),$C97,"TANIMSIZ"))</f>
        <v/>
      </c>
      <c r="G97" s="16">
        <f>IF($C97="","",1)</f>
        <v/>
      </c>
    </row>
    <row r="98">
      <c r="A98" s="16">
        <f>IF('VERI_A'!$A98="","",ROW()-ROW(tblVeriA[[#Headers]]))</f>
        <v/>
      </c>
      <c r="B98" s="23">
        <f>IF('VERI_A'!$A98="","",'VERI_A'!$A98)</f>
        <v/>
      </c>
      <c r="C98" s="16">
        <f>IF($B98="","",IF(OR('VERI_A'!$B98="",'VERI_A'!$B98=0),"TARIH_BOS",IF(LEN(TRIM('VERI_A'!$C98&amp;""))&lt;&gt;dbe_vknUzunluk,"VKN_UZUNLUK",IF('VERI_A'!$G98&lt;0,"TUTAR_NEGATIF",IF('VERI_A'!$I98="","DONEM_EKSIK",""))))</f>
        <v/>
      </c>
      <c r="D98" s="16">
        <f>IF($C98="","",IF($C98="TARIH_BOS","Belge tarihi zorunlu",IF($C98="VKN_UZUNLUK","VKN 10 hane olmalı",IF($C98="TUTAR_NEGATIF","Toplam negatif olamaz",IF($C98="DONEM_EKSIK","Dönem zorunlu","Elle incele"))))</f>
        <v/>
      </c>
      <c r="E98" s="16">
        <f>IF($C98="","",IF(OR($C98="TUTAR_NEGATIF",$C98="TARIH_BOS"),"YUKSEK","ORTA"))</f>
        <v/>
      </c>
      <c r="F98" s="16">
        <f>IF($C98="","",IF(OR($C98="TARIH_BOS",$C98="VKN_UZUNLUK",$C98="TUTAR_NEGATIF",$C98="DONEM_EKSIK"),$C98,"TANIMSIZ"))</f>
        <v/>
      </c>
      <c r="G98" s="16">
        <f>IF($C98="","",1)</f>
        <v/>
      </c>
    </row>
    <row r="99">
      <c r="A99" s="16">
        <f>IF('VERI_A'!$A99="","",ROW()-ROW(tblVeriA[[#Headers]]))</f>
        <v/>
      </c>
      <c r="B99" s="23">
        <f>IF('VERI_A'!$A99="","",'VERI_A'!$A99)</f>
        <v/>
      </c>
      <c r="C99" s="16">
        <f>IF($B99="","",IF(OR('VERI_A'!$B99="",'VERI_A'!$B99=0),"TARIH_BOS",IF(LEN(TRIM('VERI_A'!$C99&amp;""))&lt;&gt;dbe_vknUzunluk,"VKN_UZUNLUK",IF('VERI_A'!$G99&lt;0,"TUTAR_NEGATIF",IF('VERI_A'!$I99="","DONEM_EKSIK",""))))</f>
        <v/>
      </c>
      <c r="D99" s="16">
        <f>IF($C99="","",IF($C99="TARIH_BOS","Belge tarihi zorunlu",IF($C99="VKN_UZUNLUK","VKN 10 hane olmalı",IF($C99="TUTAR_NEGATIF","Toplam negatif olamaz",IF($C99="DONEM_EKSIK","Dönem zorunlu","Elle incele"))))</f>
        <v/>
      </c>
      <c r="E99" s="16">
        <f>IF($C99="","",IF(OR($C99="TUTAR_NEGATIF",$C99="TARIH_BOS"),"YUKSEK","ORTA"))</f>
        <v/>
      </c>
      <c r="F99" s="16">
        <f>IF($C99="","",IF(OR($C99="TARIH_BOS",$C99="VKN_UZUNLUK",$C99="TUTAR_NEGATIF",$C99="DONEM_EKSIK"),$C99,"TANIMSIZ"))</f>
        <v/>
      </c>
      <c r="G99" s="16">
        <f>IF($C99="","",1)</f>
        <v/>
      </c>
    </row>
    <row r="100">
      <c r="A100" s="16">
        <f>IF('VERI_A'!$A100="","",ROW()-ROW(tblVeriA[[#Headers]]))</f>
        <v/>
      </c>
      <c r="B100" s="23">
        <f>IF('VERI_A'!$A100="","",'VERI_A'!$A100)</f>
        <v/>
      </c>
      <c r="C100" s="16">
        <f>IF($B100="","",IF(OR('VERI_A'!$B100="",'VERI_A'!$B100=0),"TARIH_BOS",IF(LEN(TRIM('VERI_A'!$C100&amp;""))&lt;&gt;dbe_vknUzunluk,"VKN_UZUNLUK",IF('VERI_A'!$G100&lt;0,"TUTAR_NEGATIF",IF('VERI_A'!$I100="","DONEM_EKSIK",""))))</f>
        <v/>
      </c>
      <c r="D100" s="16">
        <f>IF($C100="","",IF($C100="TARIH_BOS","Belge tarihi zorunlu",IF($C100="VKN_UZUNLUK","VKN 10 hane olmalı",IF($C100="TUTAR_NEGATIF","Toplam negatif olamaz",IF($C100="DONEM_EKSIK","Dönem zorunlu","Elle incele"))))</f>
        <v/>
      </c>
      <c r="E100" s="16">
        <f>IF($C100="","",IF(OR($C100="TUTAR_NEGATIF",$C100="TARIH_BOS"),"YUKSEK","ORTA"))</f>
        <v/>
      </c>
      <c r="F100" s="16">
        <f>IF($C100="","",IF(OR($C100="TARIH_BOS",$C100="VKN_UZUNLUK",$C100="TUTAR_NEGATIF",$C100="DONEM_EKSIK"),$C100,"TANIMSIZ"))</f>
        <v/>
      </c>
      <c r="G100" s="16">
        <f>IF($C100="","",1)</f>
        <v/>
      </c>
    </row>
    <row r="101">
      <c r="A101" s="16">
        <f>IF('VERI_A'!$A101="","",ROW()-ROW(tblVeriA[[#Headers]]))</f>
        <v/>
      </c>
      <c r="B101" s="23">
        <f>IF('VERI_A'!$A101="","",'VERI_A'!$A101)</f>
        <v/>
      </c>
      <c r="C101" s="16">
        <f>IF($B101="","",IF(OR('VERI_A'!$B101="",'VERI_A'!$B101=0),"TARIH_BOS",IF(LEN(TRIM('VERI_A'!$C101&amp;""))&lt;&gt;dbe_vknUzunluk,"VKN_UZUNLUK",IF('VERI_A'!$G101&lt;0,"TUTAR_NEGATIF",IF('VERI_A'!$I101="","DONEM_EKSIK",""))))</f>
        <v/>
      </c>
      <c r="D101" s="16">
        <f>IF($C101="","",IF($C101="TARIH_BOS","Belge tarihi zorunlu",IF($C101="VKN_UZUNLUK","VKN 10 hane olmalı",IF($C101="TUTAR_NEGATIF","Toplam negatif olamaz",IF($C101="DONEM_EKSIK","Dönem zorunlu","Elle incele"))))</f>
        <v/>
      </c>
      <c r="E101" s="16">
        <f>IF($C101="","",IF(OR($C101="TUTAR_NEGATIF",$C101="TARIH_BOS"),"YUKSEK","ORTA"))</f>
        <v/>
      </c>
      <c r="F101" s="16">
        <f>IF($C101="","",IF(OR($C101="TARIH_BOS",$C101="VKN_UZUNLUK",$C101="TUTAR_NEGATIF",$C101="DONEM_EKSIK"),$C101,"TANIMSIZ"))</f>
        <v/>
      </c>
      <c r="G101" s="16">
        <f>IF($C101="","",1)</f>
        <v/>
      </c>
    </row>
    <row r="102">
      <c r="A102" s="16">
        <f>IF('VERI_A'!$A102="","",ROW()-ROW(tblVeriA[[#Headers]]))</f>
        <v/>
      </c>
      <c r="B102" s="23">
        <f>IF('VERI_A'!$A102="","",'VERI_A'!$A102)</f>
        <v/>
      </c>
      <c r="C102" s="16">
        <f>IF($B102="","",IF(OR('VERI_A'!$B102="",'VERI_A'!$B102=0),"TARIH_BOS",IF(LEN(TRIM('VERI_A'!$C102&amp;""))&lt;&gt;dbe_vknUzunluk,"VKN_UZUNLUK",IF('VERI_A'!$G102&lt;0,"TUTAR_NEGATIF",IF('VERI_A'!$I102="","DONEM_EKSIK",""))))</f>
        <v/>
      </c>
      <c r="D102" s="16">
        <f>IF($C102="","",IF($C102="TARIH_BOS","Belge tarihi zorunlu",IF($C102="VKN_UZUNLUK","VKN 10 hane olmalı",IF($C102="TUTAR_NEGATIF","Toplam negatif olamaz",IF($C102="DONEM_EKSIK","Dönem zorunlu","Elle incele"))))</f>
        <v/>
      </c>
      <c r="E102" s="16">
        <f>IF($C102="","",IF(OR($C102="TUTAR_NEGATIF",$C102="TARIH_BOS"),"YUKSEK","ORTA"))</f>
        <v/>
      </c>
      <c r="F102" s="16">
        <f>IF($C102="","",IF(OR($C102="TARIH_BOS",$C102="VKN_UZUNLUK",$C102="TUTAR_NEGATIF",$C102="DONEM_EKSIK"),$C102,"TANIMSIZ"))</f>
        <v/>
      </c>
      <c r="G102" s="16">
        <f>IF($C102="","",1)</f>
        <v/>
      </c>
    </row>
    <row r="103">
      <c r="A103" s="16">
        <f>IF('VERI_A'!$A103="","",ROW()-ROW(tblVeriA[[#Headers]]))</f>
        <v/>
      </c>
      <c r="B103" s="23">
        <f>IF('VERI_A'!$A103="","",'VERI_A'!$A103)</f>
        <v/>
      </c>
      <c r="C103" s="16">
        <f>IF($B103="","",IF(OR('VERI_A'!$B103="",'VERI_A'!$B103=0),"TARIH_BOS",IF(LEN(TRIM('VERI_A'!$C103&amp;""))&lt;&gt;dbe_vknUzunluk,"VKN_UZUNLUK",IF('VERI_A'!$G103&lt;0,"TUTAR_NEGATIF",IF('VERI_A'!$I103="","DONEM_EKSIK",""))))</f>
        <v/>
      </c>
      <c r="D103" s="16">
        <f>IF($C103="","",IF($C103="TARIH_BOS","Belge tarihi zorunlu",IF($C103="VKN_UZUNLUK","VKN 10 hane olmalı",IF($C103="TUTAR_NEGATIF","Toplam negatif olamaz",IF($C103="DONEM_EKSIK","Dönem zorunlu","Elle incele"))))</f>
        <v/>
      </c>
      <c r="E103" s="16">
        <f>IF($C103="","",IF(OR($C103="TUTAR_NEGATIF",$C103="TARIH_BOS"),"YUKSEK","ORTA"))</f>
        <v/>
      </c>
      <c r="F103" s="16">
        <f>IF($C103="","",IF(OR($C103="TARIH_BOS",$C103="VKN_UZUNLUK",$C103="TUTAR_NEGATIF",$C103="DONEM_EKSIK"),$C103,"TANIMSIZ"))</f>
        <v/>
      </c>
      <c r="G103" s="16">
        <f>IF($C103="","",1)</f>
        <v/>
      </c>
    </row>
    <row r="104">
      <c r="A104" s="16">
        <f>IF('VERI_A'!$A104="","",ROW()-ROW(tblVeriA[[#Headers]]))</f>
        <v/>
      </c>
      <c r="B104" s="23">
        <f>IF('VERI_A'!$A104="","",'VERI_A'!$A104)</f>
        <v/>
      </c>
      <c r="C104" s="16">
        <f>IF($B104="","",IF(OR('VERI_A'!$B104="",'VERI_A'!$B104=0),"TARIH_BOS",IF(LEN(TRIM('VERI_A'!$C104&amp;""))&lt;&gt;dbe_vknUzunluk,"VKN_UZUNLUK",IF('VERI_A'!$G104&lt;0,"TUTAR_NEGATIF",IF('VERI_A'!$I104="","DONEM_EKSIK",""))))</f>
        <v/>
      </c>
      <c r="D104" s="16">
        <f>IF($C104="","",IF($C104="TARIH_BOS","Belge tarihi zorunlu",IF($C104="VKN_UZUNLUK","VKN 10 hane olmalı",IF($C104="TUTAR_NEGATIF","Toplam negatif olamaz",IF($C104="DONEM_EKSIK","Dönem zorunlu","Elle incele"))))</f>
        <v/>
      </c>
      <c r="E104" s="16">
        <f>IF($C104="","",IF(OR($C104="TUTAR_NEGATIF",$C104="TARIH_BOS"),"YUKSEK","ORTA"))</f>
        <v/>
      </c>
      <c r="F104" s="16">
        <f>IF($C104="","",IF(OR($C104="TARIH_BOS",$C104="VKN_UZUNLUK",$C104="TUTAR_NEGATIF",$C104="DONEM_EKSIK"),$C104,"TANIMSIZ"))</f>
        <v/>
      </c>
      <c r="G104" s="16">
        <f>IF($C104="","",1)</f>
        <v/>
      </c>
    </row>
    <row r="105">
      <c r="A105" s="16">
        <f>IF('VERI_A'!$A105="","",ROW()-ROW(tblVeriA[[#Headers]]))</f>
        <v/>
      </c>
      <c r="B105" s="23">
        <f>IF('VERI_A'!$A105="","",'VERI_A'!$A105)</f>
        <v/>
      </c>
      <c r="C105" s="16">
        <f>IF($B105="","",IF(OR('VERI_A'!$B105="",'VERI_A'!$B105=0),"TARIH_BOS",IF(LEN(TRIM('VERI_A'!$C105&amp;""))&lt;&gt;dbe_vknUzunluk,"VKN_UZUNLUK",IF('VERI_A'!$G105&lt;0,"TUTAR_NEGATIF",IF('VERI_A'!$I105="","DONEM_EKSIK",""))))</f>
        <v/>
      </c>
      <c r="D105" s="16">
        <f>IF($C105="","",IF($C105="TARIH_BOS","Belge tarihi zorunlu",IF($C105="VKN_UZUNLUK","VKN 10 hane olmalı",IF($C105="TUTAR_NEGATIF","Toplam negatif olamaz",IF($C105="DONEM_EKSIK","Dönem zorunlu","Elle incele"))))</f>
        <v/>
      </c>
      <c r="E105" s="16">
        <f>IF($C105="","",IF(OR($C105="TUTAR_NEGATIF",$C105="TARIH_BOS"),"YUKSEK","ORTA"))</f>
        <v/>
      </c>
      <c r="F105" s="16">
        <f>IF($C105="","",IF(OR($C105="TARIH_BOS",$C105="VKN_UZUNLUK",$C105="TUTAR_NEGATIF",$C105="DONEM_EKSIK"),$C105,"TANIMSIZ"))</f>
        <v/>
      </c>
      <c r="G105" s="16">
        <f>IF($C105="","",1)</f>
        <v/>
      </c>
    </row>
    <row r="106">
      <c r="A106" s="16">
        <f>IF('VERI_A'!$A106="","",ROW()-ROW(tblVeriA[[#Headers]]))</f>
        <v/>
      </c>
      <c r="B106" s="23">
        <f>IF('VERI_A'!$A106="","",'VERI_A'!$A106)</f>
        <v/>
      </c>
      <c r="C106" s="16">
        <f>IF($B106="","",IF(OR('VERI_A'!$B106="",'VERI_A'!$B106=0),"TARIH_BOS",IF(LEN(TRIM('VERI_A'!$C106&amp;""))&lt;&gt;dbe_vknUzunluk,"VKN_UZUNLUK",IF('VERI_A'!$G106&lt;0,"TUTAR_NEGATIF",IF('VERI_A'!$I106="","DONEM_EKSIK",""))))</f>
        <v/>
      </c>
      <c r="D106" s="16">
        <f>IF($C106="","",IF($C106="TARIH_BOS","Belge tarihi zorunlu",IF($C106="VKN_UZUNLUK","VKN 10 hane olmalı",IF($C106="TUTAR_NEGATIF","Toplam negatif olamaz",IF($C106="DONEM_EKSIK","Dönem zorunlu","Elle incele"))))</f>
        <v/>
      </c>
      <c r="E106" s="16">
        <f>IF($C106="","",IF(OR($C106="TUTAR_NEGATIF",$C106="TARIH_BOS"),"YUKSEK","ORTA"))</f>
        <v/>
      </c>
      <c r="F106" s="16">
        <f>IF($C106="","",IF(OR($C106="TARIH_BOS",$C106="VKN_UZUNLUK",$C106="TUTAR_NEGATIF",$C106="DONEM_EKSIK"),$C106,"TANIMSIZ"))</f>
        <v/>
      </c>
      <c r="G106" s="16">
        <f>IF($C106="","",1)</f>
        <v/>
      </c>
    </row>
    <row r="107">
      <c r="A107" s="16">
        <f>IF('VERI_A'!$A107="","",ROW()-ROW(tblVeriA[[#Headers]]))</f>
        <v/>
      </c>
      <c r="B107" s="23">
        <f>IF('VERI_A'!$A107="","",'VERI_A'!$A107)</f>
        <v/>
      </c>
      <c r="C107" s="16">
        <f>IF($B107="","",IF(OR('VERI_A'!$B107="",'VERI_A'!$B107=0),"TARIH_BOS",IF(LEN(TRIM('VERI_A'!$C107&amp;""))&lt;&gt;dbe_vknUzunluk,"VKN_UZUNLUK",IF('VERI_A'!$G107&lt;0,"TUTAR_NEGATIF",IF('VERI_A'!$I107="","DONEM_EKSIK",""))))</f>
        <v/>
      </c>
      <c r="D107" s="16">
        <f>IF($C107="","",IF($C107="TARIH_BOS","Belge tarihi zorunlu",IF($C107="VKN_UZUNLUK","VKN 10 hane olmalı",IF($C107="TUTAR_NEGATIF","Toplam negatif olamaz",IF($C107="DONEM_EKSIK","Dönem zorunlu","Elle incele"))))</f>
        <v/>
      </c>
      <c r="E107" s="16">
        <f>IF($C107="","",IF(OR($C107="TUTAR_NEGATIF",$C107="TARIH_BOS"),"YUKSEK","ORTA"))</f>
        <v/>
      </c>
      <c r="F107" s="16">
        <f>IF($C107="","",IF(OR($C107="TARIH_BOS",$C107="VKN_UZUNLUK",$C107="TUTAR_NEGATIF",$C107="DONEM_EKSIK"),$C107,"TANIMSIZ"))</f>
        <v/>
      </c>
      <c r="G107" s="16">
        <f>IF($C107="","",1)</f>
        <v/>
      </c>
    </row>
    <row r="108">
      <c r="A108" s="16">
        <f>IF('VERI_A'!$A108="","",ROW()-ROW(tblVeriA[[#Headers]]))</f>
        <v/>
      </c>
      <c r="B108" s="23">
        <f>IF('VERI_A'!$A108="","",'VERI_A'!$A108)</f>
        <v/>
      </c>
      <c r="C108" s="16">
        <f>IF($B108="","",IF(OR('VERI_A'!$B108="",'VERI_A'!$B108=0),"TARIH_BOS",IF(LEN(TRIM('VERI_A'!$C108&amp;""))&lt;&gt;dbe_vknUzunluk,"VKN_UZUNLUK",IF('VERI_A'!$G108&lt;0,"TUTAR_NEGATIF",IF('VERI_A'!$I108="","DONEM_EKSIK",""))))</f>
        <v/>
      </c>
      <c r="D108" s="16">
        <f>IF($C108="","",IF($C108="TARIH_BOS","Belge tarihi zorunlu",IF($C108="VKN_UZUNLUK","VKN 10 hane olmalı",IF($C108="TUTAR_NEGATIF","Toplam negatif olamaz",IF($C108="DONEM_EKSIK","Dönem zorunlu","Elle incele"))))</f>
        <v/>
      </c>
      <c r="E108" s="16">
        <f>IF($C108="","",IF(OR($C108="TUTAR_NEGATIF",$C108="TARIH_BOS"),"YUKSEK","ORTA"))</f>
        <v/>
      </c>
      <c r="F108" s="16">
        <f>IF($C108="","",IF(OR($C108="TARIH_BOS",$C108="VKN_UZUNLUK",$C108="TUTAR_NEGATIF",$C108="DONEM_EKSIK"),$C108,"TANIMSIZ"))</f>
        <v/>
      </c>
      <c r="G108" s="16">
        <f>IF($C108="","",1)</f>
        <v/>
      </c>
    </row>
    <row r="109">
      <c r="A109" s="16">
        <f>IF('VERI_A'!$A109="","",ROW()-ROW(tblVeriA[[#Headers]]))</f>
        <v/>
      </c>
      <c r="B109" s="23">
        <f>IF('VERI_A'!$A109="","",'VERI_A'!$A109)</f>
        <v/>
      </c>
      <c r="C109" s="16">
        <f>IF($B109="","",IF(OR('VERI_A'!$B109="",'VERI_A'!$B109=0),"TARIH_BOS",IF(LEN(TRIM('VERI_A'!$C109&amp;""))&lt;&gt;dbe_vknUzunluk,"VKN_UZUNLUK",IF('VERI_A'!$G109&lt;0,"TUTAR_NEGATIF",IF('VERI_A'!$I109="","DONEM_EKSIK",""))))</f>
        <v/>
      </c>
      <c r="D109" s="16">
        <f>IF($C109="","",IF($C109="TARIH_BOS","Belge tarihi zorunlu",IF($C109="VKN_UZUNLUK","VKN 10 hane olmalı",IF($C109="TUTAR_NEGATIF","Toplam negatif olamaz",IF($C109="DONEM_EKSIK","Dönem zorunlu","Elle incele"))))</f>
        <v/>
      </c>
      <c r="E109" s="16">
        <f>IF($C109="","",IF(OR($C109="TUTAR_NEGATIF",$C109="TARIH_BOS"),"YUKSEK","ORTA"))</f>
        <v/>
      </c>
      <c r="F109" s="16">
        <f>IF($C109="","",IF(OR($C109="TARIH_BOS",$C109="VKN_UZUNLUK",$C109="TUTAR_NEGATIF",$C109="DONEM_EKSIK"),$C109,"TANIMSIZ"))</f>
        <v/>
      </c>
      <c r="G109" s="16">
        <f>IF($C109="","",1)</f>
        <v/>
      </c>
    </row>
    <row r="110">
      <c r="A110" s="16">
        <f>IF('VERI_A'!$A110="","",ROW()-ROW(tblVeriA[[#Headers]]))</f>
        <v/>
      </c>
      <c r="B110" s="23">
        <f>IF('VERI_A'!$A110="","",'VERI_A'!$A110)</f>
        <v/>
      </c>
      <c r="C110" s="16">
        <f>IF($B110="","",IF(OR('VERI_A'!$B110="",'VERI_A'!$B110=0),"TARIH_BOS",IF(LEN(TRIM('VERI_A'!$C110&amp;""))&lt;&gt;dbe_vknUzunluk,"VKN_UZUNLUK",IF('VERI_A'!$G110&lt;0,"TUTAR_NEGATIF",IF('VERI_A'!$I110="","DONEM_EKSIK",""))))</f>
        <v/>
      </c>
      <c r="D110" s="16">
        <f>IF($C110="","",IF($C110="TARIH_BOS","Belge tarihi zorunlu",IF($C110="VKN_UZUNLUK","VKN 10 hane olmalı",IF($C110="TUTAR_NEGATIF","Toplam negatif olamaz",IF($C110="DONEM_EKSIK","Dönem zorunlu","Elle incele"))))</f>
        <v/>
      </c>
      <c r="E110" s="16">
        <f>IF($C110="","",IF(OR($C110="TUTAR_NEGATIF",$C110="TARIH_BOS"),"YUKSEK","ORTA"))</f>
        <v/>
      </c>
      <c r="F110" s="16">
        <f>IF($C110="","",IF(OR($C110="TARIH_BOS",$C110="VKN_UZUNLUK",$C110="TUTAR_NEGATIF",$C110="DONEM_EKSIK"),$C110,"TANIMSIZ"))</f>
        <v/>
      </c>
      <c r="G110" s="16">
        <f>IF($C110="","",1)</f>
        <v/>
      </c>
    </row>
    <row r="111">
      <c r="A111" s="16">
        <f>IF('VERI_A'!$A111="","",ROW()-ROW(tblVeriA[[#Headers]]))</f>
        <v/>
      </c>
      <c r="B111" s="23">
        <f>IF('VERI_A'!$A111="","",'VERI_A'!$A111)</f>
        <v/>
      </c>
      <c r="C111" s="16">
        <f>IF($B111="","",IF(OR('VERI_A'!$B111="",'VERI_A'!$B111=0),"TARIH_BOS",IF(LEN(TRIM('VERI_A'!$C111&amp;""))&lt;&gt;dbe_vknUzunluk,"VKN_UZUNLUK",IF('VERI_A'!$G111&lt;0,"TUTAR_NEGATIF",IF('VERI_A'!$I111="","DONEM_EKSIK",""))))</f>
        <v/>
      </c>
      <c r="D111" s="16">
        <f>IF($C111="","",IF($C111="TARIH_BOS","Belge tarihi zorunlu",IF($C111="VKN_UZUNLUK","VKN 10 hane olmalı",IF($C111="TUTAR_NEGATIF","Toplam negatif olamaz",IF($C111="DONEM_EKSIK","Dönem zorunlu","Elle incele"))))</f>
        <v/>
      </c>
      <c r="E111" s="16">
        <f>IF($C111="","",IF(OR($C111="TUTAR_NEGATIF",$C111="TARIH_BOS"),"YUKSEK","ORTA"))</f>
        <v/>
      </c>
      <c r="F111" s="16">
        <f>IF($C111="","",IF(OR($C111="TARIH_BOS",$C111="VKN_UZUNLUK",$C111="TUTAR_NEGATIF",$C111="DONEM_EKSIK"),$C111,"TANIMSIZ"))</f>
        <v/>
      </c>
      <c r="G111" s="16">
        <f>IF($C111="","",1)</f>
        <v/>
      </c>
    </row>
    <row r="112">
      <c r="A112" s="16">
        <f>IF('VERI_A'!$A112="","",ROW()-ROW(tblVeriA[[#Headers]]))</f>
        <v/>
      </c>
      <c r="B112" s="23">
        <f>IF('VERI_A'!$A112="","",'VERI_A'!$A112)</f>
        <v/>
      </c>
      <c r="C112" s="16">
        <f>IF($B112="","",IF(OR('VERI_A'!$B112="",'VERI_A'!$B112=0),"TARIH_BOS",IF(LEN(TRIM('VERI_A'!$C112&amp;""))&lt;&gt;dbe_vknUzunluk,"VKN_UZUNLUK",IF('VERI_A'!$G112&lt;0,"TUTAR_NEGATIF",IF('VERI_A'!$I112="","DONEM_EKSIK",""))))</f>
        <v/>
      </c>
      <c r="D112" s="16">
        <f>IF($C112="","",IF($C112="TARIH_BOS","Belge tarihi zorunlu",IF($C112="VKN_UZUNLUK","VKN 10 hane olmalı",IF($C112="TUTAR_NEGATIF","Toplam negatif olamaz",IF($C112="DONEM_EKSIK","Dönem zorunlu","Elle incele"))))</f>
        <v/>
      </c>
      <c r="E112" s="16">
        <f>IF($C112="","",IF(OR($C112="TUTAR_NEGATIF",$C112="TARIH_BOS"),"YUKSEK","ORTA"))</f>
        <v/>
      </c>
      <c r="F112" s="16">
        <f>IF($C112="","",IF(OR($C112="TARIH_BOS",$C112="VKN_UZUNLUK",$C112="TUTAR_NEGATIF",$C112="DONEM_EKSIK"),$C112,"TANIMSIZ"))</f>
        <v/>
      </c>
      <c r="G112" s="16">
        <f>IF($C112="","",1)</f>
        <v/>
      </c>
    </row>
    <row r="113">
      <c r="A113" s="16">
        <f>IF('VERI_A'!$A113="","",ROW()-ROW(tblVeriA[[#Headers]]))</f>
        <v/>
      </c>
      <c r="B113" s="23">
        <f>IF('VERI_A'!$A113="","",'VERI_A'!$A113)</f>
        <v/>
      </c>
      <c r="C113" s="16">
        <f>IF($B113="","",IF(OR('VERI_A'!$B113="",'VERI_A'!$B113=0),"TARIH_BOS",IF(LEN(TRIM('VERI_A'!$C113&amp;""))&lt;&gt;dbe_vknUzunluk,"VKN_UZUNLUK",IF('VERI_A'!$G113&lt;0,"TUTAR_NEGATIF",IF('VERI_A'!$I113="","DONEM_EKSIK",""))))</f>
        <v/>
      </c>
      <c r="D113" s="16">
        <f>IF($C113="","",IF($C113="TARIH_BOS","Belge tarihi zorunlu",IF($C113="VKN_UZUNLUK","VKN 10 hane olmalı",IF($C113="TUTAR_NEGATIF","Toplam negatif olamaz",IF($C113="DONEM_EKSIK","Dönem zorunlu","Elle incele"))))</f>
        <v/>
      </c>
      <c r="E113" s="16">
        <f>IF($C113="","",IF(OR($C113="TUTAR_NEGATIF",$C113="TARIH_BOS"),"YUKSEK","ORTA"))</f>
        <v/>
      </c>
      <c r="F113" s="16">
        <f>IF($C113="","",IF(OR($C113="TARIH_BOS",$C113="VKN_UZUNLUK",$C113="TUTAR_NEGATIF",$C113="DONEM_EKSIK"),$C113,"TANIMSIZ"))</f>
        <v/>
      </c>
      <c r="G113" s="16">
        <f>IF($C113="","",1)</f>
        <v/>
      </c>
    </row>
    <row r="114">
      <c r="A114" s="16">
        <f>IF('VERI_A'!$A114="","",ROW()-ROW(tblVeriA[[#Headers]]))</f>
        <v/>
      </c>
      <c r="B114" s="23">
        <f>IF('VERI_A'!$A114="","",'VERI_A'!$A114)</f>
        <v/>
      </c>
      <c r="C114" s="16">
        <f>IF($B114="","",IF(OR('VERI_A'!$B114="",'VERI_A'!$B114=0),"TARIH_BOS",IF(LEN(TRIM('VERI_A'!$C114&amp;""))&lt;&gt;dbe_vknUzunluk,"VKN_UZUNLUK",IF('VERI_A'!$G114&lt;0,"TUTAR_NEGATIF",IF('VERI_A'!$I114="","DONEM_EKSIK",""))))</f>
        <v/>
      </c>
      <c r="D114" s="16">
        <f>IF($C114="","",IF($C114="TARIH_BOS","Belge tarihi zorunlu",IF($C114="VKN_UZUNLUK","VKN 10 hane olmalı",IF($C114="TUTAR_NEGATIF","Toplam negatif olamaz",IF($C114="DONEM_EKSIK","Dönem zorunlu","Elle incele"))))</f>
        <v/>
      </c>
      <c r="E114" s="16">
        <f>IF($C114="","",IF(OR($C114="TUTAR_NEGATIF",$C114="TARIH_BOS"),"YUKSEK","ORTA"))</f>
        <v/>
      </c>
      <c r="F114" s="16">
        <f>IF($C114="","",IF(OR($C114="TARIH_BOS",$C114="VKN_UZUNLUK",$C114="TUTAR_NEGATIF",$C114="DONEM_EKSIK"),$C114,"TANIMSIZ"))</f>
        <v/>
      </c>
      <c r="G114" s="16">
        <f>IF($C114="","",1)</f>
        <v/>
      </c>
    </row>
    <row r="115">
      <c r="A115" s="16">
        <f>IF('VERI_A'!$A115="","",ROW()-ROW(tblVeriA[[#Headers]]))</f>
        <v/>
      </c>
      <c r="B115" s="23">
        <f>IF('VERI_A'!$A115="","",'VERI_A'!$A115)</f>
        <v/>
      </c>
      <c r="C115" s="16">
        <f>IF($B115="","",IF(OR('VERI_A'!$B115="",'VERI_A'!$B115=0),"TARIH_BOS",IF(LEN(TRIM('VERI_A'!$C115&amp;""))&lt;&gt;dbe_vknUzunluk,"VKN_UZUNLUK",IF('VERI_A'!$G115&lt;0,"TUTAR_NEGATIF",IF('VERI_A'!$I115="","DONEM_EKSIK",""))))</f>
        <v/>
      </c>
      <c r="D115" s="16">
        <f>IF($C115="","",IF($C115="TARIH_BOS","Belge tarihi zorunlu",IF($C115="VKN_UZUNLUK","VKN 10 hane olmalı",IF($C115="TUTAR_NEGATIF","Toplam negatif olamaz",IF($C115="DONEM_EKSIK","Dönem zorunlu","Elle incele"))))</f>
        <v/>
      </c>
      <c r="E115" s="16">
        <f>IF($C115="","",IF(OR($C115="TUTAR_NEGATIF",$C115="TARIH_BOS"),"YUKSEK","ORTA"))</f>
        <v/>
      </c>
      <c r="F115" s="16">
        <f>IF($C115="","",IF(OR($C115="TARIH_BOS",$C115="VKN_UZUNLUK",$C115="TUTAR_NEGATIF",$C115="DONEM_EKSIK"),$C115,"TANIMSIZ"))</f>
        <v/>
      </c>
      <c r="G115" s="16">
        <f>IF($C115="","",1)</f>
        <v/>
      </c>
    </row>
    <row r="116">
      <c r="A116" s="16">
        <f>IF('VERI_A'!$A116="","",ROW()-ROW(tblVeriA[[#Headers]]))</f>
        <v/>
      </c>
      <c r="B116" s="23">
        <f>IF('VERI_A'!$A116="","",'VERI_A'!$A116)</f>
        <v/>
      </c>
      <c r="C116" s="16">
        <f>IF($B116="","",IF(OR('VERI_A'!$B116="",'VERI_A'!$B116=0),"TARIH_BOS",IF(LEN(TRIM('VERI_A'!$C116&amp;""))&lt;&gt;dbe_vknUzunluk,"VKN_UZUNLUK",IF('VERI_A'!$G116&lt;0,"TUTAR_NEGATIF",IF('VERI_A'!$I116="","DONEM_EKSIK",""))))</f>
        <v/>
      </c>
      <c r="D116" s="16">
        <f>IF($C116="","",IF($C116="TARIH_BOS","Belge tarihi zorunlu",IF($C116="VKN_UZUNLUK","VKN 10 hane olmalı",IF($C116="TUTAR_NEGATIF","Toplam negatif olamaz",IF($C116="DONEM_EKSIK","Dönem zorunlu","Elle incele"))))</f>
        <v/>
      </c>
      <c r="E116" s="16">
        <f>IF($C116="","",IF(OR($C116="TUTAR_NEGATIF",$C116="TARIH_BOS"),"YUKSEK","ORTA"))</f>
        <v/>
      </c>
      <c r="F116" s="16">
        <f>IF($C116="","",IF(OR($C116="TARIH_BOS",$C116="VKN_UZUNLUK",$C116="TUTAR_NEGATIF",$C116="DONEM_EKSIK"),$C116,"TANIMSIZ"))</f>
        <v/>
      </c>
      <c r="G116" s="16">
        <f>IF($C116="","",1)</f>
        <v/>
      </c>
    </row>
    <row r="117">
      <c r="A117" s="16">
        <f>IF('VERI_A'!$A117="","",ROW()-ROW(tblVeriA[[#Headers]]))</f>
        <v/>
      </c>
      <c r="B117" s="23">
        <f>IF('VERI_A'!$A117="","",'VERI_A'!$A117)</f>
        <v/>
      </c>
      <c r="C117" s="16">
        <f>IF($B117="","",IF(OR('VERI_A'!$B117="",'VERI_A'!$B117=0),"TARIH_BOS",IF(LEN(TRIM('VERI_A'!$C117&amp;""))&lt;&gt;dbe_vknUzunluk,"VKN_UZUNLUK",IF('VERI_A'!$G117&lt;0,"TUTAR_NEGATIF",IF('VERI_A'!$I117="","DONEM_EKSIK",""))))</f>
        <v/>
      </c>
      <c r="D117" s="16">
        <f>IF($C117="","",IF($C117="TARIH_BOS","Belge tarihi zorunlu",IF($C117="VKN_UZUNLUK","VKN 10 hane olmalı",IF($C117="TUTAR_NEGATIF","Toplam negatif olamaz",IF($C117="DONEM_EKSIK","Dönem zorunlu","Elle incele"))))</f>
        <v/>
      </c>
      <c r="E117" s="16">
        <f>IF($C117="","",IF(OR($C117="TUTAR_NEGATIF",$C117="TARIH_BOS"),"YUKSEK","ORTA"))</f>
        <v/>
      </c>
      <c r="F117" s="16">
        <f>IF($C117="","",IF(OR($C117="TARIH_BOS",$C117="VKN_UZUNLUK",$C117="TUTAR_NEGATIF",$C117="DONEM_EKSIK"),$C117,"TANIMSIZ"))</f>
        <v/>
      </c>
      <c r="G117" s="16">
        <f>IF($C117="","",1)</f>
        <v/>
      </c>
    </row>
    <row r="118">
      <c r="A118" s="16">
        <f>IF('VERI_A'!$A118="","",ROW()-ROW(tblVeriA[[#Headers]]))</f>
        <v/>
      </c>
      <c r="B118" s="23">
        <f>IF('VERI_A'!$A118="","",'VERI_A'!$A118)</f>
        <v/>
      </c>
      <c r="C118" s="16">
        <f>IF($B118="","",IF(OR('VERI_A'!$B118="",'VERI_A'!$B118=0),"TARIH_BOS",IF(LEN(TRIM('VERI_A'!$C118&amp;""))&lt;&gt;dbe_vknUzunluk,"VKN_UZUNLUK",IF('VERI_A'!$G118&lt;0,"TUTAR_NEGATIF",IF('VERI_A'!$I118="","DONEM_EKSIK",""))))</f>
        <v/>
      </c>
      <c r="D118" s="16">
        <f>IF($C118="","",IF($C118="TARIH_BOS","Belge tarihi zorunlu",IF($C118="VKN_UZUNLUK","VKN 10 hane olmalı",IF($C118="TUTAR_NEGATIF","Toplam negatif olamaz",IF($C118="DONEM_EKSIK","Dönem zorunlu","Elle incele"))))</f>
        <v/>
      </c>
      <c r="E118" s="16">
        <f>IF($C118="","",IF(OR($C118="TUTAR_NEGATIF",$C118="TARIH_BOS"),"YUKSEK","ORTA"))</f>
        <v/>
      </c>
      <c r="F118" s="16">
        <f>IF($C118="","",IF(OR($C118="TARIH_BOS",$C118="VKN_UZUNLUK",$C118="TUTAR_NEGATIF",$C118="DONEM_EKSIK"),$C118,"TANIMSIZ"))</f>
        <v/>
      </c>
      <c r="G118" s="16">
        <f>IF($C118="","",1)</f>
        <v/>
      </c>
    </row>
    <row r="119">
      <c r="A119" s="16">
        <f>IF('VERI_A'!$A119="","",ROW()-ROW(tblVeriA[[#Headers]]))</f>
        <v/>
      </c>
      <c r="B119" s="23">
        <f>IF('VERI_A'!$A119="","",'VERI_A'!$A119)</f>
        <v/>
      </c>
      <c r="C119" s="16">
        <f>IF($B119="","",IF(OR('VERI_A'!$B119="",'VERI_A'!$B119=0),"TARIH_BOS",IF(LEN(TRIM('VERI_A'!$C119&amp;""))&lt;&gt;dbe_vknUzunluk,"VKN_UZUNLUK",IF('VERI_A'!$G119&lt;0,"TUTAR_NEGATIF",IF('VERI_A'!$I119="","DONEM_EKSIK",""))))</f>
        <v/>
      </c>
      <c r="D119" s="16">
        <f>IF($C119="","",IF($C119="TARIH_BOS","Belge tarihi zorunlu",IF($C119="VKN_UZUNLUK","VKN 10 hane olmalı",IF($C119="TUTAR_NEGATIF","Toplam negatif olamaz",IF($C119="DONEM_EKSIK","Dönem zorunlu","Elle incele"))))</f>
        <v/>
      </c>
      <c r="E119" s="16">
        <f>IF($C119="","",IF(OR($C119="TUTAR_NEGATIF",$C119="TARIH_BOS"),"YUKSEK","ORTA"))</f>
        <v/>
      </c>
      <c r="F119" s="16">
        <f>IF($C119="","",IF(OR($C119="TARIH_BOS",$C119="VKN_UZUNLUK",$C119="TUTAR_NEGATIF",$C119="DONEM_EKSIK"),$C119,"TANIMSIZ"))</f>
        <v/>
      </c>
      <c r="G119" s="16">
        <f>IF($C119="","",1)</f>
        <v/>
      </c>
    </row>
    <row r="120">
      <c r="A120" s="16">
        <f>IF('VERI_A'!$A120="","",ROW()-ROW(tblVeriA[[#Headers]]))</f>
        <v/>
      </c>
      <c r="B120" s="23">
        <f>IF('VERI_A'!$A120="","",'VERI_A'!$A120)</f>
        <v/>
      </c>
      <c r="C120" s="16">
        <f>IF($B120="","",IF(OR('VERI_A'!$B120="",'VERI_A'!$B120=0),"TARIH_BOS",IF(LEN(TRIM('VERI_A'!$C120&amp;""))&lt;&gt;dbe_vknUzunluk,"VKN_UZUNLUK",IF('VERI_A'!$G120&lt;0,"TUTAR_NEGATIF",IF('VERI_A'!$I120="","DONEM_EKSIK",""))))</f>
        <v/>
      </c>
      <c r="D120" s="16">
        <f>IF($C120="","",IF($C120="TARIH_BOS","Belge tarihi zorunlu",IF($C120="VKN_UZUNLUK","VKN 10 hane olmalı",IF($C120="TUTAR_NEGATIF","Toplam negatif olamaz",IF($C120="DONEM_EKSIK","Dönem zorunlu","Elle incele"))))</f>
        <v/>
      </c>
      <c r="E120" s="16">
        <f>IF($C120="","",IF(OR($C120="TUTAR_NEGATIF",$C120="TARIH_BOS"),"YUKSEK","ORTA"))</f>
        <v/>
      </c>
      <c r="F120" s="16">
        <f>IF($C120="","",IF(OR($C120="TARIH_BOS",$C120="VKN_UZUNLUK",$C120="TUTAR_NEGATIF",$C120="DONEM_EKSIK"),$C120,"TANIMSIZ"))</f>
        <v/>
      </c>
      <c r="G120" s="16">
        <f>IF($C120="","",1)</f>
        <v/>
      </c>
    </row>
    <row r="121">
      <c r="A121" s="16">
        <f>IF('VERI_A'!$A121="","",ROW()-ROW(tblVeriA[[#Headers]]))</f>
        <v/>
      </c>
      <c r="B121" s="23">
        <f>IF('VERI_A'!$A121="","",'VERI_A'!$A121)</f>
        <v/>
      </c>
      <c r="C121" s="16">
        <f>IF($B121="","",IF(OR('VERI_A'!$B121="",'VERI_A'!$B121=0),"TARIH_BOS",IF(LEN(TRIM('VERI_A'!$C121&amp;""))&lt;&gt;dbe_vknUzunluk,"VKN_UZUNLUK",IF('VERI_A'!$G121&lt;0,"TUTAR_NEGATIF",IF('VERI_A'!$I121="","DONEM_EKSIK",""))))</f>
        <v/>
      </c>
      <c r="D121" s="16">
        <f>IF($C121="","",IF($C121="TARIH_BOS","Belge tarihi zorunlu",IF($C121="VKN_UZUNLUK","VKN 10 hane olmalı",IF($C121="TUTAR_NEGATIF","Toplam negatif olamaz",IF($C121="DONEM_EKSIK","Dönem zorunlu","Elle incele"))))</f>
        <v/>
      </c>
      <c r="E121" s="16">
        <f>IF($C121="","",IF(OR($C121="TUTAR_NEGATIF",$C121="TARIH_BOS"),"YUKSEK","ORTA"))</f>
        <v/>
      </c>
      <c r="F121" s="16">
        <f>IF($C121="","",IF(OR($C121="TARIH_BOS",$C121="VKN_UZUNLUK",$C121="TUTAR_NEGATIF",$C121="DONEM_EKSIK"),$C121,"TANIMSIZ"))</f>
        <v/>
      </c>
      <c r="G121" s="16">
        <f>IF($C121="","",1)</f>
        <v/>
      </c>
    </row>
    <row r="122">
      <c r="A122" s="16">
        <f>IF('VERI_A'!$A122="","",ROW()-ROW(tblVeriA[[#Headers]]))</f>
        <v/>
      </c>
      <c r="B122" s="23">
        <f>IF('VERI_A'!$A122="","",'VERI_A'!$A122)</f>
        <v/>
      </c>
      <c r="C122" s="16">
        <f>IF($B122="","",IF(OR('VERI_A'!$B122="",'VERI_A'!$B122=0),"TARIH_BOS",IF(LEN(TRIM('VERI_A'!$C122&amp;""))&lt;&gt;dbe_vknUzunluk,"VKN_UZUNLUK",IF('VERI_A'!$G122&lt;0,"TUTAR_NEGATIF",IF('VERI_A'!$I122="","DONEM_EKSIK",""))))</f>
        <v/>
      </c>
      <c r="D122" s="16">
        <f>IF($C122="","",IF($C122="TARIH_BOS","Belge tarihi zorunlu",IF($C122="VKN_UZUNLUK","VKN 10 hane olmalı",IF($C122="TUTAR_NEGATIF","Toplam negatif olamaz",IF($C122="DONEM_EKSIK","Dönem zorunlu","Elle incele"))))</f>
        <v/>
      </c>
      <c r="E122" s="16">
        <f>IF($C122="","",IF(OR($C122="TUTAR_NEGATIF",$C122="TARIH_BOS"),"YUKSEK","ORTA"))</f>
        <v/>
      </c>
      <c r="F122" s="16">
        <f>IF($C122="","",IF(OR($C122="TARIH_BOS",$C122="VKN_UZUNLUK",$C122="TUTAR_NEGATIF",$C122="DONEM_EKSIK"),$C122,"TANIMSIZ"))</f>
        <v/>
      </c>
      <c r="G122" s="16">
        <f>IF($C122="","",1)</f>
        <v/>
      </c>
    </row>
    <row r="123">
      <c r="A123" s="16">
        <f>IF('VERI_A'!$A123="","",ROW()-ROW(tblVeriA[[#Headers]]))</f>
        <v/>
      </c>
      <c r="B123" s="23">
        <f>IF('VERI_A'!$A123="","",'VERI_A'!$A123)</f>
        <v/>
      </c>
      <c r="C123" s="16">
        <f>IF($B123="","",IF(OR('VERI_A'!$B123="",'VERI_A'!$B123=0),"TARIH_BOS",IF(LEN(TRIM('VERI_A'!$C123&amp;""))&lt;&gt;dbe_vknUzunluk,"VKN_UZUNLUK",IF('VERI_A'!$G123&lt;0,"TUTAR_NEGATIF",IF('VERI_A'!$I123="","DONEM_EKSIK",""))))</f>
        <v/>
      </c>
      <c r="D123" s="16">
        <f>IF($C123="","",IF($C123="TARIH_BOS","Belge tarihi zorunlu",IF($C123="VKN_UZUNLUK","VKN 10 hane olmalı",IF($C123="TUTAR_NEGATIF","Toplam negatif olamaz",IF($C123="DONEM_EKSIK","Dönem zorunlu","Elle incele"))))</f>
        <v/>
      </c>
      <c r="E123" s="16">
        <f>IF($C123="","",IF(OR($C123="TUTAR_NEGATIF",$C123="TARIH_BOS"),"YUKSEK","ORTA"))</f>
        <v/>
      </c>
      <c r="F123" s="16">
        <f>IF($C123="","",IF(OR($C123="TARIH_BOS",$C123="VKN_UZUNLUK",$C123="TUTAR_NEGATIF",$C123="DONEM_EKSIK"),$C123,"TANIMSIZ"))</f>
        <v/>
      </c>
      <c r="G123" s="16">
        <f>IF($C123="","",1)</f>
        <v/>
      </c>
    </row>
    <row r="124">
      <c r="A124" s="16">
        <f>IF('VERI_A'!$A124="","",ROW()-ROW(tblVeriA[[#Headers]]))</f>
        <v/>
      </c>
      <c r="B124" s="23">
        <f>IF('VERI_A'!$A124="","",'VERI_A'!$A124)</f>
        <v/>
      </c>
      <c r="C124" s="16">
        <f>IF($B124="","",IF(OR('VERI_A'!$B124="",'VERI_A'!$B124=0),"TARIH_BOS",IF(LEN(TRIM('VERI_A'!$C124&amp;""))&lt;&gt;dbe_vknUzunluk,"VKN_UZUNLUK",IF('VERI_A'!$G124&lt;0,"TUTAR_NEGATIF",IF('VERI_A'!$I124="","DONEM_EKSIK",""))))</f>
        <v/>
      </c>
      <c r="D124" s="16">
        <f>IF($C124="","",IF($C124="TARIH_BOS","Belge tarihi zorunlu",IF($C124="VKN_UZUNLUK","VKN 10 hane olmalı",IF($C124="TUTAR_NEGATIF","Toplam negatif olamaz",IF($C124="DONEM_EKSIK","Dönem zorunlu","Elle incele"))))</f>
        <v/>
      </c>
      <c r="E124" s="16">
        <f>IF($C124="","",IF(OR($C124="TUTAR_NEGATIF",$C124="TARIH_BOS"),"YUKSEK","ORTA"))</f>
        <v/>
      </c>
      <c r="F124" s="16">
        <f>IF($C124="","",IF(OR($C124="TARIH_BOS",$C124="VKN_UZUNLUK",$C124="TUTAR_NEGATIF",$C124="DONEM_EKSIK"),$C124,"TANIMSIZ"))</f>
        <v/>
      </c>
      <c r="G124" s="16">
        <f>IF($C124="","",1)</f>
        <v/>
      </c>
    </row>
    <row r="125">
      <c r="A125" s="16">
        <f>IF('VERI_A'!$A125="","",ROW()-ROW(tblVeriA[[#Headers]]))</f>
        <v/>
      </c>
      <c r="B125" s="23">
        <f>IF('VERI_A'!$A125="","",'VERI_A'!$A125)</f>
        <v/>
      </c>
      <c r="C125" s="16">
        <f>IF($B125="","",IF(OR('VERI_A'!$B125="",'VERI_A'!$B125=0),"TARIH_BOS",IF(LEN(TRIM('VERI_A'!$C125&amp;""))&lt;&gt;dbe_vknUzunluk,"VKN_UZUNLUK",IF('VERI_A'!$G125&lt;0,"TUTAR_NEGATIF",IF('VERI_A'!$I125="","DONEM_EKSIK",""))))</f>
        <v/>
      </c>
      <c r="D125" s="16">
        <f>IF($C125="","",IF($C125="TARIH_BOS","Belge tarihi zorunlu",IF($C125="VKN_UZUNLUK","VKN 10 hane olmalı",IF($C125="TUTAR_NEGATIF","Toplam negatif olamaz",IF($C125="DONEM_EKSIK","Dönem zorunlu","Elle incele"))))</f>
        <v/>
      </c>
      <c r="E125" s="16">
        <f>IF($C125="","",IF(OR($C125="TUTAR_NEGATIF",$C125="TARIH_BOS"),"YUKSEK","ORTA"))</f>
        <v/>
      </c>
      <c r="F125" s="16">
        <f>IF($C125="","",IF(OR($C125="TARIH_BOS",$C125="VKN_UZUNLUK",$C125="TUTAR_NEGATIF",$C125="DONEM_EKSIK"),$C125,"TANIMSIZ"))</f>
        <v/>
      </c>
      <c r="G125" s="16">
        <f>IF($C125="","",1)</f>
        <v/>
      </c>
    </row>
    <row r="126">
      <c r="A126" s="16">
        <f>IF('VERI_A'!$A126="","",ROW()-ROW(tblVeriA[[#Headers]]))</f>
        <v/>
      </c>
      <c r="B126" s="23">
        <f>IF('VERI_A'!$A126="","",'VERI_A'!$A126)</f>
        <v/>
      </c>
      <c r="C126" s="16">
        <f>IF($B126="","",IF(OR('VERI_A'!$B126="",'VERI_A'!$B126=0),"TARIH_BOS",IF(LEN(TRIM('VERI_A'!$C126&amp;""))&lt;&gt;dbe_vknUzunluk,"VKN_UZUNLUK",IF('VERI_A'!$G126&lt;0,"TUTAR_NEGATIF",IF('VERI_A'!$I126="","DONEM_EKSIK",""))))</f>
        <v/>
      </c>
      <c r="D126" s="16">
        <f>IF($C126="","",IF($C126="TARIH_BOS","Belge tarihi zorunlu",IF($C126="VKN_UZUNLUK","VKN 10 hane olmalı",IF($C126="TUTAR_NEGATIF","Toplam negatif olamaz",IF($C126="DONEM_EKSIK","Dönem zorunlu","Elle incele"))))</f>
        <v/>
      </c>
      <c r="E126" s="16">
        <f>IF($C126="","",IF(OR($C126="TUTAR_NEGATIF",$C126="TARIH_BOS"),"YUKSEK","ORTA"))</f>
        <v/>
      </c>
      <c r="F126" s="16">
        <f>IF($C126="","",IF(OR($C126="TARIH_BOS",$C126="VKN_UZUNLUK",$C126="TUTAR_NEGATIF",$C126="DONEM_EKSIK"),$C126,"TANIMSIZ"))</f>
        <v/>
      </c>
      <c r="G126" s="16">
        <f>IF($C126="","",1)</f>
        <v/>
      </c>
    </row>
    <row r="127">
      <c r="A127" s="16">
        <f>IF('VERI_A'!$A127="","",ROW()-ROW(tblVeriA[[#Headers]]))</f>
        <v/>
      </c>
      <c r="B127" s="23">
        <f>IF('VERI_A'!$A127="","",'VERI_A'!$A127)</f>
        <v/>
      </c>
      <c r="C127" s="16">
        <f>IF($B127="","",IF(OR('VERI_A'!$B127="",'VERI_A'!$B127=0),"TARIH_BOS",IF(LEN(TRIM('VERI_A'!$C127&amp;""))&lt;&gt;dbe_vknUzunluk,"VKN_UZUNLUK",IF('VERI_A'!$G127&lt;0,"TUTAR_NEGATIF",IF('VERI_A'!$I127="","DONEM_EKSIK",""))))</f>
        <v/>
      </c>
      <c r="D127" s="16">
        <f>IF($C127="","",IF($C127="TARIH_BOS","Belge tarihi zorunlu",IF($C127="VKN_UZUNLUK","VKN 10 hane olmalı",IF($C127="TUTAR_NEGATIF","Toplam negatif olamaz",IF($C127="DONEM_EKSIK","Dönem zorunlu","Elle incele"))))</f>
        <v/>
      </c>
      <c r="E127" s="16">
        <f>IF($C127="","",IF(OR($C127="TUTAR_NEGATIF",$C127="TARIH_BOS"),"YUKSEK","ORTA"))</f>
        <v/>
      </c>
      <c r="F127" s="16">
        <f>IF($C127="","",IF(OR($C127="TARIH_BOS",$C127="VKN_UZUNLUK",$C127="TUTAR_NEGATIF",$C127="DONEM_EKSIK"),$C127,"TANIMSIZ"))</f>
        <v/>
      </c>
      <c r="G127" s="16">
        <f>IF($C127="","",1)</f>
        <v/>
      </c>
    </row>
    <row r="128">
      <c r="A128" s="16">
        <f>IF('VERI_A'!$A128="","",ROW()-ROW(tblVeriA[[#Headers]]))</f>
        <v/>
      </c>
      <c r="B128" s="23">
        <f>IF('VERI_A'!$A128="","",'VERI_A'!$A128)</f>
        <v/>
      </c>
      <c r="C128" s="16">
        <f>IF($B128="","",IF(OR('VERI_A'!$B128="",'VERI_A'!$B128=0),"TARIH_BOS",IF(LEN(TRIM('VERI_A'!$C128&amp;""))&lt;&gt;dbe_vknUzunluk,"VKN_UZUNLUK",IF('VERI_A'!$G128&lt;0,"TUTAR_NEGATIF",IF('VERI_A'!$I128="","DONEM_EKSIK",""))))</f>
        <v/>
      </c>
      <c r="D128" s="16">
        <f>IF($C128="","",IF($C128="TARIH_BOS","Belge tarihi zorunlu",IF($C128="VKN_UZUNLUK","VKN 10 hane olmalı",IF($C128="TUTAR_NEGATIF","Toplam negatif olamaz",IF($C128="DONEM_EKSIK","Dönem zorunlu","Elle incele"))))</f>
        <v/>
      </c>
      <c r="E128" s="16">
        <f>IF($C128="","",IF(OR($C128="TUTAR_NEGATIF",$C128="TARIH_BOS"),"YUKSEK","ORTA"))</f>
        <v/>
      </c>
      <c r="F128" s="16">
        <f>IF($C128="","",IF(OR($C128="TARIH_BOS",$C128="VKN_UZUNLUK",$C128="TUTAR_NEGATIF",$C128="DONEM_EKSIK"),$C128,"TANIMSIZ"))</f>
        <v/>
      </c>
      <c r="G128" s="16">
        <f>IF($C128="","",1)</f>
        <v/>
      </c>
    </row>
    <row r="129">
      <c r="A129" s="16">
        <f>IF('VERI_A'!$A129="","",ROW()-ROW(tblVeriA[[#Headers]]))</f>
        <v/>
      </c>
      <c r="B129" s="23">
        <f>IF('VERI_A'!$A129="","",'VERI_A'!$A129)</f>
        <v/>
      </c>
      <c r="C129" s="16">
        <f>IF($B129="","",IF(OR('VERI_A'!$B129="",'VERI_A'!$B129=0),"TARIH_BOS",IF(LEN(TRIM('VERI_A'!$C129&amp;""))&lt;&gt;dbe_vknUzunluk,"VKN_UZUNLUK",IF('VERI_A'!$G129&lt;0,"TUTAR_NEGATIF",IF('VERI_A'!$I129="","DONEM_EKSIK",""))))</f>
        <v/>
      </c>
      <c r="D129" s="16">
        <f>IF($C129="","",IF($C129="TARIH_BOS","Belge tarihi zorunlu",IF($C129="VKN_UZUNLUK","VKN 10 hane olmalı",IF($C129="TUTAR_NEGATIF","Toplam negatif olamaz",IF($C129="DONEM_EKSIK","Dönem zorunlu","Elle incele"))))</f>
        <v/>
      </c>
      <c r="E129" s="16">
        <f>IF($C129="","",IF(OR($C129="TUTAR_NEGATIF",$C129="TARIH_BOS"),"YUKSEK","ORTA"))</f>
        <v/>
      </c>
      <c r="F129" s="16">
        <f>IF($C129="","",IF(OR($C129="TARIH_BOS",$C129="VKN_UZUNLUK",$C129="TUTAR_NEGATIF",$C129="DONEM_EKSIK"),$C129,"TANIMSIZ"))</f>
        <v/>
      </c>
      <c r="G129" s="16">
        <f>IF($C129="","",1)</f>
        <v/>
      </c>
    </row>
    <row r="130">
      <c r="A130" s="16">
        <f>IF('VERI_A'!$A130="","",ROW()-ROW(tblVeriA[[#Headers]]))</f>
        <v/>
      </c>
      <c r="B130" s="23">
        <f>IF('VERI_A'!$A130="","",'VERI_A'!$A130)</f>
        <v/>
      </c>
      <c r="C130" s="16">
        <f>IF($B130="","",IF(OR('VERI_A'!$B130="",'VERI_A'!$B130=0),"TARIH_BOS",IF(LEN(TRIM('VERI_A'!$C130&amp;""))&lt;&gt;dbe_vknUzunluk,"VKN_UZUNLUK",IF('VERI_A'!$G130&lt;0,"TUTAR_NEGATIF",IF('VERI_A'!$I130="","DONEM_EKSIK",""))))</f>
        <v/>
      </c>
      <c r="D130" s="16">
        <f>IF($C130="","",IF($C130="TARIH_BOS","Belge tarihi zorunlu",IF($C130="VKN_UZUNLUK","VKN 10 hane olmalı",IF($C130="TUTAR_NEGATIF","Toplam negatif olamaz",IF($C130="DONEM_EKSIK","Dönem zorunlu","Elle incele"))))</f>
        <v/>
      </c>
      <c r="E130" s="16">
        <f>IF($C130="","",IF(OR($C130="TUTAR_NEGATIF",$C130="TARIH_BOS"),"YUKSEK","ORTA"))</f>
        <v/>
      </c>
      <c r="F130" s="16">
        <f>IF($C130="","",IF(OR($C130="TARIH_BOS",$C130="VKN_UZUNLUK",$C130="TUTAR_NEGATIF",$C130="DONEM_EKSIK"),$C130,"TANIMSIZ"))</f>
        <v/>
      </c>
      <c r="G130" s="16">
        <f>IF($C130="","",1)</f>
        <v/>
      </c>
    </row>
    <row r="131">
      <c r="A131" s="16">
        <f>IF('VERI_A'!$A131="","",ROW()-ROW(tblVeriA[[#Headers]]))</f>
        <v/>
      </c>
      <c r="B131" s="23">
        <f>IF('VERI_A'!$A131="","",'VERI_A'!$A131)</f>
        <v/>
      </c>
      <c r="C131" s="16">
        <f>IF($B131="","",IF(OR('VERI_A'!$B131="",'VERI_A'!$B131=0),"TARIH_BOS",IF(LEN(TRIM('VERI_A'!$C131&amp;""))&lt;&gt;dbe_vknUzunluk,"VKN_UZUNLUK",IF('VERI_A'!$G131&lt;0,"TUTAR_NEGATIF",IF('VERI_A'!$I131="","DONEM_EKSIK",""))))</f>
        <v/>
      </c>
      <c r="D131" s="16">
        <f>IF($C131="","",IF($C131="TARIH_BOS","Belge tarihi zorunlu",IF($C131="VKN_UZUNLUK","VKN 10 hane olmalı",IF($C131="TUTAR_NEGATIF","Toplam negatif olamaz",IF($C131="DONEM_EKSIK","Dönem zorunlu","Elle incele"))))</f>
        <v/>
      </c>
      <c r="E131" s="16">
        <f>IF($C131="","",IF(OR($C131="TUTAR_NEGATIF",$C131="TARIH_BOS"),"YUKSEK","ORTA"))</f>
        <v/>
      </c>
      <c r="F131" s="16">
        <f>IF($C131="","",IF(OR($C131="TARIH_BOS",$C131="VKN_UZUNLUK",$C131="TUTAR_NEGATIF",$C131="DONEM_EKSIK"),$C131,"TANIMSIZ"))</f>
        <v/>
      </c>
      <c r="G131" s="16">
        <f>IF($C131="","",1)</f>
        <v/>
      </c>
    </row>
    <row r="132">
      <c r="A132" s="16">
        <f>IF('VERI_A'!$A132="","",ROW()-ROW(tblVeriA[[#Headers]]))</f>
        <v/>
      </c>
      <c r="B132" s="23">
        <f>IF('VERI_A'!$A132="","",'VERI_A'!$A132)</f>
        <v/>
      </c>
      <c r="C132" s="16">
        <f>IF($B132="","",IF(OR('VERI_A'!$B132="",'VERI_A'!$B132=0),"TARIH_BOS",IF(LEN(TRIM('VERI_A'!$C132&amp;""))&lt;&gt;dbe_vknUzunluk,"VKN_UZUNLUK",IF('VERI_A'!$G132&lt;0,"TUTAR_NEGATIF",IF('VERI_A'!$I132="","DONEM_EKSIK",""))))</f>
        <v/>
      </c>
      <c r="D132" s="16">
        <f>IF($C132="","",IF($C132="TARIH_BOS","Belge tarihi zorunlu",IF($C132="VKN_UZUNLUK","VKN 10 hane olmalı",IF($C132="TUTAR_NEGATIF","Toplam negatif olamaz",IF($C132="DONEM_EKSIK","Dönem zorunlu","Elle incele"))))</f>
        <v/>
      </c>
      <c r="E132" s="16">
        <f>IF($C132="","",IF(OR($C132="TUTAR_NEGATIF",$C132="TARIH_BOS"),"YUKSEK","ORTA"))</f>
        <v/>
      </c>
      <c r="F132" s="16">
        <f>IF($C132="","",IF(OR($C132="TARIH_BOS",$C132="VKN_UZUNLUK",$C132="TUTAR_NEGATIF",$C132="DONEM_EKSIK"),$C132,"TANIMSIZ"))</f>
        <v/>
      </c>
      <c r="G132" s="16">
        <f>IF($C132="","",1)</f>
        <v/>
      </c>
    </row>
    <row r="133">
      <c r="A133" s="16">
        <f>IF('VERI_A'!$A133="","",ROW()-ROW(tblVeriA[[#Headers]]))</f>
        <v/>
      </c>
      <c r="B133" s="23">
        <f>IF('VERI_A'!$A133="","",'VERI_A'!$A133)</f>
        <v/>
      </c>
      <c r="C133" s="16">
        <f>IF($B133="","",IF(OR('VERI_A'!$B133="",'VERI_A'!$B133=0),"TARIH_BOS",IF(LEN(TRIM('VERI_A'!$C133&amp;""))&lt;&gt;dbe_vknUzunluk,"VKN_UZUNLUK",IF('VERI_A'!$G133&lt;0,"TUTAR_NEGATIF",IF('VERI_A'!$I133="","DONEM_EKSIK",""))))</f>
        <v/>
      </c>
      <c r="D133" s="16">
        <f>IF($C133="","",IF($C133="TARIH_BOS","Belge tarihi zorunlu",IF($C133="VKN_UZUNLUK","VKN 10 hane olmalı",IF($C133="TUTAR_NEGATIF","Toplam negatif olamaz",IF($C133="DONEM_EKSIK","Dönem zorunlu","Elle incele"))))</f>
        <v/>
      </c>
      <c r="E133" s="16">
        <f>IF($C133="","",IF(OR($C133="TUTAR_NEGATIF",$C133="TARIH_BOS"),"YUKSEK","ORTA"))</f>
        <v/>
      </c>
      <c r="F133" s="16">
        <f>IF($C133="","",IF(OR($C133="TARIH_BOS",$C133="VKN_UZUNLUK",$C133="TUTAR_NEGATIF",$C133="DONEM_EKSIK"),$C133,"TANIMSIZ"))</f>
        <v/>
      </c>
      <c r="G133" s="16">
        <f>IF($C133="","",1)</f>
        <v/>
      </c>
    </row>
    <row r="134">
      <c r="A134" s="16">
        <f>IF('VERI_A'!$A134="","",ROW()-ROW(tblVeriA[[#Headers]]))</f>
        <v/>
      </c>
      <c r="B134" s="23">
        <f>IF('VERI_A'!$A134="","",'VERI_A'!$A134)</f>
        <v/>
      </c>
      <c r="C134" s="16">
        <f>IF($B134="","",IF(OR('VERI_A'!$B134="",'VERI_A'!$B134=0),"TARIH_BOS",IF(LEN(TRIM('VERI_A'!$C134&amp;""))&lt;&gt;dbe_vknUzunluk,"VKN_UZUNLUK",IF('VERI_A'!$G134&lt;0,"TUTAR_NEGATIF",IF('VERI_A'!$I134="","DONEM_EKSIK",""))))</f>
        <v/>
      </c>
      <c r="D134" s="16">
        <f>IF($C134="","",IF($C134="TARIH_BOS","Belge tarihi zorunlu",IF($C134="VKN_UZUNLUK","VKN 10 hane olmalı",IF($C134="TUTAR_NEGATIF","Toplam negatif olamaz",IF($C134="DONEM_EKSIK","Dönem zorunlu","Elle incele"))))</f>
        <v/>
      </c>
      <c r="E134" s="16">
        <f>IF($C134="","",IF(OR($C134="TUTAR_NEGATIF",$C134="TARIH_BOS"),"YUKSEK","ORTA"))</f>
        <v/>
      </c>
      <c r="F134" s="16">
        <f>IF($C134="","",IF(OR($C134="TARIH_BOS",$C134="VKN_UZUNLUK",$C134="TUTAR_NEGATIF",$C134="DONEM_EKSIK"),$C134,"TANIMSIZ"))</f>
        <v/>
      </c>
      <c r="G134" s="16">
        <f>IF($C134="","",1)</f>
        <v/>
      </c>
    </row>
    <row r="135">
      <c r="A135" s="16">
        <f>IF('VERI_A'!$A135="","",ROW()-ROW(tblVeriA[[#Headers]]))</f>
        <v/>
      </c>
      <c r="B135" s="23">
        <f>IF('VERI_A'!$A135="","",'VERI_A'!$A135)</f>
        <v/>
      </c>
      <c r="C135" s="16">
        <f>IF($B135="","",IF(OR('VERI_A'!$B135="",'VERI_A'!$B135=0),"TARIH_BOS",IF(LEN(TRIM('VERI_A'!$C135&amp;""))&lt;&gt;dbe_vknUzunluk,"VKN_UZUNLUK",IF('VERI_A'!$G135&lt;0,"TUTAR_NEGATIF",IF('VERI_A'!$I135="","DONEM_EKSIK",""))))</f>
        <v/>
      </c>
      <c r="D135" s="16">
        <f>IF($C135="","",IF($C135="TARIH_BOS","Belge tarihi zorunlu",IF($C135="VKN_UZUNLUK","VKN 10 hane olmalı",IF($C135="TUTAR_NEGATIF","Toplam negatif olamaz",IF($C135="DONEM_EKSIK","Dönem zorunlu","Elle incele"))))</f>
        <v/>
      </c>
      <c r="E135" s="16">
        <f>IF($C135="","",IF(OR($C135="TUTAR_NEGATIF",$C135="TARIH_BOS"),"YUKSEK","ORTA"))</f>
        <v/>
      </c>
      <c r="F135" s="16">
        <f>IF($C135="","",IF(OR($C135="TARIH_BOS",$C135="VKN_UZUNLUK",$C135="TUTAR_NEGATIF",$C135="DONEM_EKSIK"),$C135,"TANIMSIZ"))</f>
        <v/>
      </c>
      <c r="G135" s="16">
        <f>IF($C135="","",1)</f>
        <v/>
      </c>
    </row>
    <row r="136">
      <c r="A136" s="16">
        <f>IF('VERI_A'!$A136="","",ROW()-ROW(tblVeriA[[#Headers]]))</f>
        <v/>
      </c>
      <c r="B136" s="23">
        <f>IF('VERI_A'!$A136="","",'VERI_A'!$A136)</f>
        <v/>
      </c>
      <c r="C136" s="16">
        <f>IF($B136="","",IF(OR('VERI_A'!$B136="",'VERI_A'!$B136=0),"TARIH_BOS",IF(LEN(TRIM('VERI_A'!$C136&amp;""))&lt;&gt;dbe_vknUzunluk,"VKN_UZUNLUK",IF('VERI_A'!$G136&lt;0,"TUTAR_NEGATIF",IF('VERI_A'!$I136="","DONEM_EKSIK",""))))</f>
        <v/>
      </c>
      <c r="D136" s="16">
        <f>IF($C136="","",IF($C136="TARIH_BOS","Belge tarihi zorunlu",IF($C136="VKN_UZUNLUK","VKN 10 hane olmalı",IF($C136="TUTAR_NEGATIF","Toplam negatif olamaz",IF($C136="DONEM_EKSIK","Dönem zorunlu","Elle incele"))))</f>
        <v/>
      </c>
      <c r="E136" s="16">
        <f>IF($C136="","",IF(OR($C136="TUTAR_NEGATIF",$C136="TARIH_BOS"),"YUKSEK","ORTA"))</f>
        <v/>
      </c>
      <c r="F136" s="16">
        <f>IF($C136="","",IF(OR($C136="TARIH_BOS",$C136="VKN_UZUNLUK",$C136="TUTAR_NEGATIF",$C136="DONEM_EKSIK"),$C136,"TANIMSIZ"))</f>
        <v/>
      </c>
      <c r="G136" s="16">
        <f>IF($C136="","",1)</f>
        <v/>
      </c>
    </row>
    <row r="137">
      <c r="A137" s="16">
        <f>IF('VERI_A'!$A137="","",ROW()-ROW(tblVeriA[[#Headers]]))</f>
        <v/>
      </c>
      <c r="B137" s="23">
        <f>IF('VERI_A'!$A137="","",'VERI_A'!$A137)</f>
        <v/>
      </c>
      <c r="C137" s="16">
        <f>IF($B137="","",IF(OR('VERI_A'!$B137="",'VERI_A'!$B137=0),"TARIH_BOS",IF(LEN(TRIM('VERI_A'!$C137&amp;""))&lt;&gt;dbe_vknUzunluk,"VKN_UZUNLUK",IF('VERI_A'!$G137&lt;0,"TUTAR_NEGATIF",IF('VERI_A'!$I137="","DONEM_EKSIK",""))))</f>
        <v/>
      </c>
      <c r="D137" s="16">
        <f>IF($C137="","",IF($C137="TARIH_BOS","Belge tarihi zorunlu",IF($C137="VKN_UZUNLUK","VKN 10 hane olmalı",IF($C137="TUTAR_NEGATIF","Toplam negatif olamaz",IF($C137="DONEM_EKSIK","Dönem zorunlu","Elle incele"))))</f>
        <v/>
      </c>
      <c r="E137" s="16">
        <f>IF($C137="","",IF(OR($C137="TUTAR_NEGATIF",$C137="TARIH_BOS"),"YUKSEK","ORTA"))</f>
        <v/>
      </c>
      <c r="F137" s="16">
        <f>IF($C137="","",IF(OR($C137="TARIH_BOS",$C137="VKN_UZUNLUK",$C137="TUTAR_NEGATIF",$C137="DONEM_EKSIK"),$C137,"TANIMSIZ"))</f>
        <v/>
      </c>
      <c r="G137" s="16">
        <f>IF($C137="","",1)</f>
        <v/>
      </c>
    </row>
    <row r="138">
      <c r="A138" s="16">
        <f>IF('VERI_A'!$A138="","",ROW()-ROW(tblVeriA[[#Headers]]))</f>
        <v/>
      </c>
      <c r="B138" s="23">
        <f>IF('VERI_A'!$A138="","",'VERI_A'!$A138)</f>
        <v/>
      </c>
      <c r="C138" s="16">
        <f>IF($B138="","",IF(OR('VERI_A'!$B138="",'VERI_A'!$B138=0),"TARIH_BOS",IF(LEN(TRIM('VERI_A'!$C138&amp;""))&lt;&gt;dbe_vknUzunluk,"VKN_UZUNLUK",IF('VERI_A'!$G138&lt;0,"TUTAR_NEGATIF",IF('VERI_A'!$I138="","DONEM_EKSIK",""))))</f>
        <v/>
      </c>
      <c r="D138" s="16">
        <f>IF($C138="","",IF($C138="TARIH_BOS","Belge tarihi zorunlu",IF($C138="VKN_UZUNLUK","VKN 10 hane olmalı",IF($C138="TUTAR_NEGATIF","Toplam negatif olamaz",IF($C138="DONEM_EKSIK","Dönem zorunlu","Elle incele"))))</f>
        <v/>
      </c>
      <c r="E138" s="16">
        <f>IF($C138="","",IF(OR($C138="TUTAR_NEGATIF",$C138="TARIH_BOS"),"YUKSEK","ORTA"))</f>
        <v/>
      </c>
      <c r="F138" s="16">
        <f>IF($C138="","",IF(OR($C138="TARIH_BOS",$C138="VKN_UZUNLUK",$C138="TUTAR_NEGATIF",$C138="DONEM_EKSIK"),$C138,"TANIMSIZ"))</f>
        <v/>
      </c>
      <c r="G138" s="16">
        <f>IF($C138="","",1)</f>
        <v/>
      </c>
    </row>
    <row r="139">
      <c r="A139" s="16">
        <f>IF('VERI_A'!$A139="","",ROW()-ROW(tblVeriA[[#Headers]]))</f>
        <v/>
      </c>
      <c r="B139" s="23">
        <f>IF('VERI_A'!$A139="","",'VERI_A'!$A139)</f>
        <v/>
      </c>
      <c r="C139" s="16">
        <f>IF($B139="","",IF(OR('VERI_A'!$B139="",'VERI_A'!$B139=0),"TARIH_BOS",IF(LEN(TRIM('VERI_A'!$C139&amp;""))&lt;&gt;dbe_vknUzunluk,"VKN_UZUNLUK",IF('VERI_A'!$G139&lt;0,"TUTAR_NEGATIF",IF('VERI_A'!$I139="","DONEM_EKSIK",""))))</f>
        <v/>
      </c>
      <c r="D139" s="16">
        <f>IF($C139="","",IF($C139="TARIH_BOS","Belge tarihi zorunlu",IF($C139="VKN_UZUNLUK","VKN 10 hane olmalı",IF($C139="TUTAR_NEGATIF","Toplam negatif olamaz",IF($C139="DONEM_EKSIK","Dönem zorunlu","Elle incele"))))</f>
        <v/>
      </c>
      <c r="E139" s="16">
        <f>IF($C139="","",IF(OR($C139="TUTAR_NEGATIF",$C139="TARIH_BOS"),"YUKSEK","ORTA"))</f>
        <v/>
      </c>
      <c r="F139" s="16">
        <f>IF($C139="","",IF(OR($C139="TARIH_BOS",$C139="VKN_UZUNLUK",$C139="TUTAR_NEGATIF",$C139="DONEM_EKSIK"),$C139,"TANIMSIZ"))</f>
        <v/>
      </c>
      <c r="G139" s="16">
        <f>IF($C139="","",1)</f>
        <v/>
      </c>
    </row>
    <row r="140">
      <c r="A140" s="16">
        <f>IF('VERI_A'!$A140="","",ROW()-ROW(tblVeriA[[#Headers]]))</f>
        <v/>
      </c>
      <c r="B140" s="23">
        <f>IF('VERI_A'!$A140="","",'VERI_A'!$A140)</f>
        <v/>
      </c>
      <c r="C140" s="16">
        <f>IF($B140="","",IF(OR('VERI_A'!$B140="",'VERI_A'!$B140=0),"TARIH_BOS",IF(LEN(TRIM('VERI_A'!$C140&amp;""))&lt;&gt;dbe_vknUzunluk,"VKN_UZUNLUK",IF('VERI_A'!$G140&lt;0,"TUTAR_NEGATIF",IF('VERI_A'!$I140="","DONEM_EKSIK",""))))</f>
        <v/>
      </c>
      <c r="D140" s="16">
        <f>IF($C140="","",IF($C140="TARIH_BOS","Belge tarihi zorunlu",IF($C140="VKN_UZUNLUK","VKN 10 hane olmalı",IF($C140="TUTAR_NEGATIF","Toplam negatif olamaz",IF($C140="DONEM_EKSIK","Dönem zorunlu","Elle incele"))))</f>
        <v/>
      </c>
      <c r="E140" s="16">
        <f>IF($C140="","",IF(OR($C140="TUTAR_NEGATIF",$C140="TARIH_BOS"),"YUKSEK","ORTA"))</f>
        <v/>
      </c>
      <c r="F140" s="16">
        <f>IF($C140="","",IF(OR($C140="TARIH_BOS",$C140="VKN_UZUNLUK",$C140="TUTAR_NEGATIF",$C140="DONEM_EKSIK"),$C140,"TANIMSIZ"))</f>
        <v/>
      </c>
      <c r="G140" s="16">
        <f>IF($C140="","",1)</f>
        <v/>
      </c>
    </row>
    <row r="141">
      <c r="A141" s="16">
        <f>IF('VERI_A'!$A141="","",ROW()-ROW(tblVeriA[[#Headers]]))</f>
        <v/>
      </c>
      <c r="B141" s="23">
        <f>IF('VERI_A'!$A141="","",'VERI_A'!$A141)</f>
        <v/>
      </c>
      <c r="C141" s="16">
        <f>IF($B141="","",IF(OR('VERI_A'!$B141="",'VERI_A'!$B141=0),"TARIH_BOS",IF(LEN(TRIM('VERI_A'!$C141&amp;""))&lt;&gt;dbe_vknUzunluk,"VKN_UZUNLUK",IF('VERI_A'!$G141&lt;0,"TUTAR_NEGATIF",IF('VERI_A'!$I141="","DONEM_EKSIK",""))))</f>
        <v/>
      </c>
      <c r="D141" s="16">
        <f>IF($C141="","",IF($C141="TARIH_BOS","Belge tarihi zorunlu",IF($C141="VKN_UZUNLUK","VKN 10 hane olmalı",IF($C141="TUTAR_NEGATIF","Toplam negatif olamaz",IF($C141="DONEM_EKSIK","Dönem zorunlu","Elle incele"))))</f>
        <v/>
      </c>
      <c r="E141" s="16">
        <f>IF($C141="","",IF(OR($C141="TUTAR_NEGATIF",$C141="TARIH_BOS"),"YUKSEK","ORTA"))</f>
        <v/>
      </c>
      <c r="F141" s="16">
        <f>IF($C141="","",IF(OR($C141="TARIH_BOS",$C141="VKN_UZUNLUK",$C141="TUTAR_NEGATIF",$C141="DONEM_EKSIK"),$C141,"TANIMSIZ"))</f>
        <v/>
      </c>
      <c r="G141" s="16">
        <f>IF($C141="","",1)</f>
        <v/>
      </c>
    </row>
    <row r="142">
      <c r="A142" s="16">
        <f>IF('VERI_A'!$A142="","",ROW()-ROW(tblVeriA[[#Headers]]))</f>
        <v/>
      </c>
      <c r="B142" s="23">
        <f>IF('VERI_A'!$A142="","",'VERI_A'!$A142)</f>
        <v/>
      </c>
      <c r="C142" s="16">
        <f>IF($B142="","",IF(OR('VERI_A'!$B142="",'VERI_A'!$B142=0),"TARIH_BOS",IF(LEN(TRIM('VERI_A'!$C142&amp;""))&lt;&gt;dbe_vknUzunluk,"VKN_UZUNLUK",IF('VERI_A'!$G142&lt;0,"TUTAR_NEGATIF",IF('VERI_A'!$I142="","DONEM_EKSIK",""))))</f>
        <v/>
      </c>
      <c r="D142" s="16">
        <f>IF($C142="","",IF($C142="TARIH_BOS","Belge tarihi zorunlu",IF($C142="VKN_UZUNLUK","VKN 10 hane olmalı",IF($C142="TUTAR_NEGATIF","Toplam negatif olamaz",IF($C142="DONEM_EKSIK","Dönem zorunlu","Elle incele"))))</f>
        <v/>
      </c>
      <c r="E142" s="16">
        <f>IF($C142="","",IF(OR($C142="TUTAR_NEGATIF",$C142="TARIH_BOS"),"YUKSEK","ORTA"))</f>
        <v/>
      </c>
      <c r="F142" s="16">
        <f>IF($C142="","",IF(OR($C142="TARIH_BOS",$C142="VKN_UZUNLUK",$C142="TUTAR_NEGATIF",$C142="DONEM_EKSIK"),$C142,"TANIMSIZ"))</f>
        <v/>
      </c>
      <c r="G142" s="16">
        <f>IF($C142="","",1)</f>
        <v/>
      </c>
    </row>
    <row r="143">
      <c r="A143" s="16">
        <f>IF('VERI_A'!$A143="","",ROW()-ROW(tblVeriA[[#Headers]]))</f>
        <v/>
      </c>
      <c r="B143" s="23">
        <f>IF('VERI_A'!$A143="","",'VERI_A'!$A143)</f>
        <v/>
      </c>
      <c r="C143" s="16">
        <f>IF($B143="","",IF(OR('VERI_A'!$B143="",'VERI_A'!$B143=0),"TARIH_BOS",IF(LEN(TRIM('VERI_A'!$C143&amp;""))&lt;&gt;dbe_vknUzunluk,"VKN_UZUNLUK",IF('VERI_A'!$G143&lt;0,"TUTAR_NEGATIF",IF('VERI_A'!$I143="","DONEM_EKSIK",""))))</f>
        <v/>
      </c>
      <c r="D143" s="16">
        <f>IF($C143="","",IF($C143="TARIH_BOS","Belge tarihi zorunlu",IF($C143="VKN_UZUNLUK","VKN 10 hane olmalı",IF($C143="TUTAR_NEGATIF","Toplam negatif olamaz",IF($C143="DONEM_EKSIK","Dönem zorunlu","Elle incele"))))</f>
        <v/>
      </c>
      <c r="E143" s="16">
        <f>IF($C143="","",IF(OR($C143="TUTAR_NEGATIF",$C143="TARIH_BOS"),"YUKSEK","ORTA"))</f>
        <v/>
      </c>
      <c r="F143" s="16">
        <f>IF($C143="","",IF(OR($C143="TARIH_BOS",$C143="VKN_UZUNLUK",$C143="TUTAR_NEGATIF",$C143="DONEM_EKSIK"),$C143,"TANIMSIZ"))</f>
        <v/>
      </c>
      <c r="G143" s="16">
        <f>IF($C143="","",1)</f>
        <v/>
      </c>
    </row>
    <row r="144">
      <c r="A144" s="16">
        <f>IF('VERI_A'!$A144="","",ROW()-ROW(tblVeriA[[#Headers]]))</f>
        <v/>
      </c>
      <c r="B144" s="23">
        <f>IF('VERI_A'!$A144="","",'VERI_A'!$A144)</f>
        <v/>
      </c>
      <c r="C144" s="16">
        <f>IF($B144="","",IF(OR('VERI_A'!$B144="",'VERI_A'!$B144=0),"TARIH_BOS",IF(LEN(TRIM('VERI_A'!$C144&amp;""))&lt;&gt;dbe_vknUzunluk,"VKN_UZUNLUK",IF('VERI_A'!$G144&lt;0,"TUTAR_NEGATIF",IF('VERI_A'!$I144="","DONEM_EKSIK",""))))</f>
        <v/>
      </c>
      <c r="D144" s="16">
        <f>IF($C144="","",IF($C144="TARIH_BOS","Belge tarihi zorunlu",IF($C144="VKN_UZUNLUK","VKN 10 hane olmalı",IF($C144="TUTAR_NEGATIF","Toplam negatif olamaz",IF($C144="DONEM_EKSIK","Dönem zorunlu","Elle incele"))))</f>
        <v/>
      </c>
      <c r="E144" s="16">
        <f>IF($C144="","",IF(OR($C144="TUTAR_NEGATIF",$C144="TARIH_BOS"),"YUKSEK","ORTA"))</f>
        <v/>
      </c>
      <c r="F144" s="16">
        <f>IF($C144="","",IF(OR($C144="TARIH_BOS",$C144="VKN_UZUNLUK",$C144="TUTAR_NEGATIF",$C144="DONEM_EKSIK"),$C144,"TANIMSIZ"))</f>
        <v/>
      </c>
      <c r="G144" s="16">
        <f>IF($C144="","",1)</f>
        <v/>
      </c>
    </row>
    <row r="145">
      <c r="A145" s="16">
        <f>IF('VERI_A'!$A145="","",ROW()-ROW(tblVeriA[[#Headers]]))</f>
        <v/>
      </c>
      <c r="B145" s="23">
        <f>IF('VERI_A'!$A145="","",'VERI_A'!$A145)</f>
        <v/>
      </c>
      <c r="C145" s="16">
        <f>IF($B145="","",IF(OR('VERI_A'!$B145="",'VERI_A'!$B145=0),"TARIH_BOS",IF(LEN(TRIM('VERI_A'!$C145&amp;""))&lt;&gt;dbe_vknUzunluk,"VKN_UZUNLUK",IF('VERI_A'!$G145&lt;0,"TUTAR_NEGATIF",IF('VERI_A'!$I145="","DONEM_EKSIK",""))))</f>
        <v/>
      </c>
      <c r="D145" s="16">
        <f>IF($C145="","",IF($C145="TARIH_BOS","Belge tarihi zorunlu",IF($C145="VKN_UZUNLUK","VKN 10 hane olmalı",IF($C145="TUTAR_NEGATIF","Toplam negatif olamaz",IF($C145="DONEM_EKSIK","Dönem zorunlu","Elle incele"))))</f>
        <v/>
      </c>
      <c r="E145" s="16">
        <f>IF($C145="","",IF(OR($C145="TUTAR_NEGATIF",$C145="TARIH_BOS"),"YUKSEK","ORTA"))</f>
        <v/>
      </c>
      <c r="F145" s="16">
        <f>IF($C145="","",IF(OR($C145="TARIH_BOS",$C145="VKN_UZUNLUK",$C145="TUTAR_NEGATIF",$C145="DONEM_EKSIK"),$C145,"TANIMSIZ"))</f>
        <v/>
      </c>
      <c r="G145" s="16">
        <f>IF($C145="","",1)</f>
        <v/>
      </c>
    </row>
    <row r="146">
      <c r="A146" s="16">
        <f>IF('VERI_A'!$A146="","",ROW()-ROW(tblVeriA[[#Headers]]))</f>
        <v/>
      </c>
      <c r="B146" s="23">
        <f>IF('VERI_A'!$A146="","",'VERI_A'!$A146)</f>
        <v/>
      </c>
      <c r="C146" s="16">
        <f>IF($B146="","",IF(OR('VERI_A'!$B146="",'VERI_A'!$B146=0),"TARIH_BOS",IF(LEN(TRIM('VERI_A'!$C146&amp;""))&lt;&gt;dbe_vknUzunluk,"VKN_UZUNLUK",IF('VERI_A'!$G146&lt;0,"TUTAR_NEGATIF",IF('VERI_A'!$I146="","DONEM_EKSIK",""))))</f>
        <v/>
      </c>
      <c r="D146" s="16">
        <f>IF($C146="","",IF($C146="TARIH_BOS","Belge tarihi zorunlu",IF($C146="VKN_UZUNLUK","VKN 10 hane olmalı",IF($C146="TUTAR_NEGATIF","Toplam negatif olamaz",IF($C146="DONEM_EKSIK","Dönem zorunlu","Elle incele"))))</f>
        <v/>
      </c>
      <c r="E146" s="16">
        <f>IF($C146="","",IF(OR($C146="TUTAR_NEGATIF",$C146="TARIH_BOS"),"YUKSEK","ORTA"))</f>
        <v/>
      </c>
      <c r="F146" s="16">
        <f>IF($C146="","",IF(OR($C146="TARIH_BOS",$C146="VKN_UZUNLUK",$C146="TUTAR_NEGATIF",$C146="DONEM_EKSIK"),$C146,"TANIMSIZ"))</f>
        <v/>
      </c>
      <c r="G146" s="16">
        <f>IF($C146="","",1)</f>
        <v/>
      </c>
    </row>
    <row r="147">
      <c r="A147" s="16">
        <f>IF('VERI_A'!$A147="","",ROW()-ROW(tblVeriA[[#Headers]]))</f>
        <v/>
      </c>
      <c r="B147" s="23">
        <f>IF('VERI_A'!$A147="","",'VERI_A'!$A147)</f>
        <v/>
      </c>
      <c r="C147" s="16">
        <f>IF($B147="","",IF(OR('VERI_A'!$B147="",'VERI_A'!$B147=0),"TARIH_BOS",IF(LEN(TRIM('VERI_A'!$C147&amp;""))&lt;&gt;dbe_vknUzunluk,"VKN_UZUNLUK",IF('VERI_A'!$G147&lt;0,"TUTAR_NEGATIF",IF('VERI_A'!$I147="","DONEM_EKSIK",""))))</f>
        <v/>
      </c>
      <c r="D147" s="16">
        <f>IF($C147="","",IF($C147="TARIH_BOS","Belge tarihi zorunlu",IF($C147="VKN_UZUNLUK","VKN 10 hane olmalı",IF($C147="TUTAR_NEGATIF","Toplam negatif olamaz",IF($C147="DONEM_EKSIK","Dönem zorunlu","Elle incele"))))</f>
        <v/>
      </c>
      <c r="E147" s="16">
        <f>IF($C147="","",IF(OR($C147="TUTAR_NEGATIF",$C147="TARIH_BOS"),"YUKSEK","ORTA"))</f>
        <v/>
      </c>
      <c r="F147" s="16">
        <f>IF($C147="","",IF(OR($C147="TARIH_BOS",$C147="VKN_UZUNLUK",$C147="TUTAR_NEGATIF",$C147="DONEM_EKSIK"),$C147,"TANIMSIZ"))</f>
        <v/>
      </c>
      <c r="G147" s="16">
        <f>IF($C147="","",1)</f>
        <v/>
      </c>
    </row>
    <row r="148">
      <c r="A148" s="16">
        <f>IF('VERI_A'!$A148="","",ROW()-ROW(tblVeriA[[#Headers]]))</f>
        <v/>
      </c>
      <c r="B148" s="23">
        <f>IF('VERI_A'!$A148="","",'VERI_A'!$A148)</f>
        <v/>
      </c>
      <c r="C148" s="16">
        <f>IF($B148="","",IF(OR('VERI_A'!$B148="",'VERI_A'!$B148=0),"TARIH_BOS",IF(LEN(TRIM('VERI_A'!$C148&amp;""))&lt;&gt;dbe_vknUzunluk,"VKN_UZUNLUK",IF('VERI_A'!$G148&lt;0,"TUTAR_NEGATIF",IF('VERI_A'!$I148="","DONEM_EKSIK",""))))</f>
        <v/>
      </c>
      <c r="D148" s="16">
        <f>IF($C148="","",IF($C148="TARIH_BOS","Belge tarihi zorunlu",IF($C148="VKN_UZUNLUK","VKN 10 hane olmalı",IF($C148="TUTAR_NEGATIF","Toplam negatif olamaz",IF($C148="DONEM_EKSIK","Dönem zorunlu","Elle incele"))))</f>
        <v/>
      </c>
      <c r="E148" s="16">
        <f>IF($C148="","",IF(OR($C148="TUTAR_NEGATIF",$C148="TARIH_BOS"),"YUKSEK","ORTA"))</f>
        <v/>
      </c>
      <c r="F148" s="16">
        <f>IF($C148="","",IF(OR($C148="TARIH_BOS",$C148="VKN_UZUNLUK",$C148="TUTAR_NEGATIF",$C148="DONEM_EKSIK"),$C148,"TANIMSIZ"))</f>
        <v/>
      </c>
      <c r="G148" s="16">
        <f>IF($C148="","",1)</f>
        <v/>
      </c>
    </row>
    <row r="149">
      <c r="A149" s="16">
        <f>IF('VERI_A'!$A149="","",ROW()-ROW(tblVeriA[[#Headers]]))</f>
        <v/>
      </c>
      <c r="B149" s="23">
        <f>IF('VERI_A'!$A149="","",'VERI_A'!$A149)</f>
        <v/>
      </c>
      <c r="C149" s="16">
        <f>IF($B149="","",IF(OR('VERI_A'!$B149="",'VERI_A'!$B149=0),"TARIH_BOS",IF(LEN(TRIM('VERI_A'!$C149&amp;""))&lt;&gt;dbe_vknUzunluk,"VKN_UZUNLUK",IF('VERI_A'!$G149&lt;0,"TUTAR_NEGATIF",IF('VERI_A'!$I149="","DONEM_EKSIK",""))))</f>
        <v/>
      </c>
      <c r="D149" s="16">
        <f>IF($C149="","",IF($C149="TARIH_BOS","Belge tarihi zorunlu",IF($C149="VKN_UZUNLUK","VKN 10 hane olmalı",IF($C149="TUTAR_NEGATIF","Toplam negatif olamaz",IF($C149="DONEM_EKSIK","Dönem zorunlu","Elle incele"))))</f>
        <v/>
      </c>
      <c r="E149" s="16">
        <f>IF($C149="","",IF(OR($C149="TUTAR_NEGATIF",$C149="TARIH_BOS"),"YUKSEK","ORTA"))</f>
        <v/>
      </c>
      <c r="F149" s="16">
        <f>IF($C149="","",IF(OR($C149="TARIH_BOS",$C149="VKN_UZUNLUK",$C149="TUTAR_NEGATIF",$C149="DONEM_EKSIK"),$C149,"TANIMSIZ"))</f>
        <v/>
      </c>
      <c r="G149" s="16">
        <f>IF($C149="","",1)</f>
        <v/>
      </c>
    </row>
    <row r="150">
      <c r="A150" s="16">
        <f>IF('VERI_A'!$A150="","",ROW()-ROW(tblVeriA[[#Headers]]))</f>
        <v/>
      </c>
      <c r="B150" s="23">
        <f>IF('VERI_A'!$A150="","",'VERI_A'!$A150)</f>
        <v/>
      </c>
      <c r="C150" s="16">
        <f>IF($B150="","",IF(OR('VERI_A'!$B150="",'VERI_A'!$B150=0),"TARIH_BOS",IF(LEN(TRIM('VERI_A'!$C150&amp;""))&lt;&gt;dbe_vknUzunluk,"VKN_UZUNLUK",IF('VERI_A'!$G150&lt;0,"TUTAR_NEGATIF",IF('VERI_A'!$I150="","DONEM_EKSIK",""))))</f>
        <v/>
      </c>
      <c r="D150" s="16">
        <f>IF($C150="","",IF($C150="TARIH_BOS","Belge tarihi zorunlu",IF($C150="VKN_UZUNLUK","VKN 10 hane olmalı",IF($C150="TUTAR_NEGATIF","Toplam negatif olamaz",IF($C150="DONEM_EKSIK","Dönem zorunlu","Elle incele"))))</f>
        <v/>
      </c>
      <c r="E150" s="16">
        <f>IF($C150="","",IF(OR($C150="TUTAR_NEGATIF",$C150="TARIH_BOS"),"YUKSEK","ORTA"))</f>
        <v/>
      </c>
      <c r="F150" s="16">
        <f>IF($C150="","",IF(OR($C150="TARIH_BOS",$C150="VKN_UZUNLUK",$C150="TUTAR_NEGATIF",$C150="DONEM_EKSIK"),$C150,"TANIMSIZ"))</f>
        <v/>
      </c>
      <c r="G150" s="16">
        <f>IF($C150="","",1)</f>
        <v/>
      </c>
    </row>
    <row r="151">
      <c r="A151" s="16">
        <f>IF('VERI_A'!$A151="","",ROW()-ROW(tblVeriA[[#Headers]]))</f>
        <v/>
      </c>
      <c r="B151" s="23">
        <f>IF('VERI_A'!$A151="","",'VERI_A'!$A151)</f>
        <v/>
      </c>
      <c r="C151" s="16">
        <f>IF($B151="","",IF(OR('VERI_A'!$B151="",'VERI_A'!$B151=0),"TARIH_BOS",IF(LEN(TRIM('VERI_A'!$C151&amp;""))&lt;&gt;dbe_vknUzunluk,"VKN_UZUNLUK",IF('VERI_A'!$G151&lt;0,"TUTAR_NEGATIF",IF('VERI_A'!$I151="","DONEM_EKSIK",""))))</f>
        <v/>
      </c>
      <c r="D151" s="16">
        <f>IF($C151="","",IF($C151="TARIH_BOS","Belge tarihi zorunlu",IF($C151="VKN_UZUNLUK","VKN 10 hane olmalı",IF($C151="TUTAR_NEGATIF","Toplam negatif olamaz",IF($C151="DONEM_EKSIK","Dönem zorunlu","Elle incele"))))</f>
        <v/>
      </c>
      <c r="E151" s="16">
        <f>IF($C151="","",IF(OR($C151="TUTAR_NEGATIF",$C151="TARIH_BOS"),"YUKSEK","ORTA"))</f>
        <v/>
      </c>
      <c r="F151" s="16">
        <f>IF($C151="","",IF(OR($C151="TARIH_BOS",$C151="VKN_UZUNLUK",$C151="TUTAR_NEGATIF",$C151="DONEM_EKSIK"),$C151,"TANIMSIZ"))</f>
        <v/>
      </c>
      <c r="G151" s="16">
        <f>IF($C151="","",1)</f>
        <v/>
      </c>
    </row>
    <row r="152">
      <c r="A152" s="16">
        <f>IF('VERI_A'!$A152="","",ROW()-ROW(tblVeriA[[#Headers]]))</f>
        <v/>
      </c>
      <c r="B152" s="23">
        <f>IF('VERI_A'!$A152="","",'VERI_A'!$A152)</f>
        <v/>
      </c>
      <c r="C152" s="16">
        <f>IF($B152="","",IF(OR('VERI_A'!$B152="",'VERI_A'!$B152=0),"TARIH_BOS",IF(LEN(TRIM('VERI_A'!$C152&amp;""))&lt;&gt;dbe_vknUzunluk,"VKN_UZUNLUK",IF('VERI_A'!$G152&lt;0,"TUTAR_NEGATIF",IF('VERI_A'!$I152="","DONEM_EKSIK",""))))</f>
        <v/>
      </c>
      <c r="D152" s="16">
        <f>IF($C152="","",IF($C152="TARIH_BOS","Belge tarihi zorunlu",IF($C152="VKN_UZUNLUK","VKN 10 hane olmalı",IF($C152="TUTAR_NEGATIF","Toplam negatif olamaz",IF($C152="DONEM_EKSIK","Dönem zorunlu","Elle incele"))))</f>
        <v/>
      </c>
      <c r="E152" s="16">
        <f>IF($C152="","",IF(OR($C152="TUTAR_NEGATIF",$C152="TARIH_BOS"),"YUKSEK","ORTA"))</f>
        <v/>
      </c>
      <c r="F152" s="16">
        <f>IF($C152="","",IF(OR($C152="TARIH_BOS",$C152="VKN_UZUNLUK",$C152="TUTAR_NEGATIF",$C152="DONEM_EKSIK"),$C152,"TANIMSIZ"))</f>
        <v/>
      </c>
      <c r="G152" s="16">
        <f>IF($C152="","",1)</f>
        <v/>
      </c>
    </row>
    <row r="153">
      <c r="A153" s="16">
        <f>IF('VERI_A'!$A153="","",ROW()-ROW(tblVeriA[[#Headers]]))</f>
        <v/>
      </c>
      <c r="B153" s="23">
        <f>IF('VERI_A'!$A153="","",'VERI_A'!$A153)</f>
        <v/>
      </c>
      <c r="C153" s="16">
        <f>IF($B153="","",IF(OR('VERI_A'!$B153="",'VERI_A'!$B153=0),"TARIH_BOS",IF(LEN(TRIM('VERI_A'!$C153&amp;""))&lt;&gt;dbe_vknUzunluk,"VKN_UZUNLUK",IF('VERI_A'!$G153&lt;0,"TUTAR_NEGATIF",IF('VERI_A'!$I153="","DONEM_EKSIK",""))))</f>
        <v/>
      </c>
      <c r="D153" s="16">
        <f>IF($C153="","",IF($C153="TARIH_BOS","Belge tarihi zorunlu",IF($C153="VKN_UZUNLUK","VKN 10 hane olmalı",IF($C153="TUTAR_NEGATIF","Toplam negatif olamaz",IF($C153="DONEM_EKSIK","Dönem zorunlu","Elle incele"))))</f>
        <v/>
      </c>
      <c r="E153" s="16">
        <f>IF($C153="","",IF(OR($C153="TUTAR_NEGATIF",$C153="TARIH_BOS"),"YUKSEK","ORTA"))</f>
        <v/>
      </c>
      <c r="F153" s="16">
        <f>IF($C153="","",IF(OR($C153="TARIH_BOS",$C153="VKN_UZUNLUK",$C153="TUTAR_NEGATIF",$C153="DONEM_EKSIK"),$C153,"TANIMSIZ"))</f>
        <v/>
      </c>
      <c r="G153" s="16">
        <f>IF($C153="","",1)</f>
        <v/>
      </c>
    </row>
    <row r="154">
      <c r="A154" s="16">
        <f>IF('VERI_A'!$A154="","",ROW()-ROW(tblVeriA[[#Headers]]))</f>
        <v/>
      </c>
      <c r="B154" s="23">
        <f>IF('VERI_A'!$A154="","",'VERI_A'!$A154)</f>
        <v/>
      </c>
      <c r="C154" s="16">
        <f>IF($B154="","",IF(OR('VERI_A'!$B154="",'VERI_A'!$B154=0),"TARIH_BOS",IF(LEN(TRIM('VERI_A'!$C154&amp;""))&lt;&gt;dbe_vknUzunluk,"VKN_UZUNLUK",IF('VERI_A'!$G154&lt;0,"TUTAR_NEGATIF",IF('VERI_A'!$I154="","DONEM_EKSIK",""))))</f>
        <v/>
      </c>
      <c r="D154" s="16">
        <f>IF($C154="","",IF($C154="TARIH_BOS","Belge tarihi zorunlu",IF($C154="VKN_UZUNLUK","VKN 10 hane olmalı",IF($C154="TUTAR_NEGATIF","Toplam negatif olamaz",IF($C154="DONEM_EKSIK","Dönem zorunlu","Elle incele"))))</f>
        <v/>
      </c>
      <c r="E154" s="16">
        <f>IF($C154="","",IF(OR($C154="TUTAR_NEGATIF",$C154="TARIH_BOS"),"YUKSEK","ORTA"))</f>
        <v/>
      </c>
      <c r="F154" s="16">
        <f>IF($C154="","",IF(OR($C154="TARIH_BOS",$C154="VKN_UZUNLUK",$C154="TUTAR_NEGATIF",$C154="DONEM_EKSIK"),$C154,"TANIMSIZ"))</f>
        <v/>
      </c>
      <c r="G154" s="16">
        <f>IF($C154="","",1)</f>
        <v/>
      </c>
    </row>
    <row r="155">
      <c r="A155" s="16">
        <f>IF('VERI_A'!$A155="","",ROW()-ROW(tblVeriA[[#Headers]]))</f>
        <v/>
      </c>
      <c r="B155" s="23">
        <f>IF('VERI_A'!$A155="","",'VERI_A'!$A155)</f>
        <v/>
      </c>
      <c r="C155" s="16">
        <f>IF($B155="","",IF(OR('VERI_A'!$B155="",'VERI_A'!$B155=0),"TARIH_BOS",IF(LEN(TRIM('VERI_A'!$C155&amp;""))&lt;&gt;dbe_vknUzunluk,"VKN_UZUNLUK",IF('VERI_A'!$G155&lt;0,"TUTAR_NEGATIF",IF('VERI_A'!$I155="","DONEM_EKSIK",""))))</f>
        <v/>
      </c>
      <c r="D155" s="16">
        <f>IF($C155="","",IF($C155="TARIH_BOS","Belge tarihi zorunlu",IF($C155="VKN_UZUNLUK","VKN 10 hane olmalı",IF($C155="TUTAR_NEGATIF","Toplam negatif olamaz",IF($C155="DONEM_EKSIK","Dönem zorunlu","Elle incele"))))</f>
        <v/>
      </c>
      <c r="E155" s="16">
        <f>IF($C155="","",IF(OR($C155="TUTAR_NEGATIF",$C155="TARIH_BOS"),"YUKSEK","ORTA"))</f>
        <v/>
      </c>
      <c r="F155" s="16">
        <f>IF($C155="","",IF(OR($C155="TARIH_BOS",$C155="VKN_UZUNLUK",$C155="TUTAR_NEGATIF",$C155="DONEM_EKSIK"),$C155,"TANIMSIZ"))</f>
        <v/>
      </c>
      <c r="G155" s="16">
        <f>IF($C155="","",1)</f>
        <v/>
      </c>
    </row>
    <row r="156">
      <c r="A156" s="16">
        <f>IF('VERI_A'!$A156="","",ROW()-ROW(tblVeriA[[#Headers]]))</f>
        <v/>
      </c>
      <c r="B156" s="23">
        <f>IF('VERI_A'!$A156="","",'VERI_A'!$A156)</f>
        <v/>
      </c>
      <c r="C156" s="16">
        <f>IF($B156="","",IF(OR('VERI_A'!$B156="",'VERI_A'!$B156=0),"TARIH_BOS",IF(LEN(TRIM('VERI_A'!$C156&amp;""))&lt;&gt;dbe_vknUzunluk,"VKN_UZUNLUK",IF('VERI_A'!$G156&lt;0,"TUTAR_NEGATIF",IF('VERI_A'!$I156="","DONEM_EKSIK",""))))</f>
        <v/>
      </c>
      <c r="D156" s="16">
        <f>IF($C156="","",IF($C156="TARIH_BOS","Belge tarihi zorunlu",IF($C156="VKN_UZUNLUK","VKN 10 hane olmalı",IF($C156="TUTAR_NEGATIF","Toplam negatif olamaz",IF($C156="DONEM_EKSIK","Dönem zorunlu","Elle incele"))))</f>
        <v/>
      </c>
      <c r="E156" s="16">
        <f>IF($C156="","",IF(OR($C156="TUTAR_NEGATIF",$C156="TARIH_BOS"),"YUKSEK","ORTA"))</f>
        <v/>
      </c>
      <c r="F156" s="16">
        <f>IF($C156="","",IF(OR($C156="TARIH_BOS",$C156="VKN_UZUNLUK",$C156="TUTAR_NEGATIF",$C156="DONEM_EKSIK"),$C156,"TANIMSIZ"))</f>
        <v/>
      </c>
      <c r="G156" s="16">
        <f>IF($C156="","",1)</f>
        <v/>
      </c>
    </row>
    <row r="157">
      <c r="A157" s="16">
        <f>IF('VERI_A'!$A157="","",ROW()-ROW(tblVeriA[[#Headers]]))</f>
        <v/>
      </c>
      <c r="B157" s="23">
        <f>IF('VERI_A'!$A157="","",'VERI_A'!$A157)</f>
        <v/>
      </c>
      <c r="C157" s="16">
        <f>IF($B157="","",IF(OR('VERI_A'!$B157="",'VERI_A'!$B157=0),"TARIH_BOS",IF(LEN(TRIM('VERI_A'!$C157&amp;""))&lt;&gt;dbe_vknUzunluk,"VKN_UZUNLUK",IF('VERI_A'!$G157&lt;0,"TUTAR_NEGATIF",IF('VERI_A'!$I157="","DONEM_EKSIK",""))))</f>
        <v/>
      </c>
      <c r="D157" s="16">
        <f>IF($C157="","",IF($C157="TARIH_BOS","Belge tarihi zorunlu",IF($C157="VKN_UZUNLUK","VKN 10 hane olmalı",IF($C157="TUTAR_NEGATIF","Toplam negatif olamaz",IF($C157="DONEM_EKSIK","Dönem zorunlu","Elle incele"))))</f>
        <v/>
      </c>
      <c r="E157" s="16">
        <f>IF($C157="","",IF(OR($C157="TUTAR_NEGATIF",$C157="TARIH_BOS"),"YUKSEK","ORTA"))</f>
        <v/>
      </c>
      <c r="F157" s="16">
        <f>IF($C157="","",IF(OR($C157="TARIH_BOS",$C157="VKN_UZUNLUK",$C157="TUTAR_NEGATIF",$C157="DONEM_EKSIK"),$C157,"TANIMSIZ"))</f>
        <v/>
      </c>
      <c r="G157" s="16">
        <f>IF($C157="","",1)</f>
        <v/>
      </c>
    </row>
    <row r="158">
      <c r="A158" s="16">
        <f>IF('VERI_A'!$A158="","",ROW()-ROW(tblVeriA[[#Headers]]))</f>
        <v/>
      </c>
      <c r="B158" s="23">
        <f>IF('VERI_A'!$A158="","",'VERI_A'!$A158)</f>
        <v/>
      </c>
      <c r="C158" s="16">
        <f>IF($B158="","",IF(OR('VERI_A'!$B158="",'VERI_A'!$B158=0),"TARIH_BOS",IF(LEN(TRIM('VERI_A'!$C158&amp;""))&lt;&gt;dbe_vknUzunluk,"VKN_UZUNLUK",IF('VERI_A'!$G158&lt;0,"TUTAR_NEGATIF",IF('VERI_A'!$I158="","DONEM_EKSIK",""))))</f>
        <v/>
      </c>
      <c r="D158" s="16">
        <f>IF($C158="","",IF($C158="TARIH_BOS","Belge tarihi zorunlu",IF($C158="VKN_UZUNLUK","VKN 10 hane olmalı",IF($C158="TUTAR_NEGATIF","Toplam negatif olamaz",IF($C158="DONEM_EKSIK","Dönem zorunlu","Elle incele"))))</f>
        <v/>
      </c>
      <c r="E158" s="16">
        <f>IF($C158="","",IF(OR($C158="TUTAR_NEGATIF",$C158="TARIH_BOS"),"YUKSEK","ORTA"))</f>
        <v/>
      </c>
      <c r="F158" s="16">
        <f>IF($C158="","",IF(OR($C158="TARIH_BOS",$C158="VKN_UZUNLUK",$C158="TUTAR_NEGATIF",$C158="DONEM_EKSIK"),$C158,"TANIMSIZ"))</f>
        <v/>
      </c>
      <c r="G158" s="16">
        <f>IF($C158="","",1)</f>
        <v/>
      </c>
    </row>
    <row r="159">
      <c r="A159" s="16">
        <f>IF('VERI_A'!$A159="","",ROW()-ROW(tblVeriA[[#Headers]]))</f>
        <v/>
      </c>
      <c r="B159" s="23">
        <f>IF('VERI_A'!$A159="","",'VERI_A'!$A159)</f>
        <v/>
      </c>
      <c r="C159" s="16">
        <f>IF($B159="","",IF(OR('VERI_A'!$B159="",'VERI_A'!$B159=0),"TARIH_BOS",IF(LEN(TRIM('VERI_A'!$C159&amp;""))&lt;&gt;dbe_vknUzunluk,"VKN_UZUNLUK",IF('VERI_A'!$G159&lt;0,"TUTAR_NEGATIF",IF('VERI_A'!$I159="","DONEM_EKSIK",""))))</f>
        <v/>
      </c>
      <c r="D159" s="16">
        <f>IF($C159="","",IF($C159="TARIH_BOS","Belge tarihi zorunlu",IF($C159="VKN_UZUNLUK","VKN 10 hane olmalı",IF($C159="TUTAR_NEGATIF","Toplam negatif olamaz",IF($C159="DONEM_EKSIK","Dönem zorunlu","Elle incele"))))</f>
        <v/>
      </c>
      <c r="E159" s="16">
        <f>IF($C159="","",IF(OR($C159="TUTAR_NEGATIF",$C159="TARIH_BOS"),"YUKSEK","ORTA"))</f>
        <v/>
      </c>
      <c r="F159" s="16">
        <f>IF($C159="","",IF(OR($C159="TARIH_BOS",$C159="VKN_UZUNLUK",$C159="TUTAR_NEGATIF",$C159="DONEM_EKSIK"),$C159,"TANIMSIZ"))</f>
        <v/>
      </c>
      <c r="G159" s="16">
        <f>IF($C159="","",1)</f>
        <v/>
      </c>
    </row>
    <row r="160">
      <c r="A160" s="16">
        <f>IF('VERI_A'!$A160="","",ROW()-ROW(tblVeriA[[#Headers]]))</f>
        <v/>
      </c>
      <c r="B160" s="23">
        <f>IF('VERI_A'!$A160="","",'VERI_A'!$A160)</f>
        <v/>
      </c>
      <c r="C160" s="16">
        <f>IF($B160="","",IF(OR('VERI_A'!$B160="",'VERI_A'!$B160=0),"TARIH_BOS",IF(LEN(TRIM('VERI_A'!$C160&amp;""))&lt;&gt;dbe_vknUzunluk,"VKN_UZUNLUK",IF('VERI_A'!$G160&lt;0,"TUTAR_NEGATIF",IF('VERI_A'!$I160="","DONEM_EKSIK",""))))</f>
        <v/>
      </c>
      <c r="D160" s="16">
        <f>IF($C160="","",IF($C160="TARIH_BOS","Belge tarihi zorunlu",IF($C160="VKN_UZUNLUK","VKN 10 hane olmalı",IF($C160="TUTAR_NEGATIF","Toplam negatif olamaz",IF($C160="DONEM_EKSIK","Dönem zorunlu","Elle incele"))))</f>
        <v/>
      </c>
      <c r="E160" s="16">
        <f>IF($C160="","",IF(OR($C160="TUTAR_NEGATIF",$C160="TARIH_BOS"),"YUKSEK","ORTA"))</f>
        <v/>
      </c>
      <c r="F160" s="16">
        <f>IF($C160="","",IF(OR($C160="TARIH_BOS",$C160="VKN_UZUNLUK",$C160="TUTAR_NEGATIF",$C160="DONEM_EKSIK"),$C160,"TANIMSIZ"))</f>
        <v/>
      </c>
      <c r="G160" s="16">
        <f>IF($C160="","",1)</f>
        <v/>
      </c>
    </row>
    <row r="161">
      <c r="A161" s="16">
        <f>IF('VERI_A'!$A161="","",ROW()-ROW(tblVeriA[[#Headers]]))</f>
        <v/>
      </c>
      <c r="B161" s="23">
        <f>IF('VERI_A'!$A161="","",'VERI_A'!$A161)</f>
        <v/>
      </c>
      <c r="C161" s="16">
        <f>IF($B161="","",IF(OR('VERI_A'!$B161="",'VERI_A'!$B161=0),"TARIH_BOS",IF(LEN(TRIM('VERI_A'!$C161&amp;""))&lt;&gt;dbe_vknUzunluk,"VKN_UZUNLUK",IF('VERI_A'!$G161&lt;0,"TUTAR_NEGATIF",IF('VERI_A'!$I161="","DONEM_EKSIK",""))))</f>
        <v/>
      </c>
      <c r="D161" s="16">
        <f>IF($C161="","",IF($C161="TARIH_BOS","Belge tarihi zorunlu",IF($C161="VKN_UZUNLUK","VKN 10 hane olmalı",IF($C161="TUTAR_NEGATIF","Toplam negatif olamaz",IF($C161="DONEM_EKSIK","Dönem zorunlu","Elle incele"))))</f>
        <v/>
      </c>
      <c r="E161" s="16">
        <f>IF($C161="","",IF(OR($C161="TUTAR_NEGATIF",$C161="TARIH_BOS"),"YUKSEK","ORTA"))</f>
        <v/>
      </c>
      <c r="F161" s="16">
        <f>IF($C161="","",IF(OR($C161="TARIH_BOS",$C161="VKN_UZUNLUK",$C161="TUTAR_NEGATIF",$C161="DONEM_EKSIK"),$C161,"TANIMSIZ"))</f>
        <v/>
      </c>
      <c r="G161" s="16">
        <f>IF($C161="","",1)</f>
        <v/>
      </c>
    </row>
    <row r="162">
      <c r="A162" s="16">
        <f>IF('VERI_A'!$A162="","",ROW()-ROW(tblVeriA[[#Headers]]))</f>
        <v/>
      </c>
      <c r="B162" s="23">
        <f>IF('VERI_A'!$A162="","",'VERI_A'!$A162)</f>
        <v/>
      </c>
      <c r="C162" s="16">
        <f>IF($B162="","",IF(OR('VERI_A'!$B162="",'VERI_A'!$B162=0),"TARIH_BOS",IF(LEN(TRIM('VERI_A'!$C162&amp;""))&lt;&gt;dbe_vknUzunluk,"VKN_UZUNLUK",IF('VERI_A'!$G162&lt;0,"TUTAR_NEGATIF",IF('VERI_A'!$I162="","DONEM_EKSIK",""))))</f>
        <v/>
      </c>
      <c r="D162" s="16">
        <f>IF($C162="","",IF($C162="TARIH_BOS","Belge tarihi zorunlu",IF($C162="VKN_UZUNLUK","VKN 10 hane olmalı",IF($C162="TUTAR_NEGATIF","Toplam negatif olamaz",IF($C162="DONEM_EKSIK","Dönem zorunlu","Elle incele"))))</f>
        <v/>
      </c>
      <c r="E162" s="16">
        <f>IF($C162="","",IF(OR($C162="TUTAR_NEGATIF",$C162="TARIH_BOS"),"YUKSEK","ORTA"))</f>
        <v/>
      </c>
      <c r="F162" s="16">
        <f>IF($C162="","",IF(OR($C162="TARIH_BOS",$C162="VKN_UZUNLUK",$C162="TUTAR_NEGATIF",$C162="DONEM_EKSIK"),$C162,"TANIMSIZ"))</f>
        <v/>
      </c>
      <c r="G162" s="16">
        <f>IF($C162="","",1)</f>
        <v/>
      </c>
    </row>
    <row r="163">
      <c r="A163" s="16">
        <f>IF('VERI_A'!$A163="","",ROW()-ROW(tblVeriA[[#Headers]]))</f>
        <v/>
      </c>
      <c r="B163" s="23">
        <f>IF('VERI_A'!$A163="","",'VERI_A'!$A163)</f>
        <v/>
      </c>
      <c r="C163" s="16">
        <f>IF($B163="","",IF(OR('VERI_A'!$B163="",'VERI_A'!$B163=0),"TARIH_BOS",IF(LEN(TRIM('VERI_A'!$C163&amp;""))&lt;&gt;dbe_vknUzunluk,"VKN_UZUNLUK",IF('VERI_A'!$G163&lt;0,"TUTAR_NEGATIF",IF('VERI_A'!$I163="","DONEM_EKSIK",""))))</f>
        <v/>
      </c>
      <c r="D163" s="16">
        <f>IF($C163="","",IF($C163="TARIH_BOS","Belge tarihi zorunlu",IF($C163="VKN_UZUNLUK","VKN 10 hane olmalı",IF($C163="TUTAR_NEGATIF","Toplam negatif olamaz",IF($C163="DONEM_EKSIK","Dönem zorunlu","Elle incele"))))</f>
        <v/>
      </c>
      <c r="E163" s="16">
        <f>IF($C163="","",IF(OR($C163="TUTAR_NEGATIF",$C163="TARIH_BOS"),"YUKSEK","ORTA"))</f>
        <v/>
      </c>
      <c r="F163" s="16">
        <f>IF($C163="","",IF(OR($C163="TARIH_BOS",$C163="VKN_UZUNLUK",$C163="TUTAR_NEGATIF",$C163="DONEM_EKSIK"),$C163,"TANIMSIZ"))</f>
        <v/>
      </c>
      <c r="G163" s="16">
        <f>IF($C163="","",1)</f>
        <v/>
      </c>
    </row>
    <row r="164">
      <c r="A164" s="16">
        <f>IF('VERI_A'!$A164="","",ROW()-ROW(tblVeriA[[#Headers]]))</f>
        <v/>
      </c>
      <c r="B164" s="23">
        <f>IF('VERI_A'!$A164="","",'VERI_A'!$A164)</f>
        <v/>
      </c>
      <c r="C164" s="16">
        <f>IF($B164="","",IF(OR('VERI_A'!$B164="",'VERI_A'!$B164=0),"TARIH_BOS",IF(LEN(TRIM('VERI_A'!$C164&amp;""))&lt;&gt;dbe_vknUzunluk,"VKN_UZUNLUK",IF('VERI_A'!$G164&lt;0,"TUTAR_NEGATIF",IF('VERI_A'!$I164="","DONEM_EKSIK",""))))</f>
        <v/>
      </c>
      <c r="D164" s="16">
        <f>IF($C164="","",IF($C164="TARIH_BOS","Belge tarihi zorunlu",IF($C164="VKN_UZUNLUK","VKN 10 hane olmalı",IF($C164="TUTAR_NEGATIF","Toplam negatif olamaz",IF($C164="DONEM_EKSIK","Dönem zorunlu","Elle incele"))))</f>
        <v/>
      </c>
      <c r="E164" s="16">
        <f>IF($C164="","",IF(OR($C164="TUTAR_NEGATIF",$C164="TARIH_BOS"),"YUKSEK","ORTA"))</f>
        <v/>
      </c>
      <c r="F164" s="16">
        <f>IF($C164="","",IF(OR($C164="TARIH_BOS",$C164="VKN_UZUNLUK",$C164="TUTAR_NEGATIF",$C164="DONEM_EKSIK"),$C164,"TANIMSIZ"))</f>
        <v/>
      </c>
      <c r="G164" s="16">
        <f>IF($C164="","",1)</f>
        <v/>
      </c>
    </row>
    <row r="165">
      <c r="A165" s="16">
        <f>IF('VERI_A'!$A165="","",ROW()-ROW(tblVeriA[[#Headers]]))</f>
        <v/>
      </c>
      <c r="B165" s="23">
        <f>IF('VERI_A'!$A165="","",'VERI_A'!$A165)</f>
        <v/>
      </c>
      <c r="C165" s="16">
        <f>IF($B165="","",IF(OR('VERI_A'!$B165="",'VERI_A'!$B165=0),"TARIH_BOS",IF(LEN(TRIM('VERI_A'!$C165&amp;""))&lt;&gt;dbe_vknUzunluk,"VKN_UZUNLUK",IF('VERI_A'!$G165&lt;0,"TUTAR_NEGATIF",IF('VERI_A'!$I165="","DONEM_EKSIK",""))))</f>
        <v/>
      </c>
      <c r="D165" s="16">
        <f>IF($C165="","",IF($C165="TARIH_BOS","Belge tarihi zorunlu",IF($C165="VKN_UZUNLUK","VKN 10 hane olmalı",IF($C165="TUTAR_NEGATIF","Toplam negatif olamaz",IF($C165="DONEM_EKSIK","Dönem zorunlu","Elle incele"))))</f>
        <v/>
      </c>
      <c r="E165" s="16">
        <f>IF($C165="","",IF(OR($C165="TUTAR_NEGATIF",$C165="TARIH_BOS"),"YUKSEK","ORTA"))</f>
        <v/>
      </c>
      <c r="F165" s="16">
        <f>IF($C165="","",IF(OR($C165="TARIH_BOS",$C165="VKN_UZUNLUK",$C165="TUTAR_NEGATIF",$C165="DONEM_EKSIK"),$C165,"TANIMSIZ"))</f>
        <v/>
      </c>
      <c r="G165" s="16">
        <f>IF($C165="","",1)</f>
        <v/>
      </c>
    </row>
    <row r="166">
      <c r="A166" s="16">
        <f>IF('VERI_A'!$A166="","",ROW()-ROW(tblVeriA[[#Headers]]))</f>
        <v/>
      </c>
      <c r="B166" s="23">
        <f>IF('VERI_A'!$A166="","",'VERI_A'!$A166)</f>
        <v/>
      </c>
      <c r="C166" s="16">
        <f>IF($B166="","",IF(OR('VERI_A'!$B166="",'VERI_A'!$B166=0),"TARIH_BOS",IF(LEN(TRIM('VERI_A'!$C166&amp;""))&lt;&gt;dbe_vknUzunluk,"VKN_UZUNLUK",IF('VERI_A'!$G166&lt;0,"TUTAR_NEGATIF",IF('VERI_A'!$I166="","DONEM_EKSIK",""))))</f>
        <v/>
      </c>
      <c r="D166" s="16">
        <f>IF($C166="","",IF($C166="TARIH_BOS","Belge tarihi zorunlu",IF($C166="VKN_UZUNLUK","VKN 10 hane olmalı",IF($C166="TUTAR_NEGATIF","Toplam negatif olamaz",IF($C166="DONEM_EKSIK","Dönem zorunlu","Elle incele"))))</f>
        <v/>
      </c>
      <c r="E166" s="16">
        <f>IF($C166="","",IF(OR($C166="TUTAR_NEGATIF",$C166="TARIH_BOS"),"YUKSEK","ORTA"))</f>
        <v/>
      </c>
      <c r="F166" s="16">
        <f>IF($C166="","",IF(OR($C166="TARIH_BOS",$C166="VKN_UZUNLUK",$C166="TUTAR_NEGATIF",$C166="DONEM_EKSIK"),$C166,"TANIMSIZ"))</f>
        <v/>
      </c>
      <c r="G166" s="16">
        <f>IF($C166="","",1)</f>
        <v/>
      </c>
    </row>
    <row r="167">
      <c r="A167" s="16">
        <f>IF('VERI_A'!$A167="","",ROW()-ROW(tblVeriA[[#Headers]]))</f>
        <v/>
      </c>
      <c r="B167" s="23">
        <f>IF('VERI_A'!$A167="","",'VERI_A'!$A167)</f>
        <v/>
      </c>
      <c r="C167" s="16">
        <f>IF($B167="","",IF(OR('VERI_A'!$B167="",'VERI_A'!$B167=0),"TARIH_BOS",IF(LEN(TRIM('VERI_A'!$C167&amp;""))&lt;&gt;dbe_vknUzunluk,"VKN_UZUNLUK",IF('VERI_A'!$G167&lt;0,"TUTAR_NEGATIF",IF('VERI_A'!$I167="","DONEM_EKSIK",""))))</f>
        <v/>
      </c>
      <c r="D167" s="16">
        <f>IF($C167="","",IF($C167="TARIH_BOS","Belge tarihi zorunlu",IF($C167="VKN_UZUNLUK","VKN 10 hane olmalı",IF($C167="TUTAR_NEGATIF","Toplam negatif olamaz",IF($C167="DONEM_EKSIK","Dönem zorunlu","Elle incele"))))</f>
        <v/>
      </c>
      <c r="E167" s="16">
        <f>IF($C167="","",IF(OR($C167="TUTAR_NEGATIF",$C167="TARIH_BOS"),"YUKSEK","ORTA"))</f>
        <v/>
      </c>
      <c r="F167" s="16">
        <f>IF($C167="","",IF(OR($C167="TARIH_BOS",$C167="VKN_UZUNLUK",$C167="TUTAR_NEGATIF",$C167="DONEM_EKSIK"),$C167,"TANIMSIZ"))</f>
        <v/>
      </c>
      <c r="G167" s="16">
        <f>IF($C167="","",1)</f>
        <v/>
      </c>
    </row>
    <row r="168">
      <c r="A168" s="16">
        <f>IF('VERI_A'!$A168="","",ROW()-ROW(tblVeriA[[#Headers]]))</f>
        <v/>
      </c>
      <c r="B168" s="23">
        <f>IF('VERI_A'!$A168="","",'VERI_A'!$A168)</f>
        <v/>
      </c>
      <c r="C168" s="16">
        <f>IF($B168="","",IF(OR('VERI_A'!$B168="",'VERI_A'!$B168=0),"TARIH_BOS",IF(LEN(TRIM('VERI_A'!$C168&amp;""))&lt;&gt;dbe_vknUzunluk,"VKN_UZUNLUK",IF('VERI_A'!$G168&lt;0,"TUTAR_NEGATIF",IF('VERI_A'!$I168="","DONEM_EKSIK",""))))</f>
        <v/>
      </c>
      <c r="D168" s="16">
        <f>IF($C168="","",IF($C168="TARIH_BOS","Belge tarihi zorunlu",IF($C168="VKN_UZUNLUK","VKN 10 hane olmalı",IF($C168="TUTAR_NEGATIF","Toplam negatif olamaz",IF($C168="DONEM_EKSIK","Dönem zorunlu","Elle incele"))))</f>
        <v/>
      </c>
      <c r="E168" s="16">
        <f>IF($C168="","",IF(OR($C168="TUTAR_NEGATIF",$C168="TARIH_BOS"),"YUKSEK","ORTA"))</f>
        <v/>
      </c>
      <c r="F168" s="16">
        <f>IF($C168="","",IF(OR($C168="TARIH_BOS",$C168="VKN_UZUNLUK",$C168="TUTAR_NEGATIF",$C168="DONEM_EKSIK"),$C168,"TANIMSIZ"))</f>
        <v/>
      </c>
      <c r="G168" s="16">
        <f>IF($C168="","",1)</f>
        <v/>
      </c>
    </row>
    <row r="169">
      <c r="A169" s="16">
        <f>IF('VERI_A'!$A169="","",ROW()-ROW(tblVeriA[[#Headers]]))</f>
        <v/>
      </c>
      <c r="B169" s="23">
        <f>IF('VERI_A'!$A169="","",'VERI_A'!$A169)</f>
        <v/>
      </c>
      <c r="C169" s="16">
        <f>IF($B169="","",IF(OR('VERI_A'!$B169="",'VERI_A'!$B169=0),"TARIH_BOS",IF(LEN(TRIM('VERI_A'!$C169&amp;""))&lt;&gt;dbe_vknUzunluk,"VKN_UZUNLUK",IF('VERI_A'!$G169&lt;0,"TUTAR_NEGATIF",IF('VERI_A'!$I169="","DONEM_EKSIK",""))))</f>
        <v/>
      </c>
      <c r="D169" s="16">
        <f>IF($C169="","",IF($C169="TARIH_BOS","Belge tarihi zorunlu",IF($C169="VKN_UZUNLUK","VKN 10 hane olmalı",IF($C169="TUTAR_NEGATIF","Toplam negatif olamaz",IF($C169="DONEM_EKSIK","Dönem zorunlu","Elle incele"))))</f>
        <v/>
      </c>
      <c r="E169" s="16">
        <f>IF($C169="","",IF(OR($C169="TUTAR_NEGATIF",$C169="TARIH_BOS"),"YUKSEK","ORTA"))</f>
        <v/>
      </c>
      <c r="F169" s="16">
        <f>IF($C169="","",IF(OR($C169="TARIH_BOS",$C169="VKN_UZUNLUK",$C169="TUTAR_NEGATIF",$C169="DONEM_EKSIK"),$C169,"TANIMSIZ"))</f>
        <v/>
      </c>
      <c r="G169" s="16">
        <f>IF($C169="","",1)</f>
        <v/>
      </c>
    </row>
    <row r="170">
      <c r="A170" s="16">
        <f>IF('VERI_A'!$A170="","",ROW()-ROW(tblVeriA[[#Headers]]))</f>
        <v/>
      </c>
      <c r="B170" s="23">
        <f>IF('VERI_A'!$A170="","",'VERI_A'!$A170)</f>
        <v/>
      </c>
      <c r="C170" s="16">
        <f>IF($B170="","",IF(OR('VERI_A'!$B170="",'VERI_A'!$B170=0),"TARIH_BOS",IF(LEN(TRIM('VERI_A'!$C170&amp;""))&lt;&gt;dbe_vknUzunluk,"VKN_UZUNLUK",IF('VERI_A'!$G170&lt;0,"TUTAR_NEGATIF",IF('VERI_A'!$I170="","DONEM_EKSIK",""))))</f>
        <v/>
      </c>
      <c r="D170" s="16">
        <f>IF($C170="","",IF($C170="TARIH_BOS","Belge tarihi zorunlu",IF($C170="VKN_UZUNLUK","VKN 10 hane olmalı",IF($C170="TUTAR_NEGATIF","Toplam negatif olamaz",IF($C170="DONEM_EKSIK","Dönem zorunlu","Elle incele"))))</f>
        <v/>
      </c>
      <c r="E170" s="16">
        <f>IF($C170="","",IF(OR($C170="TUTAR_NEGATIF",$C170="TARIH_BOS"),"YUKSEK","ORTA"))</f>
        <v/>
      </c>
      <c r="F170" s="16">
        <f>IF($C170="","",IF(OR($C170="TARIH_BOS",$C170="VKN_UZUNLUK",$C170="TUTAR_NEGATIF",$C170="DONEM_EKSIK"),$C170,"TANIMSIZ"))</f>
        <v/>
      </c>
      <c r="G170" s="16">
        <f>IF($C170="","",1)</f>
        <v/>
      </c>
    </row>
    <row r="171">
      <c r="A171" s="16">
        <f>IF('VERI_A'!$A171="","",ROW()-ROW(tblVeriA[[#Headers]]))</f>
        <v/>
      </c>
      <c r="B171" s="23">
        <f>IF('VERI_A'!$A171="","",'VERI_A'!$A171)</f>
        <v/>
      </c>
      <c r="C171" s="16">
        <f>IF($B171="","",IF(OR('VERI_A'!$B171="",'VERI_A'!$B171=0),"TARIH_BOS",IF(LEN(TRIM('VERI_A'!$C171&amp;""))&lt;&gt;dbe_vknUzunluk,"VKN_UZUNLUK",IF('VERI_A'!$G171&lt;0,"TUTAR_NEGATIF",IF('VERI_A'!$I171="","DONEM_EKSIK",""))))</f>
        <v/>
      </c>
      <c r="D171" s="16">
        <f>IF($C171="","",IF($C171="TARIH_BOS","Belge tarihi zorunlu",IF($C171="VKN_UZUNLUK","VKN 10 hane olmalı",IF($C171="TUTAR_NEGATIF","Toplam negatif olamaz",IF($C171="DONEM_EKSIK","Dönem zorunlu","Elle incele"))))</f>
        <v/>
      </c>
      <c r="E171" s="16">
        <f>IF($C171="","",IF(OR($C171="TUTAR_NEGATIF",$C171="TARIH_BOS"),"YUKSEK","ORTA"))</f>
        <v/>
      </c>
      <c r="F171" s="16">
        <f>IF($C171="","",IF(OR($C171="TARIH_BOS",$C171="VKN_UZUNLUK",$C171="TUTAR_NEGATIF",$C171="DONEM_EKSIK"),$C171,"TANIMSIZ"))</f>
        <v/>
      </c>
      <c r="G171" s="16">
        <f>IF($C171="","",1)</f>
        <v/>
      </c>
    </row>
    <row r="172">
      <c r="A172" s="16">
        <f>IF('VERI_A'!$A172="","",ROW()-ROW(tblVeriA[[#Headers]]))</f>
        <v/>
      </c>
      <c r="B172" s="23">
        <f>IF('VERI_A'!$A172="","",'VERI_A'!$A172)</f>
        <v/>
      </c>
      <c r="C172" s="16">
        <f>IF($B172="","",IF(OR('VERI_A'!$B172="",'VERI_A'!$B172=0),"TARIH_BOS",IF(LEN(TRIM('VERI_A'!$C172&amp;""))&lt;&gt;dbe_vknUzunluk,"VKN_UZUNLUK",IF('VERI_A'!$G172&lt;0,"TUTAR_NEGATIF",IF('VERI_A'!$I172="","DONEM_EKSIK",""))))</f>
        <v/>
      </c>
      <c r="D172" s="16">
        <f>IF($C172="","",IF($C172="TARIH_BOS","Belge tarihi zorunlu",IF($C172="VKN_UZUNLUK","VKN 10 hane olmalı",IF($C172="TUTAR_NEGATIF","Toplam negatif olamaz",IF($C172="DONEM_EKSIK","Dönem zorunlu","Elle incele"))))</f>
        <v/>
      </c>
      <c r="E172" s="16">
        <f>IF($C172="","",IF(OR($C172="TUTAR_NEGATIF",$C172="TARIH_BOS"),"YUKSEK","ORTA"))</f>
        <v/>
      </c>
      <c r="F172" s="16">
        <f>IF($C172="","",IF(OR($C172="TARIH_BOS",$C172="VKN_UZUNLUK",$C172="TUTAR_NEGATIF",$C172="DONEM_EKSIK"),$C172,"TANIMSIZ"))</f>
        <v/>
      </c>
      <c r="G172" s="16">
        <f>IF($C172="","",1)</f>
        <v/>
      </c>
    </row>
    <row r="173">
      <c r="A173" s="16">
        <f>IF('VERI_A'!$A173="","",ROW()-ROW(tblVeriA[[#Headers]]))</f>
        <v/>
      </c>
      <c r="B173" s="23">
        <f>IF('VERI_A'!$A173="","",'VERI_A'!$A173)</f>
        <v/>
      </c>
      <c r="C173" s="16">
        <f>IF($B173="","",IF(OR('VERI_A'!$B173="",'VERI_A'!$B173=0),"TARIH_BOS",IF(LEN(TRIM('VERI_A'!$C173&amp;""))&lt;&gt;dbe_vknUzunluk,"VKN_UZUNLUK",IF('VERI_A'!$G173&lt;0,"TUTAR_NEGATIF",IF('VERI_A'!$I173="","DONEM_EKSIK",""))))</f>
        <v/>
      </c>
      <c r="D173" s="16">
        <f>IF($C173="","",IF($C173="TARIH_BOS","Belge tarihi zorunlu",IF($C173="VKN_UZUNLUK","VKN 10 hane olmalı",IF($C173="TUTAR_NEGATIF","Toplam negatif olamaz",IF($C173="DONEM_EKSIK","Dönem zorunlu","Elle incele"))))</f>
        <v/>
      </c>
      <c r="E173" s="16">
        <f>IF($C173="","",IF(OR($C173="TUTAR_NEGATIF",$C173="TARIH_BOS"),"YUKSEK","ORTA"))</f>
        <v/>
      </c>
      <c r="F173" s="16">
        <f>IF($C173="","",IF(OR($C173="TARIH_BOS",$C173="VKN_UZUNLUK",$C173="TUTAR_NEGATIF",$C173="DONEM_EKSIK"),$C173,"TANIMSIZ"))</f>
        <v/>
      </c>
      <c r="G173" s="16">
        <f>IF($C173="","",1)</f>
        <v/>
      </c>
    </row>
    <row r="174">
      <c r="A174" s="16">
        <f>IF('VERI_A'!$A174="","",ROW()-ROW(tblVeriA[[#Headers]]))</f>
        <v/>
      </c>
      <c r="B174" s="23">
        <f>IF('VERI_A'!$A174="","",'VERI_A'!$A174)</f>
        <v/>
      </c>
      <c r="C174" s="16">
        <f>IF($B174="","",IF(OR('VERI_A'!$B174="",'VERI_A'!$B174=0),"TARIH_BOS",IF(LEN(TRIM('VERI_A'!$C174&amp;""))&lt;&gt;dbe_vknUzunluk,"VKN_UZUNLUK",IF('VERI_A'!$G174&lt;0,"TUTAR_NEGATIF",IF('VERI_A'!$I174="","DONEM_EKSIK",""))))</f>
        <v/>
      </c>
      <c r="D174" s="16">
        <f>IF($C174="","",IF($C174="TARIH_BOS","Belge tarihi zorunlu",IF($C174="VKN_UZUNLUK","VKN 10 hane olmalı",IF($C174="TUTAR_NEGATIF","Toplam negatif olamaz",IF($C174="DONEM_EKSIK","Dönem zorunlu","Elle incele"))))</f>
        <v/>
      </c>
      <c r="E174" s="16">
        <f>IF($C174="","",IF(OR($C174="TUTAR_NEGATIF",$C174="TARIH_BOS"),"YUKSEK","ORTA"))</f>
        <v/>
      </c>
      <c r="F174" s="16">
        <f>IF($C174="","",IF(OR($C174="TARIH_BOS",$C174="VKN_UZUNLUK",$C174="TUTAR_NEGATIF",$C174="DONEM_EKSIK"),$C174,"TANIMSIZ"))</f>
        <v/>
      </c>
      <c r="G174" s="16">
        <f>IF($C174="","",1)</f>
        <v/>
      </c>
    </row>
    <row r="175">
      <c r="A175" s="16">
        <f>IF('VERI_A'!$A175="","",ROW()-ROW(tblVeriA[[#Headers]]))</f>
        <v/>
      </c>
      <c r="B175" s="23">
        <f>IF('VERI_A'!$A175="","",'VERI_A'!$A175)</f>
        <v/>
      </c>
      <c r="C175" s="16">
        <f>IF($B175="","",IF(OR('VERI_A'!$B175="",'VERI_A'!$B175=0),"TARIH_BOS",IF(LEN(TRIM('VERI_A'!$C175&amp;""))&lt;&gt;dbe_vknUzunluk,"VKN_UZUNLUK",IF('VERI_A'!$G175&lt;0,"TUTAR_NEGATIF",IF('VERI_A'!$I175="","DONEM_EKSIK",""))))</f>
        <v/>
      </c>
      <c r="D175" s="16">
        <f>IF($C175="","",IF($C175="TARIH_BOS","Belge tarihi zorunlu",IF($C175="VKN_UZUNLUK","VKN 10 hane olmalı",IF($C175="TUTAR_NEGATIF","Toplam negatif olamaz",IF($C175="DONEM_EKSIK","Dönem zorunlu","Elle incele"))))</f>
        <v/>
      </c>
      <c r="E175" s="16">
        <f>IF($C175="","",IF(OR($C175="TUTAR_NEGATIF",$C175="TARIH_BOS"),"YUKSEK","ORTA"))</f>
        <v/>
      </c>
      <c r="F175" s="16">
        <f>IF($C175="","",IF(OR($C175="TARIH_BOS",$C175="VKN_UZUNLUK",$C175="TUTAR_NEGATIF",$C175="DONEM_EKSIK"),$C175,"TANIMSIZ"))</f>
        <v/>
      </c>
      <c r="G175" s="16">
        <f>IF($C175="","",1)</f>
        <v/>
      </c>
    </row>
    <row r="176">
      <c r="A176" s="16">
        <f>IF('VERI_A'!$A176="","",ROW()-ROW(tblVeriA[[#Headers]]))</f>
        <v/>
      </c>
      <c r="B176" s="23">
        <f>IF('VERI_A'!$A176="","",'VERI_A'!$A176)</f>
        <v/>
      </c>
      <c r="C176" s="16">
        <f>IF($B176="","",IF(OR('VERI_A'!$B176="",'VERI_A'!$B176=0),"TARIH_BOS",IF(LEN(TRIM('VERI_A'!$C176&amp;""))&lt;&gt;dbe_vknUzunluk,"VKN_UZUNLUK",IF('VERI_A'!$G176&lt;0,"TUTAR_NEGATIF",IF('VERI_A'!$I176="","DONEM_EKSIK",""))))</f>
        <v/>
      </c>
      <c r="D176" s="16">
        <f>IF($C176="","",IF($C176="TARIH_BOS","Belge tarihi zorunlu",IF($C176="VKN_UZUNLUK","VKN 10 hane olmalı",IF($C176="TUTAR_NEGATIF","Toplam negatif olamaz",IF($C176="DONEM_EKSIK","Dönem zorunlu","Elle incele"))))</f>
        <v/>
      </c>
      <c r="E176" s="16">
        <f>IF($C176="","",IF(OR($C176="TUTAR_NEGATIF",$C176="TARIH_BOS"),"YUKSEK","ORTA"))</f>
        <v/>
      </c>
      <c r="F176" s="16">
        <f>IF($C176="","",IF(OR($C176="TARIH_BOS",$C176="VKN_UZUNLUK",$C176="TUTAR_NEGATIF",$C176="DONEM_EKSIK"),$C176,"TANIMSIZ"))</f>
        <v/>
      </c>
      <c r="G176" s="16">
        <f>IF($C176="","",1)</f>
        <v/>
      </c>
    </row>
    <row r="177">
      <c r="A177" s="16">
        <f>IF('VERI_A'!$A177="","",ROW()-ROW(tblVeriA[[#Headers]]))</f>
        <v/>
      </c>
      <c r="B177" s="23">
        <f>IF('VERI_A'!$A177="","",'VERI_A'!$A177)</f>
        <v/>
      </c>
      <c r="C177" s="16">
        <f>IF($B177="","",IF(OR('VERI_A'!$B177="",'VERI_A'!$B177=0),"TARIH_BOS",IF(LEN(TRIM('VERI_A'!$C177&amp;""))&lt;&gt;dbe_vknUzunluk,"VKN_UZUNLUK",IF('VERI_A'!$G177&lt;0,"TUTAR_NEGATIF",IF('VERI_A'!$I177="","DONEM_EKSIK",""))))</f>
        <v/>
      </c>
      <c r="D177" s="16">
        <f>IF($C177="","",IF($C177="TARIH_BOS","Belge tarihi zorunlu",IF($C177="VKN_UZUNLUK","VKN 10 hane olmalı",IF($C177="TUTAR_NEGATIF","Toplam negatif olamaz",IF($C177="DONEM_EKSIK","Dönem zorunlu","Elle incele"))))</f>
        <v/>
      </c>
      <c r="E177" s="16">
        <f>IF($C177="","",IF(OR($C177="TUTAR_NEGATIF",$C177="TARIH_BOS"),"YUKSEK","ORTA"))</f>
        <v/>
      </c>
      <c r="F177" s="16">
        <f>IF($C177="","",IF(OR($C177="TARIH_BOS",$C177="VKN_UZUNLUK",$C177="TUTAR_NEGATIF",$C177="DONEM_EKSIK"),$C177,"TANIMSIZ"))</f>
        <v/>
      </c>
      <c r="G177" s="16">
        <f>IF($C177="","",1)</f>
        <v/>
      </c>
    </row>
    <row r="178">
      <c r="A178" s="16">
        <f>IF('VERI_A'!$A178="","",ROW()-ROW(tblVeriA[[#Headers]]))</f>
        <v/>
      </c>
      <c r="B178" s="23">
        <f>IF('VERI_A'!$A178="","",'VERI_A'!$A178)</f>
        <v/>
      </c>
      <c r="C178" s="16">
        <f>IF($B178="","",IF(OR('VERI_A'!$B178="",'VERI_A'!$B178=0),"TARIH_BOS",IF(LEN(TRIM('VERI_A'!$C178&amp;""))&lt;&gt;dbe_vknUzunluk,"VKN_UZUNLUK",IF('VERI_A'!$G178&lt;0,"TUTAR_NEGATIF",IF('VERI_A'!$I178="","DONEM_EKSIK",""))))</f>
        <v/>
      </c>
      <c r="D178" s="16">
        <f>IF($C178="","",IF($C178="TARIH_BOS","Belge tarihi zorunlu",IF($C178="VKN_UZUNLUK","VKN 10 hane olmalı",IF($C178="TUTAR_NEGATIF","Toplam negatif olamaz",IF($C178="DONEM_EKSIK","Dönem zorunlu","Elle incele"))))</f>
        <v/>
      </c>
      <c r="E178" s="16">
        <f>IF($C178="","",IF(OR($C178="TUTAR_NEGATIF",$C178="TARIH_BOS"),"YUKSEK","ORTA"))</f>
        <v/>
      </c>
      <c r="F178" s="16">
        <f>IF($C178="","",IF(OR($C178="TARIH_BOS",$C178="VKN_UZUNLUK",$C178="TUTAR_NEGATIF",$C178="DONEM_EKSIK"),$C178,"TANIMSIZ"))</f>
        <v/>
      </c>
      <c r="G178" s="16">
        <f>IF($C178="","",1)</f>
        <v/>
      </c>
    </row>
    <row r="179">
      <c r="A179" s="16">
        <f>IF('VERI_A'!$A179="","",ROW()-ROW(tblVeriA[[#Headers]]))</f>
        <v/>
      </c>
      <c r="B179" s="23">
        <f>IF('VERI_A'!$A179="","",'VERI_A'!$A179)</f>
        <v/>
      </c>
      <c r="C179" s="16">
        <f>IF($B179="","",IF(OR('VERI_A'!$B179="",'VERI_A'!$B179=0),"TARIH_BOS",IF(LEN(TRIM('VERI_A'!$C179&amp;""))&lt;&gt;dbe_vknUzunluk,"VKN_UZUNLUK",IF('VERI_A'!$G179&lt;0,"TUTAR_NEGATIF",IF('VERI_A'!$I179="","DONEM_EKSIK",""))))</f>
        <v/>
      </c>
      <c r="D179" s="16">
        <f>IF($C179="","",IF($C179="TARIH_BOS","Belge tarihi zorunlu",IF($C179="VKN_UZUNLUK","VKN 10 hane olmalı",IF($C179="TUTAR_NEGATIF","Toplam negatif olamaz",IF($C179="DONEM_EKSIK","Dönem zorunlu","Elle incele"))))</f>
        <v/>
      </c>
      <c r="E179" s="16">
        <f>IF($C179="","",IF(OR($C179="TUTAR_NEGATIF",$C179="TARIH_BOS"),"YUKSEK","ORTA"))</f>
        <v/>
      </c>
      <c r="F179" s="16">
        <f>IF($C179="","",IF(OR($C179="TARIH_BOS",$C179="VKN_UZUNLUK",$C179="TUTAR_NEGATIF",$C179="DONEM_EKSIK"),$C179,"TANIMSIZ"))</f>
        <v/>
      </c>
      <c r="G179" s="16">
        <f>IF($C179="","",1)</f>
        <v/>
      </c>
    </row>
    <row r="180">
      <c r="A180" s="16">
        <f>IF('VERI_A'!$A180="","",ROW()-ROW(tblVeriA[[#Headers]]))</f>
        <v/>
      </c>
      <c r="B180" s="23">
        <f>IF('VERI_A'!$A180="","",'VERI_A'!$A180)</f>
        <v/>
      </c>
      <c r="C180" s="16">
        <f>IF($B180="","",IF(OR('VERI_A'!$B180="",'VERI_A'!$B180=0),"TARIH_BOS",IF(LEN(TRIM('VERI_A'!$C180&amp;""))&lt;&gt;dbe_vknUzunluk,"VKN_UZUNLUK",IF('VERI_A'!$G180&lt;0,"TUTAR_NEGATIF",IF('VERI_A'!$I180="","DONEM_EKSIK",""))))</f>
        <v/>
      </c>
      <c r="D180" s="16">
        <f>IF($C180="","",IF($C180="TARIH_BOS","Belge tarihi zorunlu",IF($C180="VKN_UZUNLUK","VKN 10 hane olmalı",IF($C180="TUTAR_NEGATIF","Toplam negatif olamaz",IF($C180="DONEM_EKSIK","Dönem zorunlu","Elle incele"))))</f>
        <v/>
      </c>
      <c r="E180" s="16">
        <f>IF($C180="","",IF(OR($C180="TUTAR_NEGATIF",$C180="TARIH_BOS"),"YUKSEK","ORTA"))</f>
        <v/>
      </c>
      <c r="F180" s="16">
        <f>IF($C180="","",IF(OR($C180="TARIH_BOS",$C180="VKN_UZUNLUK",$C180="TUTAR_NEGATIF",$C180="DONEM_EKSIK"),$C180,"TANIMSIZ"))</f>
        <v/>
      </c>
      <c r="G180" s="16">
        <f>IF($C180="","",1)</f>
        <v/>
      </c>
    </row>
    <row r="181">
      <c r="A181" s="16">
        <f>IF('VERI_A'!$A181="","",ROW()-ROW(tblVeriA[[#Headers]]))</f>
        <v/>
      </c>
      <c r="B181" s="23">
        <f>IF('VERI_A'!$A181="","",'VERI_A'!$A181)</f>
        <v/>
      </c>
      <c r="C181" s="16">
        <f>IF($B181="","",IF(OR('VERI_A'!$B181="",'VERI_A'!$B181=0),"TARIH_BOS",IF(LEN(TRIM('VERI_A'!$C181&amp;""))&lt;&gt;dbe_vknUzunluk,"VKN_UZUNLUK",IF('VERI_A'!$G181&lt;0,"TUTAR_NEGATIF",IF('VERI_A'!$I181="","DONEM_EKSIK",""))))</f>
        <v/>
      </c>
      <c r="D181" s="16">
        <f>IF($C181="","",IF($C181="TARIH_BOS","Belge tarihi zorunlu",IF($C181="VKN_UZUNLUK","VKN 10 hane olmalı",IF($C181="TUTAR_NEGATIF","Toplam negatif olamaz",IF($C181="DONEM_EKSIK","Dönem zorunlu","Elle incele"))))</f>
        <v/>
      </c>
      <c r="E181" s="16">
        <f>IF($C181="","",IF(OR($C181="TUTAR_NEGATIF",$C181="TARIH_BOS"),"YUKSEK","ORTA"))</f>
        <v/>
      </c>
      <c r="F181" s="16">
        <f>IF($C181="","",IF(OR($C181="TARIH_BOS",$C181="VKN_UZUNLUK",$C181="TUTAR_NEGATIF",$C181="DONEM_EKSIK"),$C181,"TANIMSIZ"))</f>
        <v/>
      </c>
      <c r="G181" s="16">
        <f>IF($C181="","",1)</f>
        <v/>
      </c>
    </row>
    <row r="182">
      <c r="A182" s="16">
        <f>IF('VERI_A'!$A182="","",ROW()-ROW(tblVeriA[[#Headers]]))</f>
        <v/>
      </c>
      <c r="B182" s="23">
        <f>IF('VERI_A'!$A182="","",'VERI_A'!$A182)</f>
        <v/>
      </c>
      <c r="C182" s="16">
        <f>IF($B182="","",IF(OR('VERI_A'!$B182="",'VERI_A'!$B182=0),"TARIH_BOS",IF(LEN(TRIM('VERI_A'!$C182&amp;""))&lt;&gt;dbe_vknUzunluk,"VKN_UZUNLUK",IF('VERI_A'!$G182&lt;0,"TUTAR_NEGATIF",IF('VERI_A'!$I182="","DONEM_EKSIK",""))))</f>
        <v/>
      </c>
      <c r="D182" s="16">
        <f>IF($C182="","",IF($C182="TARIH_BOS","Belge tarihi zorunlu",IF($C182="VKN_UZUNLUK","VKN 10 hane olmalı",IF($C182="TUTAR_NEGATIF","Toplam negatif olamaz",IF($C182="DONEM_EKSIK","Dönem zorunlu","Elle incele"))))</f>
        <v/>
      </c>
      <c r="E182" s="16">
        <f>IF($C182="","",IF(OR($C182="TUTAR_NEGATIF",$C182="TARIH_BOS"),"YUKSEK","ORTA"))</f>
        <v/>
      </c>
      <c r="F182" s="16">
        <f>IF($C182="","",IF(OR($C182="TARIH_BOS",$C182="VKN_UZUNLUK",$C182="TUTAR_NEGATIF",$C182="DONEM_EKSIK"),$C182,"TANIMSIZ"))</f>
        <v/>
      </c>
      <c r="G182" s="16">
        <f>IF($C182="","",1)</f>
        <v/>
      </c>
    </row>
    <row r="183">
      <c r="A183" s="16">
        <f>IF('VERI_A'!$A183="","",ROW()-ROW(tblVeriA[[#Headers]]))</f>
        <v/>
      </c>
      <c r="B183" s="23">
        <f>IF('VERI_A'!$A183="","",'VERI_A'!$A183)</f>
        <v/>
      </c>
      <c r="C183" s="16">
        <f>IF($B183="","",IF(OR('VERI_A'!$B183="",'VERI_A'!$B183=0),"TARIH_BOS",IF(LEN(TRIM('VERI_A'!$C183&amp;""))&lt;&gt;dbe_vknUzunluk,"VKN_UZUNLUK",IF('VERI_A'!$G183&lt;0,"TUTAR_NEGATIF",IF('VERI_A'!$I183="","DONEM_EKSIK",""))))</f>
        <v/>
      </c>
      <c r="D183" s="16">
        <f>IF($C183="","",IF($C183="TARIH_BOS","Belge tarihi zorunlu",IF($C183="VKN_UZUNLUK","VKN 10 hane olmalı",IF($C183="TUTAR_NEGATIF","Toplam negatif olamaz",IF($C183="DONEM_EKSIK","Dönem zorunlu","Elle incele"))))</f>
        <v/>
      </c>
      <c r="E183" s="16">
        <f>IF($C183="","",IF(OR($C183="TUTAR_NEGATIF",$C183="TARIH_BOS"),"YUKSEK","ORTA"))</f>
        <v/>
      </c>
      <c r="F183" s="16">
        <f>IF($C183="","",IF(OR($C183="TARIH_BOS",$C183="VKN_UZUNLUK",$C183="TUTAR_NEGATIF",$C183="DONEM_EKSIK"),$C183,"TANIMSIZ"))</f>
        <v/>
      </c>
      <c r="G183" s="16">
        <f>IF($C183="","",1)</f>
        <v/>
      </c>
    </row>
    <row r="184">
      <c r="A184" s="16">
        <f>IF('VERI_A'!$A184="","",ROW()-ROW(tblVeriA[[#Headers]]))</f>
        <v/>
      </c>
      <c r="B184" s="23">
        <f>IF('VERI_A'!$A184="","",'VERI_A'!$A184)</f>
        <v/>
      </c>
      <c r="C184" s="16">
        <f>IF($B184="","",IF(OR('VERI_A'!$B184="",'VERI_A'!$B184=0),"TARIH_BOS",IF(LEN(TRIM('VERI_A'!$C184&amp;""))&lt;&gt;dbe_vknUzunluk,"VKN_UZUNLUK",IF('VERI_A'!$G184&lt;0,"TUTAR_NEGATIF",IF('VERI_A'!$I184="","DONEM_EKSIK",""))))</f>
        <v/>
      </c>
      <c r="D184" s="16">
        <f>IF($C184="","",IF($C184="TARIH_BOS","Belge tarihi zorunlu",IF($C184="VKN_UZUNLUK","VKN 10 hane olmalı",IF($C184="TUTAR_NEGATIF","Toplam negatif olamaz",IF($C184="DONEM_EKSIK","Dönem zorunlu","Elle incele"))))</f>
        <v/>
      </c>
      <c r="E184" s="16">
        <f>IF($C184="","",IF(OR($C184="TUTAR_NEGATIF",$C184="TARIH_BOS"),"YUKSEK","ORTA"))</f>
        <v/>
      </c>
      <c r="F184" s="16">
        <f>IF($C184="","",IF(OR($C184="TARIH_BOS",$C184="VKN_UZUNLUK",$C184="TUTAR_NEGATIF",$C184="DONEM_EKSIK"),$C184,"TANIMSIZ"))</f>
        <v/>
      </c>
      <c r="G184" s="16">
        <f>IF($C184="","",1)</f>
        <v/>
      </c>
    </row>
    <row r="185">
      <c r="A185" s="16">
        <f>IF('VERI_A'!$A185="","",ROW()-ROW(tblVeriA[[#Headers]]))</f>
        <v/>
      </c>
      <c r="B185" s="23">
        <f>IF('VERI_A'!$A185="","",'VERI_A'!$A185)</f>
        <v/>
      </c>
      <c r="C185" s="16">
        <f>IF($B185="","",IF(OR('VERI_A'!$B185="",'VERI_A'!$B185=0),"TARIH_BOS",IF(LEN(TRIM('VERI_A'!$C185&amp;""))&lt;&gt;dbe_vknUzunluk,"VKN_UZUNLUK",IF('VERI_A'!$G185&lt;0,"TUTAR_NEGATIF",IF('VERI_A'!$I185="","DONEM_EKSIK",""))))</f>
        <v/>
      </c>
      <c r="D185" s="16">
        <f>IF($C185="","",IF($C185="TARIH_BOS","Belge tarihi zorunlu",IF($C185="VKN_UZUNLUK","VKN 10 hane olmalı",IF($C185="TUTAR_NEGATIF","Toplam negatif olamaz",IF($C185="DONEM_EKSIK","Dönem zorunlu","Elle incele"))))</f>
        <v/>
      </c>
      <c r="E185" s="16">
        <f>IF($C185="","",IF(OR($C185="TUTAR_NEGATIF",$C185="TARIH_BOS"),"YUKSEK","ORTA"))</f>
        <v/>
      </c>
      <c r="F185" s="16">
        <f>IF($C185="","",IF(OR($C185="TARIH_BOS",$C185="VKN_UZUNLUK",$C185="TUTAR_NEGATIF",$C185="DONEM_EKSIK"),$C185,"TANIMSIZ"))</f>
        <v/>
      </c>
      <c r="G185" s="16">
        <f>IF($C185="","",1)</f>
        <v/>
      </c>
    </row>
    <row r="186">
      <c r="A186" s="16">
        <f>IF('VERI_A'!$A186="","",ROW()-ROW(tblVeriA[[#Headers]]))</f>
        <v/>
      </c>
      <c r="B186" s="23">
        <f>IF('VERI_A'!$A186="","",'VERI_A'!$A186)</f>
        <v/>
      </c>
      <c r="C186" s="16">
        <f>IF($B186="","",IF(OR('VERI_A'!$B186="",'VERI_A'!$B186=0),"TARIH_BOS",IF(LEN(TRIM('VERI_A'!$C186&amp;""))&lt;&gt;dbe_vknUzunluk,"VKN_UZUNLUK",IF('VERI_A'!$G186&lt;0,"TUTAR_NEGATIF",IF('VERI_A'!$I186="","DONEM_EKSIK",""))))</f>
        <v/>
      </c>
      <c r="D186" s="16">
        <f>IF($C186="","",IF($C186="TARIH_BOS","Belge tarihi zorunlu",IF($C186="VKN_UZUNLUK","VKN 10 hane olmalı",IF($C186="TUTAR_NEGATIF","Toplam negatif olamaz",IF($C186="DONEM_EKSIK","Dönem zorunlu","Elle incele"))))</f>
        <v/>
      </c>
      <c r="E186" s="16">
        <f>IF($C186="","",IF(OR($C186="TUTAR_NEGATIF",$C186="TARIH_BOS"),"YUKSEK","ORTA"))</f>
        <v/>
      </c>
      <c r="F186" s="16">
        <f>IF($C186="","",IF(OR($C186="TARIH_BOS",$C186="VKN_UZUNLUK",$C186="TUTAR_NEGATIF",$C186="DONEM_EKSIK"),$C186,"TANIMSIZ"))</f>
        <v/>
      </c>
      <c r="G186" s="16">
        <f>IF($C186="","",1)</f>
        <v/>
      </c>
    </row>
    <row r="187">
      <c r="A187" s="16">
        <f>IF('VERI_A'!$A187="","",ROW()-ROW(tblVeriA[[#Headers]]))</f>
        <v/>
      </c>
      <c r="B187" s="23">
        <f>IF('VERI_A'!$A187="","",'VERI_A'!$A187)</f>
        <v/>
      </c>
      <c r="C187" s="16">
        <f>IF($B187="","",IF(OR('VERI_A'!$B187="",'VERI_A'!$B187=0),"TARIH_BOS",IF(LEN(TRIM('VERI_A'!$C187&amp;""))&lt;&gt;dbe_vknUzunluk,"VKN_UZUNLUK",IF('VERI_A'!$G187&lt;0,"TUTAR_NEGATIF",IF('VERI_A'!$I187="","DONEM_EKSIK",""))))</f>
        <v/>
      </c>
      <c r="D187" s="16">
        <f>IF($C187="","",IF($C187="TARIH_BOS","Belge tarihi zorunlu",IF($C187="VKN_UZUNLUK","VKN 10 hane olmalı",IF($C187="TUTAR_NEGATIF","Toplam negatif olamaz",IF($C187="DONEM_EKSIK","Dönem zorunlu","Elle incele"))))</f>
        <v/>
      </c>
      <c r="E187" s="16">
        <f>IF($C187="","",IF(OR($C187="TUTAR_NEGATIF",$C187="TARIH_BOS"),"YUKSEK","ORTA"))</f>
        <v/>
      </c>
      <c r="F187" s="16">
        <f>IF($C187="","",IF(OR($C187="TARIH_BOS",$C187="VKN_UZUNLUK",$C187="TUTAR_NEGATIF",$C187="DONEM_EKSIK"),$C187,"TANIMSIZ"))</f>
        <v/>
      </c>
      <c r="G187" s="16">
        <f>IF($C187="","",1)</f>
        <v/>
      </c>
    </row>
    <row r="188">
      <c r="A188" s="16">
        <f>IF('VERI_A'!$A188="","",ROW()-ROW(tblVeriA[[#Headers]]))</f>
        <v/>
      </c>
      <c r="B188" s="23">
        <f>IF('VERI_A'!$A188="","",'VERI_A'!$A188)</f>
        <v/>
      </c>
      <c r="C188" s="16">
        <f>IF($B188="","",IF(OR('VERI_A'!$B188="",'VERI_A'!$B188=0),"TARIH_BOS",IF(LEN(TRIM('VERI_A'!$C188&amp;""))&lt;&gt;dbe_vknUzunluk,"VKN_UZUNLUK",IF('VERI_A'!$G188&lt;0,"TUTAR_NEGATIF",IF('VERI_A'!$I188="","DONEM_EKSIK",""))))</f>
        <v/>
      </c>
      <c r="D188" s="16">
        <f>IF($C188="","",IF($C188="TARIH_BOS","Belge tarihi zorunlu",IF($C188="VKN_UZUNLUK","VKN 10 hane olmalı",IF($C188="TUTAR_NEGATIF","Toplam negatif olamaz",IF($C188="DONEM_EKSIK","Dönem zorunlu","Elle incele"))))</f>
        <v/>
      </c>
      <c r="E188" s="16">
        <f>IF($C188="","",IF(OR($C188="TUTAR_NEGATIF",$C188="TARIH_BOS"),"YUKSEK","ORTA"))</f>
        <v/>
      </c>
      <c r="F188" s="16">
        <f>IF($C188="","",IF(OR($C188="TARIH_BOS",$C188="VKN_UZUNLUK",$C188="TUTAR_NEGATIF",$C188="DONEM_EKSIK"),$C188,"TANIMSIZ"))</f>
        <v/>
      </c>
      <c r="G188" s="16">
        <f>IF($C188="","",1)</f>
        <v/>
      </c>
    </row>
    <row r="189">
      <c r="A189" s="16">
        <f>IF('VERI_A'!$A189="","",ROW()-ROW(tblVeriA[[#Headers]]))</f>
        <v/>
      </c>
      <c r="B189" s="23">
        <f>IF('VERI_A'!$A189="","",'VERI_A'!$A189)</f>
        <v/>
      </c>
      <c r="C189" s="16">
        <f>IF($B189="","",IF(OR('VERI_A'!$B189="",'VERI_A'!$B189=0),"TARIH_BOS",IF(LEN(TRIM('VERI_A'!$C189&amp;""))&lt;&gt;dbe_vknUzunluk,"VKN_UZUNLUK",IF('VERI_A'!$G189&lt;0,"TUTAR_NEGATIF",IF('VERI_A'!$I189="","DONEM_EKSIK",""))))</f>
        <v/>
      </c>
      <c r="D189" s="16">
        <f>IF($C189="","",IF($C189="TARIH_BOS","Belge tarihi zorunlu",IF($C189="VKN_UZUNLUK","VKN 10 hane olmalı",IF($C189="TUTAR_NEGATIF","Toplam negatif olamaz",IF($C189="DONEM_EKSIK","Dönem zorunlu","Elle incele"))))</f>
        <v/>
      </c>
      <c r="E189" s="16">
        <f>IF($C189="","",IF(OR($C189="TUTAR_NEGATIF",$C189="TARIH_BOS"),"YUKSEK","ORTA"))</f>
        <v/>
      </c>
      <c r="F189" s="16">
        <f>IF($C189="","",IF(OR($C189="TARIH_BOS",$C189="VKN_UZUNLUK",$C189="TUTAR_NEGATIF",$C189="DONEM_EKSIK"),$C189,"TANIMSIZ"))</f>
        <v/>
      </c>
      <c r="G189" s="16">
        <f>IF($C189="","",1)</f>
        <v/>
      </c>
    </row>
    <row r="190">
      <c r="A190" s="16">
        <f>IF('VERI_A'!$A190="","",ROW()-ROW(tblVeriA[[#Headers]]))</f>
        <v/>
      </c>
      <c r="B190" s="23">
        <f>IF('VERI_A'!$A190="","",'VERI_A'!$A190)</f>
        <v/>
      </c>
      <c r="C190" s="16">
        <f>IF($B190="","",IF(OR('VERI_A'!$B190="",'VERI_A'!$B190=0),"TARIH_BOS",IF(LEN(TRIM('VERI_A'!$C190&amp;""))&lt;&gt;dbe_vknUzunluk,"VKN_UZUNLUK",IF('VERI_A'!$G190&lt;0,"TUTAR_NEGATIF",IF('VERI_A'!$I190="","DONEM_EKSIK",""))))</f>
        <v/>
      </c>
      <c r="D190" s="16">
        <f>IF($C190="","",IF($C190="TARIH_BOS","Belge tarihi zorunlu",IF($C190="VKN_UZUNLUK","VKN 10 hane olmalı",IF($C190="TUTAR_NEGATIF","Toplam negatif olamaz",IF($C190="DONEM_EKSIK","Dönem zorunlu","Elle incele"))))</f>
        <v/>
      </c>
      <c r="E190" s="16">
        <f>IF($C190="","",IF(OR($C190="TUTAR_NEGATIF",$C190="TARIH_BOS"),"YUKSEK","ORTA"))</f>
        <v/>
      </c>
      <c r="F190" s="16">
        <f>IF($C190="","",IF(OR($C190="TARIH_BOS",$C190="VKN_UZUNLUK",$C190="TUTAR_NEGATIF",$C190="DONEM_EKSIK"),$C190,"TANIMSIZ"))</f>
        <v/>
      </c>
      <c r="G190" s="16">
        <f>IF($C190="","",1)</f>
        <v/>
      </c>
    </row>
    <row r="191">
      <c r="A191" s="16">
        <f>IF('VERI_A'!$A191="","",ROW()-ROW(tblVeriA[[#Headers]]))</f>
        <v/>
      </c>
      <c r="B191" s="23">
        <f>IF('VERI_A'!$A191="","",'VERI_A'!$A191)</f>
        <v/>
      </c>
      <c r="C191" s="16">
        <f>IF($B191="","",IF(OR('VERI_A'!$B191="",'VERI_A'!$B191=0),"TARIH_BOS",IF(LEN(TRIM('VERI_A'!$C191&amp;""))&lt;&gt;dbe_vknUzunluk,"VKN_UZUNLUK",IF('VERI_A'!$G191&lt;0,"TUTAR_NEGATIF",IF('VERI_A'!$I191="","DONEM_EKSIK",""))))</f>
        <v/>
      </c>
      <c r="D191" s="16">
        <f>IF($C191="","",IF($C191="TARIH_BOS","Belge tarihi zorunlu",IF($C191="VKN_UZUNLUK","VKN 10 hane olmalı",IF($C191="TUTAR_NEGATIF","Toplam negatif olamaz",IF($C191="DONEM_EKSIK","Dönem zorunlu","Elle incele"))))</f>
        <v/>
      </c>
      <c r="E191" s="16">
        <f>IF($C191="","",IF(OR($C191="TUTAR_NEGATIF",$C191="TARIH_BOS"),"YUKSEK","ORTA"))</f>
        <v/>
      </c>
      <c r="F191" s="16">
        <f>IF($C191="","",IF(OR($C191="TARIH_BOS",$C191="VKN_UZUNLUK",$C191="TUTAR_NEGATIF",$C191="DONEM_EKSIK"),$C191,"TANIMSIZ"))</f>
        <v/>
      </c>
      <c r="G191" s="16">
        <f>IF($C191="","",1)</f>
        <v/>
      </c>
    </row>
    <row r="192">
      <c r="A192" s="16">
        <f>IF('VERI_A'!$A192="","",ROW()-ROW(tblVeriA[[#Headers]]))</f>
        <v/>
      </c>
      <c r="B192" s="23">
        <f>IF('VERI_A'!$A192="","",'VERI_A'!$A192)</f>
        <v/>
      </c>
      <c r="C192" s="16">
        <f>IF($B192="","",IF(OR('VERI_A'!$B192="",'VERI_A'!$B192=0),"TARIH_BOS",IF(LEN(TRIM('VERI_A'!$C192&amp;""))&lt;&gt;dbe_vknUzunluk,"VKN_UZUNLUK",IF('VERI_A'!$G192&lt;0,"TUTAR_NEGATIF",IF('VERI_A'!$I192="","DONEM_EKSIK",""))))</f>
        <v/>
      </c>
      <c r="D192" s="16">
        <f>IF($C192="","",IF($C192="TARIH_BOS","Belge tarihi zorunlu",IF($C192="VKN_UZUNLUK","VKN 10 hane olmalı",IF($C192="TUTAR_NEGATIF","Toplam negatif olamaz",IF($C192="DONEM_EKSIK","Dönem zorunlu","Elle incele"))))</f>
        <v/>
      </c>
      <c r="E192" s="16">
        <f>IF($C192="","",IF(OR($C192="TUTAR_NEGATIF",$C192="TARIH_BOS"),"YUKSEK","ORTA"))</f>
        <v/>
      </c>
      <c r="F192" s="16">
        <f>IF($C192="","",IF(OR($C192="TARIH_BOS",$C192="VKN_UZUNLUK",$C192="TUTAR_NEGATIF",$C192="DONEM_EKSIK"),$C192,"TANIMSIZ"))</f>
        <v/>
      </c>
      <c r="G192" s="16">
        <f>IF($C192="","",1)</f>
        <v/>
      </c>
    </row>
    <row r="193">
      <c r="A193" s="16">
        <f>IF('VERI_A'!$A193="","",ROW()-ROW(tblVeriA[[#Headers]]))</f>
        <v/>
      </c>
      <c r="B193" s="23">
        <f>IF('VERI_A'!$A193="","",'VERI_A'!$A193)</f>
        <v/>
      </c>
      <c r="C193" s="16">
        <f>IF($B193="","",IF(OR('VERI_A'!$B193="",'VERI_A'!$B193=0),"TARIH_BOS",IF(LEN(TRIM('VERI_A'!$C193&amp;""))&lt;&gt;dbe_vknUzunluk,"VKN_UZUNLUK",IF('VERI_A'!$G193&lt;0,"TUTAR_NEGATIF",IF('VERI_A'!$I193="","DONEM_EKSIK",""))))</f>
        <v/>
      </c>
      <c r="D193" s="16">
        <f>IF($C193="","",IF($C193="TARIH_BOS","Belge tarihi zorunlu",IF($C193="VKN_UZUNLUK","VKN 10 hane olmalı",IF($C193="TUTAR_NEGATIF","Toplam negatif olamaz",IF($C193="DONEM_EKSIK","Dönem zorunlu","Elle incele"))))</f>
        <v/>
      </c>
      <c r="E193" s="16">
        <f>IF($C193="","",IF(OR($C193="TUTAR_NEGATIF",$C193="TARIH_BOS"),"YUKSEK","ORTA"))</f>
        <v/>
      </c>
      <c r="F193" s="16">
        <f>IF($C193="","",IF(OR($C193="TARIH_BOS",$C193="VKN_UZUNLUK",$C193="TUTAR_NEGATIF",$C193="DONEM_EKSIK"),$C193,"TANIMSIZ"))</f>
        <v/>
      </c>
      <c r="G193" s="16">
        <f>IF($C193="","",1)</f>
        <v/>
      </c>
    </row>
    <row r="194">
      <c r="A194" s="16">
        <f>IF('VERI_A'!$A194="","",ROW()-ROW(tblVeriA[[#Headers]]))</f>
        <v/>
      </c>
      <c r="B194" s="23">
        <f>IF('VERI_A'!$A194="","",'VERI_A'!$A194)</f>
        <v/>
      </c>
      <c r="C194" s="16">
        <f>IF($B194="","",IF(OR('VERI_A'!$B194="",'VERI_A'!$B194=0),"TARIH_BOS",IF(LEN(TRIM('VERI_A'!$C194&amp;""))&lt;&gt;dbe_vknUzunluk,"VKN_UZUNLUK",IF('VERI_A'!$G194&lt;0,"TUTAR_NEGATIF",IF('VERI_A'!$I194="","DONEM_EKSIK",""))))</f>
        <v/>
      </c>
      <c r="D194" s="16">
        <f>IF($C194="","",IF($C194="TARIH_BOS","Belge tarihi zorunlu",IF($C194="VKN_UZUNLUK","VKN 10 hane olmalı",IF($C194="TUTAR_NEGATIF","Toplam negatif olamaz",IF($C194="DONEM_EKSIK","Dönem zorunlu","Elle incele"))))</f>
        <v/>
      </c>
      <c r="E194" s="16">
        <f>IF($C194="","",IF(OR($C194="TUTAR_NEGATIF",$C194="TARIH_BOS"),"YUKSEK","ORTA"))</f>
        <v/>
      </c>
      <c r="F194" s="16">
        <f>IF($C194="","",IF(OR($C194="TARIH_BOS",$C194="VKN_UZUNLUK",$C194="TUTAR_NEGATIF",$C194="DONEM_EKSIK"),$C194,"TANIMSIZ"))</f>
        <v/>
      </c>
      <c r="G194" s="16">
        <f>IF($C194="","",1)</f>
        <v/>
      </c>
    </row>
    <row r="195">
      <c r="A195" s="16">
        <f>IF('VERI_A'!$A195="","",ROW()-ROW(tblVeriA[[#Headers]]))</f>
        <v/>
      </c>
      <c r="B195" s="23">
        <f>IF('VERI_A'!$A195="","",'VERI_A'!$A195)</f>
        <v/>
      </c>
      <c r="C195" s="16">
        <f>IF($B195="","",IF(OR('VERI_A'!$B195="",'VERI_A'!$B195=0),"TARIH_BOS",IF(LEN(TRIM('VERI_A'!$C195&amp;""))&lt;&gt;dbe_vknUzunluk,"VKN_UZUNLUK",IF('VERI_A'!$G195&lt;0,"TUTAR_NEGATIF",IF('VERI_A'!$I195="","DONEM_EKSIK",""))))</f>
        <v/>
      </c>
      <c r="D195" s="16">
        <f>IF($C195="","",IF($C195="TARIH_BOS","Belge tarihi zorunlu",IF($C195="VKN_UZUNLUK","VKN 10 hane olmalı",IF($C195="TUTAR_NEGATIF","Toplam negatif olamaz",IF($C195="DONEM_EKSIK","Dönem zorunlu","Elle incele"))))</f>
        <v/>
      </c>
      <c r="E195" s="16">
        <f>IF($C195="","",IF(OR($C195="TUTAR_NEGATIF",$C195="TARIH_BOS"),"YUKSEK","ORTA"))</f>
        <v/>
      </c>
      <c r="F195" s="16">
        <f>IF($C195="","",IF(OR($C195="TARIH_BOS",$C195="VKN_UZUNLUK",$C195="TUTAR_NEGATIF",$C195="DONEM_EKSIK"),$C195,"TANIMSIZ"))</f>
        <v/>
      </c>
      <c r="G195" s="16">
        <f>IF($C195="","",1)</f>
        <v/>
      </c>
    </row>
    <row r="196">
      <c r="A196" s="16">
        <f>IF('VERI_A'!$A196="","",ROW()-ROW(tblVeriA[[#Headers]]))</f>
        <v/>
      </c>
      <c r="B196" s="23">
        <f>IF('VERI_A'!$A196="","",'VERI_A'!$A196)</f>
        <v/>
      </c>
      <c r="C196" s="16">
        <f>IF($B196="","",IF(OR('VERI_A'!$B196="",'VERI_A'!$B196=0),"TARIH_BOS",IF(LEN(TRIM('VERI_A'!$C196&amp;""))&lt;&gt;dbe_vknUzunluk,"VKN_UZUNLUK",IF('VERI_A'!$G196&lt;0,"TUTAR_NEGATIF",IF('VERI_A'!$I196="","DONEM_EKSIK",""))))</f>
        <v/>
      </c>
      <c r="D196" s="16">
        <f>IF($C196="","",IF($C196="TARIH_BOS","Belge tarihi zorunlu",IF($C196="VKN_UZUNLUK","VKN 10 hane olmalı",IF($C196="TUTAR_NEGATIF","Toplam negatif olamaz",IF($C196="DONEM_EKSIK","Dönem zorunlu","Elle incele"))))</f>
        <v/>
      </c>
      <c r="E196" s="16">
        <f>IF($C196="","",IF(OR($C196="TUTAR_NEGATIF",$C196="TARIH_BOS"),"YUKSEK","ORTA"))</f>
        <v/>
      </c>
      <c r="F196" s="16">
        <f>IF($C196="","",IF(OR($C196="TARIH_BOS",$C196="VKN_UZUNLUK",$C196="TUTAR_NEGATIF",$C196="DONEM_EKSIK"),$C196,"TANIMSIZ"))</f>
        <v/>
      </c>
      <c r="G196" s="16">
        <f>IF($C196="","",1)</f>
        <v/>
      </c>
    </row>
    <row r="197">
      <c r="A197" s="16">
        <f>IF('VERI_A'!$A197="","",ROW()-ROW(tblVeriA[[#Headers]]))</f>
        <v/>
      </c>
      <c r="B197" s="23">
        <f>IF('VERI_A'!$A197="","",'VERI_A'!$A197)</f>
        <v/>
      </c>
      <c r="C197" s="16">
        <f>IF($B197="","",IF(OR('VERI_A'!$B197="",'VERI_A'!$B197=0),"TARIH_BOS",IF(LEN(TRIM('VERI_A'!$C197&amp;""))&lt;&gt;dbe_vknUzunluk,"VKN_UZUNLUK",IF('VERI_A'!$G197&lt;0,"TUTAR_NEGATIF",IF('VERI_A'!$I197="","DONEM_EKSIK",""))))</f>
        <v/>
      </c>
      <c r="D197" s="16">
        <f>IF($C197="","",IF($C197="TARIH_BOS","Belge tarihi zorunlu",IF($C197="VKN_UZUNLUK","VKN 10 hane olmalı",IF($C197="TUTAR_NEGATIF","Toplam negatif olamaz",IF($C197="DONEM_EKSIK","Dönem zorunlu","Elle incele"))))</f>
        <v/>
      </c>
      <c r="E197" s="16">
        <f>IF($C197="","",IF(OR($C197="TUTAR_NEGATIF",$C197="TARIH_BOS"),"YUKSEK","ORTA"))</f>
        <v/>
      </c>
      <c r="F197" s="16">
        <f>IF($C197="","",IF(OR($C197="TARIH_BOS",$C197="VKN_UZUNLUK",$C197="TUTAR_NEGATIF",$C197="DONEM_EKSIK"),$C197,"TANIMSIZ"))</f>
        <v/>
      </c>
      <c r="G197" s="16">
        <f>IF($C197="","",1)</f>
        <v/>
      </c>
    </row>
    <row r="198">
      <c r="A198" s="16">
        <f>IF('VERI_A'!$A198="","",ROW()-ROW(tblVeriA[[#Headers]]))</f>
        <v/>
      </c>
      <c r="B198" s="23">
        <f>IF('VERI_A'!$A198="","",'VERI_A'!$A198)</f>
        <v/>
      </c>
      <c r="C198" s="16">
        <f>IF($B198="","",IF(OR('VERI_A'!$B198="",'VERI_A'!$B198=0),"TARIH_BOS",IF(LEN(TRIM('VERI_A'!$C198&amp;""))&lt;&gt;dbe_vknUzunluk,"VKN_UZUNLUK",IF('VERI_A'!$G198&lt;0,"TUTAR_NEGATIF",IF('VERI_A'!$I198="","DONEM_EKSIK",""))))</f>
        <v/>
      </c>
      <c r="D198" s="16">
        <f>IF($C198="","",IF($C198="TARIH_BOS","Belge tarihi zorunlu",IF($C198="VKN_UZUNLUK","VKN 10 hane olmalı",IF($C198="TUTAR_NEGATIF","Toplam negatif olamaz",IF($C198="DONEM_EKSIK","Dönem zorunlu","Elle incele"))))</f>
        <v/>
      </c>
      <c r="E198" s="16">
        <f>IF($C198="","",IF(OR($C198="TUTAR_NEGATIF",$C198="TARIH_BOS"),"YUKSEK","ORTA"))</f>
        <v/>
      </c>
      <c r="F198" s="16">
        <f>IF($C198="","",IF(OR($C198="TARIH_BOS",$C198="VKN_UZUNLUK",$C198="TUTAR_NEGATIF",$C198="DONEM_EKSIK"),$C198,"TANIMSIZ"))</f>
        <v/>
      </c>
      <c r="G198" s="16">
        <f>IF($C198="","",1)</f>
        <v/>
      </c>
    </row>
    <row r="199">
      <c r="A199" s="16">
        <f>IF('VERI_A'!$A199="","",ROW()-ROW(tblVeriA[[#Headers]]))</f>
        <v/>
      </c>
      <c r="B199" s="23">
        <f>IF('VERI_A'!$A199="","",'VERI_A'!$A199)</f>
        <v/>
      </c>
      <c r="C199" s="16">
        <f>IF($B199="","",IF(OR('VERI_A'!$B199="",'VERI_A'!$B199=0),"TARIH_BOS",IF(LEN(TRIM('VERI_A'!$C199&amp;""))&lt;&gt;dbe_vknUzunluk,"VKN_UZUNLUK",IF('VERI_A'!$G199&lt;0,"TUTAR_NEGATIF",IF('VERI_A'!$I199="","DONEM_EKSIK",""))))</f>
        <v/>
      </c>
      <c r="D199" s="16">
        <f>IF($C199="","",IF($C199="TARIH_BOS","Belge tarihi zorunlu",IF($C199="VKN_UZUNLUK","VKN 10 hane olmalı",IF($C199="TUTAR_NEGATIF","Toplam negatif olamaz",IF($C199="DONEM_EKSIK","Dönem zorunlu","Elle incele"))))</f>
        <v/>
      </c>
      <c r="E199" s="16">
        <f>IF($C199="","",IF(OR($C199="TUTAR_NEGATIF",$C199="TARIH_BOS"),"YUKSEK","ORTA"))</f>
        <v/>
      </c>
      <c r="F199" s="16">
        <f>IF($C199="","",IF(OR($C199="TARIH_BOS",$C199="VKN_UZUNLUK",$C199="TUTAR_NEGATIF",$C199="DONEM_EKSIK"),$C199,"TANIMSIZ"))</f>
        <v/>
      </c>
      <c r="G199" s="16">
        <f>IF($C199="","",1)</f>
        <v/>
      </c>
    </row>
    <row r="200">
      <c r="A200" s="16">
        <f>IF('VERI_A'!$A200="","",ROW()-ROW(tblVeriA[[#Headers]]))</f>
        <v/>
      </c>
      <c r="B200" s="23">
        <f>IF('VERI_A'!$A200="","",'VERI_A'!$A200)</f>
        <v/>
      </c>
      <c r="C200" s="16">
        <f>IF($B200="","",IF(OR('VERI_A'!$B200="",'VERI_A'!$B200=0),"TARIH_BOS",IF(LEN(TRIM('VERI_A'!$C200&amp;""))&lt;&gt;dbe_vknUzunluk,"VKN_UZUNLUK",IF('VERI_A'!$G200&lt;0,"TUTAR_NEGATIF",IF('VERI_A'!$I200="","DONEM_EKSIK",""))))</f>
        <v/>
      </c>
      <c r="D200" s="16">
        <f>IF($C200="","",IF($C200="TARIH_BOS","Belge tarihi zorunlu",IF($C200="VKN_UZUNLUK","VKN 10 hane olmalı",IF($C200="TUTAR_NEGATIF","Toplam negatif olamaz",IF($C200="DONEM_EKSIK","Dönem zorunlu","Elle incele"))))</f>
        <v/>
      </c>
      <c r="E200" s="16">
        <f>IF($C200="","",IF(OR($C200="TUTAR_NEGATIF",$C200="TARIH_BOS"),"YUKSEK","ORTA"))</f>
        <v/>
      </c>
      <c r="F200" s="16">
        <f>IF($C200="","",IF(OR($C200="TARIH_BOS",$C200="VKN_UZUNLUK",$C200="TUTAR_NEGATIF",$C200="DONEM_EKSIK"),$C200,"TANIMSIZ"))</f>
        <v/>
      </c>
      <c r="G200" s="16">
        <f>IF($C200="","",1)</f>
        <v/>
      </c>
    </row>
    <row r="201">
      <c r="A201" s="16">
        <f>IF('VERI_A'!$A201="","",ROW()-ROW(tblVeriA[[#Headers]]))</f>
        <v/>
      </c>
      <c r="B201" s="23">
        <f>IF('VERI_A'!$A201="","",'VERI_A'!$A201)</f>
        <v/>
      </c>
      <c r="C201" s="16">
        <f>IF($B201="","",IF(OR('VERI_A'!$B201="",'VERI_A'!$B201=0),"TARIH_BOS",IF(LEN(TRIM('VERI_A'!$C201&amp;""))&lt;&gt;dbe_vknUzunluk,"VKN_UZUNLUK",IF('VERI_A'!$G201&lt;0,"TUTAR_NEGATIF",IF('VERI_A'!$I201="","DONEM_EKSIK",""))))</f>
        <v/>
      </c>
      <c r="D201" s="16">
        <f>IF($C201="","",IF($C201="TARIH_BOS","Belge tarihi zorunlu",IF($C201="VKN_UZUNLUK","VKN 10 hane olmalı",IF($C201="TUTAR_NEGATIF","Toplam negatif olamaz",IF($C201="DONEM_EKSIK","Dönem zorunlu","Elle incele"))))</f>
        <v/>
      </c>
      <c r="E201" s="16">
        <f>IF($C201="","",IF(OR($C201="TUTAR_NEGATIF",$C201="TARIH_BOS"),"YUKSEK","ORTA"))</f>
        <v/>
      </c>
      <c r="F201" s="16">
        <f>IF($C201="","",IF(OR($C201="TARIH_BOS",$C201="VKN_UZUNLUK",$C201="TUTAR_NEGATIF",$C201="DONEM_EKSIK"),$C201,"TANIMSIZ"))</f>
        <v/>
      </c>
      <c r="G201" s="16">
        <f>IF($C201="","",1)</f>
        <v/>
      </c>
    </row>
    <row r="202">
      <c r="A202" s="16">
        <f>IF('VERI_A'!$A202="","",ROW()-ROW(tblVeriA[[#Headers]]))</f>
        <v/>
      </c>
      <c r="B202" s="23">
        <f>IF('VERI_A'!$A202="","",'VERI_A'!$A202)</f>
        <v/>
      </c>
      <c r="C202" s="16">
        <f>IF($B202="","",IF(OR('VERI_A'!$B202="",'VERI_A'!$B202=0),"TARIH_BOS",IF(LEN(TRIM('VERI_A'!$C202&amp;""))&lt;&gt;dbe_vknUzunluk,"VKN_UZUNLUK",IF('VERI_A'!$G202&lt;0,"TUTAR_NEGATIF",IF('VERI_A'!$I202="","DONEM_EKSIK",""))))</f>
        <v/>
      </c>
      <c r="D202" s="16">
        <f>IF($C202="","",IF($C202="TARIH_BOS","Belge tarihi zorunlu",IF($C202="VKN_UZUNLUK","VKN 10 hane olmalı",IF($C202="TUTAR_NEGATIF","Toplam negatif olamaz",IF($C202="DONEM_EKSIK","Dönem zorunlu","Elle incele"))))</f>
        <v/>
      </c>
      <c r="E202" s="16">
        <f>IF($C202="","",IF(OR($C202="TUTAR_NEGATIF",$C202="TARIH_BOS"),"YUKSEK","ORTA"))</f>
        <v/>
      </c>
      <c r="F202" s="16">
        <f>IF($C202="","",IF(OR($C202="TARIH_BOS",$C202="VKN_UZUNLUK",$C202="TUTAR_NEGATIF",$C202="DONEM_EKSIK"),$C202,"TANIMSIZ"))</f>
        <v/>
      </c>
      <c r="G202" s="16">
        <f>IF($C202="","",1)</f>
        <v/>
      </c>
    </row>
    <row r="203">
      <c r="A203" s="16">
        <f>IF('VERI_A'!$A203="","",ROW()-ROW(tblVeriA[[#Headers]]))</f>
        <v/>
      </c>
      <c r="B203" s="23">
        <f>IF('VERI_A'!$A203="","",'VERI_A'!$A203)</f>
        <v/>
      </c>
      <c r="C203" s="16">
        <f>IF($B203="","",IF(OR('VERI_A'!$B203="",'VERI_A'!$B203=0),"TARIH_BOS",IF(LEN(TRIM('VERI_A'!$C203&amp;""))&lt;&gt;dbe_vknUzunluk,"VKN_UZUNLUK",IF('VERI_A'!$G203&lt;0,"TUTAR_NEGATIF",IF('VERI_A'!$I203="","DONEM_EKSIK",""))))</f>
        <v/>
      </c>
      <c r="D203" s="16">
        <f>IF($C203="","",IF($C203="TARIH_BOS","Belge tarihi zorunlu",IF($C203="VKN_UZUNLUK","VKN 10 hane olmalı",IF($C203="TUTAR_NEGATIF","Toplam negatif olamaz",IF($C203="DONEM_EKSIK","Dönem zorunlu","Elle incele"))))</f>
        <v/>
      </c>
      <c r="E203" s="16">
        <f>IF($C203="","",IF(OR($C203="TUTAR_NEGATIF",$C203="TARIH_BOS"),"YUKSEK","ORTA"))</f>
        <v/>
      </c>
      <c r="F203" s="16">
        <f>IF($C203="","",IF(OR($C203="TARIH_BOS",$C203="VKN_UZUNLUK",$C203="TUTAR_NEGATIF",$C203="DONEM_EKSIK"),$C203,"TANIMSIZ"))</f>
        <v/>
      </c>
      <c r="G203" s="16">
        <f>IF($C203="","",1)</f>
        <v/>
      </c>
    </row>
    <row r="204">
      <c r="A204" s="16">
        <f>IF('VERI_A'!$A204="","",ROW()-ROW(tblVeriA[[#Headers]]))</f>
        <v/>
      </c>
      <c r="B204" s="23">
        <f>IF('VERI_A'!$A204="","",'VERI_A'!$A204)</f>
        <v/>
      </c>
      <c r="C204" s="16">
        <f>IF($B204="","",IF(OR('VERI_A'!$B204="",'VERI_A'!$B204=0),"TARIH_BOS",IF(LEN(TRIM('VERI_A'!$C204&amp;""))&lt;&gt;dbe_vknUzunluk,"VKN_UZUNLUK",IF('VERI_A'!$G204&lt;0,"TUTAR_NEGATIF",IF('VERI_A'!$I204="","DONEM_EKSIK",""))))</f>
        <v/>
      </c>
      <c r="D204" s="16">
        <f>IF($C204="","",IF($C204="TARIH_BOS","Belge tarihi zorunlu",IF($C204="VKN_UZUNLUK","VKN 10 hane olmalı",IF($C204="TUTAR_NEGATIF","Toplam negatif olamaz",IF($C204="DONEM_EKSIK","Dönem zorunlu","Elle incele"))))</f>
        <v/>
      </c>
      <c r="E204" s="16">
        <f>IF($C204="","",IF(OR($C204="TUTAR_NEGATIF",$C204="TARIH_BOS"),"YUKSEK","ORTA"))</f>
        <v/>
      </c>
      <c r="F204" s="16">
        <f>IF($C204="","",IF(OR($C204="TARIH_BOS",$C204="VKN_UZUNLUK",$C204="TUTAR_NEGATIF",$C204="DONEM_EKSIK"),$C204,"TANIMSIZ"))</f>
        <v/>
      </c>
      <c r="G204" s="16">
        <f>IF($C204="","",1)</f>
        <v/>
      </c>
    </row>
    <row r="205">
      <c r="A205" s="16">
        <f>IF('VERI_A'!$A205="","",ROW()-ROW(tblVeriA[[#Headers]]))</f>
        <v/>
      </c>
      <c r="B205" s="23">
        <f>IF('VERI_A'!$A205="","",'VERI_A'!$A205)</f>
        <v/>
      </c>
      <c r="C205" s="16">
        <f>IF($B205="","",IF(OR('VERI_A'!$B205="",'VERI_A'!$B205=0),"TARIH_BOS",IF(LEN(TRIM('VERI_A'!$C205&amp;""))&lt;&gt;dbe_vknUzunluk,"VKN_UZUNLUK",IF('VERI_A'!$G205&lt;0,"TUTAR_NEGATIF",IF('VERI_A'!$I205="","DONEM_EKSIK",""))))</f>
        <v/>
      </c>
      <c r="D205" s="16">
        <f>IF($C205="","",IF($C205="TARIH_BOS","Belge tarihi zorunlu",IF($C205="VKN_UZUNLUK","VKN 10 hane olmalı",IF($C205="TUTAR_NEGATIF","Toplam negatif olamaz",IF($C205="DONEM_EKSIK","Dönem zorunlu","Elle incele"))))</f>
        <v/>
      </c>
      <c r="E205" s="16">
        <f>IF($C205="","",IF(OR($C205="TUTAR_NEGATIF",$C205="TARIH_BOS"),"YUKSEK","ORTA"))</f>
        <v/>
      </c>
      <c r="F205" s="16">
        <f>IF($C205="","",IF(OR($C205="TARIH_BOS",$C205="VKN_UZUNLUK",$C205="TUTAR_NEGATIF",$C205="DONEM_EKSIK"),$C205,"TANIMSIZ"))</f>
        <v/>
      </c>
      <c r="G205" s="16">
        <f>IF($C205="","",1)</f>
        <v/>
      </c>
    </row>
    <row r="206">
      <c r="A206" s="16">
        <f>IF('VERI_A'!$A206="","",ROW()-ROW(tblVeriA[[#Headers]]))</f>
        <v/>
      </c>
      <c r="B206" s="23">
        <f>IF('VERI_A'!$A206="","",'VERI_A'!$A206)</f>
        <v/>
      </c>
      <c r="C206" s="16">
        <f>IF($B206="","",IF(OR('VERI_A'!$B206="",'VERI_A'!$B206=0),"TARIH_BOS",IF(LEN(TRIM('VERI_A'!$C206&amp;""))&lt;&gt;dbe_vknUzunluk,"VKN_UZUNLUK",IF('VERI_A'!$G206&lt;0,"TUTAR_NEGATIF",IF('VERI_A'!$I206="","DONEM_EKSIK",""))))</f>
        <v/>
      </c>
      <c r="D206" s="16">
        <f>IF($C206="","",IF($C206="TARIH_BOS","Belge tarihi zorunlu",IF($C206="VKN_UZUNLUK","VKN 10 hane olmalı",IF($C206="TUTAR_NEGATIF","Toplam negatif olamaz",IF($C206="DONEM_EKSIK","Dönem zorunlu","Elle incele"))))</f>
        <v/>
      </c>
      <c r="E206" s="16">
        <f>IF($C206="","",IF(OR($C206="TUTAR_NEGATIF",$C206="TARIH_BOS"),"YUKSEK","ORTA"))</f>
        <v/>
      </c>
      <c r="F206" s="16">
        <f>IF($C206="","",IF(OR($C206="TARIH_BOS",$C206="VKN_UZUNLUK",$C206="TUTAR_NEGATIF",$C206="DONEM_EKSIK"),$C206,"TANIMSIZ"))</f>
        <v/>
      </c>
      <c r="G206" s="16">
        <f>IF($C206="","",1)</f>
        <v/>
      </c>
    </row>
    <row r="207">
      <c r="A207" s="16">
        <f>IF('VERI_A'!$A207="","",ROW()-ROW(tblVeriA[[#Headers]]))</f>
        <v/>
      </c>
      <c r="B207" s="23">
        <f>IF('VERI_A'!$A207="","",'VERI_A'!$A207)</f>
        <v/>
      </c>
      <c r="C207" s="16">
        <f>IF($B207="","",IF(OR('VERI_A'!$B207="",'VERI_A'!$B207=0),"TARIH_BOS",IF(LEN(TRIM('VERI_A'!$C207&amp;""))&lt;&gt;dbe_vknUzunluk,"VKN_UZUNLUK",IF('VERI_A'!$G207&lt;0,"TUTAR_NEGATIF",IF('VERI_A'!$I207="","DONEM_EKSIK",""))))</f>
        <v/>
      </c>
      <c r="D207" s="16">
        <f>IF($C207="","",IF($C207="TARIH_BOS","Belge tarihi zorunlu",IF($C207="VKN_UZUNLUK","VKN 10 hane olmalı",IF($C207="TUTAR_NEGATIF","Toplam negatif olamaz",IF($C207="DONEM_EKSIK","Dönem zorunlu","Elle incele"))))</f>
        <v/>
      </c>
      <c r="E207" s="16">
        <f>IF($C207="","",IF(OR($C207="TUTAR_NEGATIF",$C207="TARIH_BOS"),"YUKSEK","ORTA"))</f>
        <v/>
      </c>
      <c r="F207" s="16">
        <f>IF($C207="","",IF(OR($C207="TARIH_BOS",$C207="VKN_UZUNLUK",$C207="TUTAR_NEGATIF",$C207="DONEM_EKSIK"),$C207,"TANIMSIZ"))</f>
        <v/>
      </c>
      <c r="G207" s="16">
        <f>IF($C207="","",1)</f>
        <v/>
      </c>
    </row>
    <row r="208">
      <c r="A208" s="16">
        <f>IF('VERI_A'!$A208="","",ROW()-ROW(tblVeriA[[#Headers]]))</f>
        <v/>
      </c>
      <c r="B208" s="23">
        <f>IF('VERI_A'!$A208="","",'VERI_A'!$A208)</f>
        <v/>
      </c>
      <c r="C208" s="16">
        <f>IF($B208="","",IF(OR('VERI_A'!$B208="",'VERI_A'!$B208=0),"TARIH_BOS",IF(LEN(TRIM('VERI_A'!$C208&amp;""))&lt;&gt;dbe_vknUzunluk,"VKN_UZUNLUK",IF('VERI_A'!$G208&lt;0,"TUTAR_NEGATIF",IF('VERI_A'!$I208="","DONEM_EKSIK",""))))</f>
        <v/>
      </c>
      <c r="D208" s="16">
        <f>IF($C208="","",IF($C208="TARIH_BOS","Belge tarihi zorunlu",IF($C208="VKN_UZUNLUK","VKN 10 hane olmalı",IF($C208="TUTAR_NEGATIF","Toplam negatif olamaz",IF($C208="DONEM_EKSIK","Dönem zorunlu","Elle incele"))))</f>
        <v/>
      </c>
      <c r="E208" s="16">
        <f>IF($C208="","",IF(OR($C208="TUTAR_NEGATIF",$C208="TARIH_BOS"),"YUKSEK","ORTA"))</f>
        <v/>
      </c>
      <c r="F208" s="16">
        <f>IF($C208="","",IF(OR($C208="TARIH_BOS",$C208="VKN_UZUNLUK",$C208="TUTAR_NEGATIF",$C208="DONEM_EKSIK"),$C208,"TANIMSIZ"))</f>
        <v/>
      </c>
      <c r="G208" s="16">
        <f>IF($C208="","",1)</f>
        <v/>
      </c>
    </row>
    <row r="209">
      <c r="A209" s="16">
        <f>IF('VERI_A'!$A209="","",ROW()-ROW(tblVeriA[[#Headers]]))</f>
        <v/>
      </c>
      <c r="B209" s="23">
        <f>IF('VERI_A'!$A209="","",'VERI_A'!$A209)</f>
        <v/>
      </c>
      <c r="C209" s="16">
        <f>IF($B209="","",IF(OR('VERI_A'!$B209="",'VERI_A'!$B209=0),"TARIH_BOS",IF(LEN(TRIM('VERI_A'!$C209&amp;""))&lt;&gt;dbe_vknUzunluk,"VKN_UZUNLUK",IF('VERI_A'!$G209&lt;0,"TUTAR_NEGATIF",IF('VERI_A'!$I209="","DONEM_EKSIK",""))))</f>
        <v/>
      </c>
      <c r="D209" s="16">
        <f>IF($C209="","",IF($C209="TARIH_BOS","Belge tarihi zorunlu",IF($C209="VKN_UZUNLUK","VKN 10 hane olmalı",IF($C209="TUTAR_NEGATIF","Toplam negatif olamaz",IF($C209="DONEM_EKSIK","Dönem zorunlu","Elle incele"))))</f>
        <v/>
      </c>
      <c r="E209" s="16">
        <f>IF($C209="","",IF(OR($C209="TUTAR_NEGATIF",$C209="TARIH_BOS"),"YUKSEK","ORTA"))</f>
        <v/>
      </c>
      <c r="F209" s="16">
        <f>IF($C209="","",IF(OR($C209="TARIH_BOS",$C209="VKN_UZUNLUK",$C209="TUTAR_NEGATIF",$C209="DONEM_EKSIK"),$C209,"TANIMSIZ"))</f>
        <v/>
      </c>
      <c r="G209" s="16">
        <f>IF($C209="","",1)</f>
        <v/>
      </c>
    </row>
    <row r="210">
      <c r="A210" s="16">
        <f>IF('VERI_A'!$A210="","",ROW()-ROW(tblVeriA[[#Headers]]))</f>
        <v/>
      </c>
      <c r="B210" s="23">
        <f>IF('VERI_A'!$A210="","",'VERI_A'!$A210)</f>
        <v/>
      </c>
      <c r="C210" s="16">
        <f>IF($B210="","",IF(OR('VERI_A'!$B210="",'VERI_A'!$B210=0),"TARIH_BOS",IF(LEN(TRIM('VERI_A'!$C210&amp;""))&lt;&gt;dbe_vknUzunluk,"VKN_UZUNLUK",IF('VERI_A'!$G210&lt;0,"TUTAR_NEGATIF",IF('VERI_A'!$I210="","DONEM_EKSIK",""))))</f>
        <v/>
      </c>
      <c r="D210" s="16">
        <f>IF($C210="","",IF($C210="TARIH_BOS","Belge tarihi zorunlu",IF($C210="VKN_UZUNLUK","VKN 10 hane olmalı",IF($C210="TUTAR_NEGATIF","Toplam negatif olamaz",IF($C210="DONEM_EKSIK","Dönem zorunlu","Elle incele"))))</f>
        <v/>
      </c>
      <c r="E210" s="16">
        <f>IF($C210="","",IF(OR($C210="TUTAR_NEGATIF",$C210="TARIH_BOS"),"YUKSEK","ORTA"))</f>
        <v/>
      </c>
      <c r="F210" s="16">
        <f>IF($C210="","",IF(OR($C210="TARIH_BOS",$C210="VKN_UZUNLUK",$C210="TUTAR_NEGATIF",$C210="DONEM_EKSIK"),$C210,"TANIMSIZ"))</f>
        <v/>
      </c>
      <c r="G210" s="16">
        <f>IF($C210="","",1)</f>
        <v/>
      </c>
    </row>
    <row r="211">
      <c r="A211" s="16">
        <f>IF('VERI_A'!$A211="","",ROW()-ROW(tblVeriA[[#Headers]]))</f>
        <v/>
      </c>
      <c r="B211" s="23">
        <f>IF('VERI_A'!$A211="","",'VERI_A'!$A211)</f>
        <v/>
      </c>
      <c r="C211" s="16">
        <f>IF($B211="","",IF(OR('VERI_A'!$B211="",'VERI_A'!$B211=0),"TARIH_BOS",IF(LEN(TRIM('VERI_A'!$C211&amp;""))&lt;&gt;dbe_vknUzunluk,"VKN_UZUNLUK",IF('VERI_A'!$G211&lt;0,"TUTAR_NEGATIF",IF('VERI_A'!$I211="","DONEM_EKSIK",""))))</f>
        <v/>
      </c>
      <c r="D211" s="16">
        <f>IF($C211="","",IF($C211="TARIH_BOS","Belge tarihi zorunlu",IF($C211="VKN_UZUNLUK","VKN 10 hane olmalı",IF($C211="TUTAR_NEGATIF","Toplam negatif olamaz",IF($C211="DONEM_EKSIK","Dönem zorunlu","Elle incele"))))</f>
        <v/>
      </c>
      <c r="E211" s="16">
        <f>IF($C211="","",IF(OR($C211="TUTAR_NEGATIF",$C211="TARIH_BOS"),"YUKSEK","ORTA"))</f>
        <v/>
      </c>
      <c r="F211" s="16">
        <f>IF($C211="","",IF(OR($C211="TARIH_BOS",$C211="VKN_UZUNLUK",$C211="TUTAR_NEGATIF",$C211="DONEM_EKSIK"),$C211,"TANIMSIZ"))</f>
        <v/>
      </c>
      <c r="G211" s="16">
        <f>IF($C211="","",1)</f>
        <v/>
      </c>
    </row>
    <row r="212">
      <c r="A212" s="16">
        <f>IF('VERI_A'!$A212="","",ROW()-ROW(tblVeriA[[#Headers]]))</f>
        <v/>
      </c>
      <c r="B212" s="23">
        <f>IF('VERI_A'!$A212="","",'VERI_A'!$A212)</f>
        <v/>
      </c>
      <c r="C212" s="16">
        <f>IF($B212="","",IF(OR('VERI_A'!$B212="",'VERI_A'!$B212=0),"TARIH_BOS",IF(LEN(TRIM('VERI_A'!$C212&amp;""))&lt;&gt;dbe_vknUzunluk,"VKN_UZUNLUK",IF('VERI_A'!$G212&lt;0,"TUTAR_NEGATIF",IF('VERI_A'!$I212="","DONEM_EKSIK",""))))</f>
        <v/>
      </c>
      <c r="D212" s="16">
        <f>IF($C212="","",IF($C212="TARIH_BOS","Belge tarihi zorunlu",IF($C212="VKN_UZUNLUK","VKN 10 hane olmalı",IF($C212="TUTAR_NEGATIF","Toplam negatif olamaz",IF($C212="DONEM_EKSIK","Dönem zorunlu","Elle incele"))))</f>
        <v/>
      </c>
      <c r="E212" s="16">
        <f>IF($C212="","",IF(OR($C212="TUTAR_NEGATIF",$C212="TARIH_BOS"),"YUKSEK","ORTA"))</f>
        <v/>
      </c>
      <c r="F212" s="16">
        <f>IF($C212="","",IF(OR($C212="TARIH_BOS",$C212="VKN_UZUNLUK",$C212="TUTAR_NEGATIF",$C212="DONEM_EKSIK"),$C212,"TANIMSIZ"))</f>
        <v/>
      </c>
      <c r="G212" s="16">
        <f>IF($C212="","",1)</f>
        <v/>
      </c>
    </row>
    <row r="213">
      <c r="A213" s="16">
        <f>IF('VERI_A'!$A213="","",ROW()-ROW(tblVeriA[[#Headers]]))</f>
        <v/>
      </c>
      <c r="B213" s="23">
        <f>IF('VERI_A'!$A213="","",'VERI_A'!$A213)</f>
        <v/>
      </c>
      <c r="C213" s="16">
        <f>IF($B213="","",IF(OR('VERI_A'!$B213="",'VERI_A'!$B213=0),"TARIH_BOS",IF(LEN(TRIM('VERI_A'!$C213&amp;""))&lt;&gt;dbe_vknUzunluk,"VKN_UZUNLUK",IF('VERI_A'!$G213&lt;0,"TUTAR_NEGATIF",IF('VERI_A'!$I213="","DONEM_EKSIK",""))))</f>
        <v/>
      </c>
      <c r="D213" s="16">
        <f>IF($C213="","",IF($C213="TARIH_BOS","Belge tarihi zorunlu",IF($C213="VKN_UZUNLUK","VKN 10 hane olmalı",IF($C213="TUTAR_NEGATIF","Toplam negatif olamaz",IF($C213="DONEM_EKSIK","Dönem zorunlu","Elle incele"))))</f>
        <v/>
      </c>
      <c r="E213" s="16">
        <f>IF($C213="","",IF(OR($C213="TUTAR_NEGATIF",$C213="TARIH_BOS"),"YUKSEK","ORTA"))</f>
        <v/>
      </c>
      <c r="F213" s="16">
        <f>IF($C213="","",IF(OR($C213="TARIH_BOS",$C213="VKN_UZUNLUK",$C213="TUTAR_NEGATIF",$C213="DONEM_EKSIK"),$C213,"TANIMSIZ"))</f>
        <v/>
      </c>
      <c r="G213" s="16">
        <f>IF($C213="","",1)</f>
        <v/>
      </c>
    </row>
    <row r="214">
      <c r="A214" s="16">
        <f>IF('VERI_A'!$A214="","",ROW()-ROW(tblVeriA[[#Headers]]))</f>
        <v/>
      </c>
      <c r="B214" s="23">
        <f>IF('VERI_A'!$A214="","",'VERI_A'!$A214)</f>
        <v/>
      </c>
      <c r="C214" s="16">
        <f>IF($B214="","",IF(OR('VERI_A'!$B214="",'VERI_A'!$B214=0),"TARIH_BOS",IF(LEN(TRIM('VERI_A'!$C214&amp;""))&lt;&gt;dbe_vknUzunluk,"VKN_UZUNLUK",IF('VERI_A'!$G214&lt;0,"TUTAR_NEGATIF",IF('VERI_A'!$I214="","DONEM_EKSIK",""))))</f>
        <v/>
      </c>
      <c r="D214" s="16">
        <f>IF($C214="","",IF($C214="TARIH_BOS","Belge tarihi zorunlu",IF($C214="VKN_UZUNLUK","VKN 10 hane olmalı",IF($C214="TUTAR_NEGATIF","Toplam negatif olamaz",IF($C214="DONEM_EKSIK","Dönem zorunlu","Elle incele"))))</f>
        <v/>
      </c>
      <c r="E214" s="16">
        <f>IF($C214="","",IF(OR($C214="TUTAR_NEGATIF",$C214="TARIH_BOS"),"YUKSEK","ORTA"))</f>
        <v/>
      </c>
      <c r="F214" s="16">
        <f>IF($C214="","",IF(OR($C214="TARIH_BOS",$C214="VKN_UZUNLUK",$C214="TUTAR_NEGATIF",$C214="DONEM_EKSIK"),$C214,"TANIMSIZ"))</f>
        <v/>
      </c>
      <c r="G214" s="16">
        <f>IF($C214="","",1)</f>
        <v/>
      </c>
    </row>
    <row r="215">
      <c r="A215" s="16">
        <f>IF('VERI_A'!$A215="","",ROW()-ROW(tblVeriA[[#Headers]]))</f>
        <v/>
      </c>
      <c r="B215" s="23">
        <f>IF('VERI_A'!$A215="","",'VERI_A'!$A215)</f>
        <v/>
      </c>
      <c r="C215" s="16">
        <f>IF($B215="","",IF(OR('VERI_A'!$B215="",'VERI_A'!$B215=0),"TARIH_BOS",IF(LEN(TRIM('VERI_A'!$C215&amp;""))&lt;&gt;dbe_vknUzunluk,"VKN_UZUNLUK",IF('VERI_A'!$G215&lt;0,"TUTAR_NEGATIF",IF('VERI_A'!$I215="","DONEM_EKSIK",""))))</f>
        <v/>
      </c>
      <c r="D215" s="16">
        <f>IF($C215="","",IF($C215="TARIH_BOS","Belge tarihi zorunlu",IF($C215="VKN_UZUNLUK","VKN 10 hane olmalı",IF($C215="TUTAR_NEGATIF","Toplam negatif olamaz",IF($C215="DONEM_EKSIK","Dönem zorunlu","Elle incele"))))</f>
        <v/>
      </c>
      <c r="E215" s="16">
        <f>IF($C215="","",IF(OR($C215="TUTAR_NEGATIF",$C215="TARIH_BOS"),"YUKSEK","ORTA"))</f>
        <v/>
      </c>
      <c r="F215" s="16">
        <f>IF($C215="","",IF(OR($C215="TARIH_BOS",$C215="VKN_UZUNLUK",$C215="TUTAR_NEGATIF",$C215="DONEM_EKSIK"),$C215,"TANIMSIZ"))</f>
        <v/>
      </c>
      <c r="G215" s="16">
        <f>IF($C215="","",1)</f>
        <v/>
      </c>
    </row>
    <row r="216">
      <c r="A216" s="16">
        <f>IF('VERI_A'!$A216="","",ROW()-ROW(tblVeriA[[#Headers]]))</f>
        <v/>
      </c>
      <c r="B216" s="23">
        <f>IF('VERI_A'!$A216="","",'VERI_A'!$A216)</f>
        <v/>
      </c>
      <c r="C216" s="16">
        <f>IF($B216="","",IF(OR('VERI_A'!$B216="",'VERI_A'!$B216=0),"TARIH_BOS",IF(LEN(TRIM('VERI_A'!$C216&amp;""))&lt;&gt;dbe_vknUzunluk,"VKN_UZUNLUK",IF('VERI_A'!$G216&lt;0,"TUTAR_NEGATIF",IF('VERI_A'!$I216="","DONEM_EKSIK",""))))</f>
        <v/>
      </c>
      <c r="D216" s="16">
        <f>IF($C216="","",IF($C216="TARIH_BOS","Belge tarihi zorunlu",IF($C216="VKN_UZUNLUK","VKN 10 hane olmalı",IF($C216="TUTAR_NEGATIF","Toplam negatif olamaz",IF($C216="DONEM_EKSIK","Dönem zorunlu","Elle incele"))))</f>
        <v/>
      </c>
      <c r="E216" s="16">
        <f>IF($C216="","",IF(OR($C216="TUTAR_NEGATIF",$C216="TARIH_BOS"),"YUKSEK","ORTA"))</f>
        <v/>
      </c>
      <c r="F216" s="16">
        <f>IF($C216="","",IF(OR($C216="TARIH_BOS",$C216="VKN_UZUNLUK",$C216="TUTAR_NEGATIF",$C216="DONEM_EKSIK"),$C216,"TANIMSIZ"))</f>
        <v/>
      </c>
      <c r="G216" s="16">
        <f>IF($C216="","",1)</f>
        <v/>
      </c>
    </row>
    <row r="217">
      <c r="A217" s="16">
        <f>IF('VERI_A'!$A217="","",ROW()-ROW(tblVeriA[[#Headers]]))</f>
        <v/>
      </c>
      <c r="B217" s="23">
        <f>IF('VERI_A'!$A217="","",'VERI_A'!$A217)</f>
        <v/>
      </c>
      <c r="C217" s="16">
        <f>IF($B217="","",IF(OR('VERI_A'!$B217="",'VERI_A'!$B217=0),"TARIH_BOS",IF(LEN(TRIM('VERI_A'!$C217&amp;""))&lt;&gt;dbe_vknUzunluk,"VKN_UZUNLUK",IF('VERI_A'!$G217&lt;0,"TUTAR_NEGATIF",IF('VERI_A'!$I217="","DONEM_EKSIK",""))))</f>
        <v/>
      </c>
      <c r="D217" s="16">
        <f>IF($C217="","",IF($C217="TARIH_BOS","Belge tarihi zorunlu",IF($C217="VKN_UZUNLUK","VKN 10 hane olmalı",IF($C217="TUTAR_NEGATIF","Toplam negatif olamaz",IF($C217="DONEM_EKSIK","Dönem zorunlu","Elle incele"))))</f>
        <v/>
      </c>
      <c r="E217" s="16">
        <f>IF($C217="","",IF(OR($C217="TUTAR_NEGATIF",$C217="TARIH_BOS"),"YUKSEK","ORTA"))</f>
        <v/>
      </c>
      <c r="F217" s="16">
        <f>IF($C217="","",IF(OR($C217="TARIH_BOS",$C217="VKN_UZUNLUK",$C217="TUTAR_NEGATIF",$C217="DONEM_EKSIK"),$C217,"TANIMSIZ"))</f>
        <v/>
      </c>
      <c r="G217" s="16">
        <f>IF($C217="","",1)</f>
        <v/>
      </c>
    </row>
    <row r="218">
      <c r="A218" s="16">
        <f>IF('VERI_A'!$A218="","",ROW()-ROW(tblVeriA[[#Headers]]))</f>
        <v/>
      </c>
      <c r="B218" s="23">
        <f>IF('VERI_A'!$A218="","",'VERI_A'!$A218)</f>
        <v/>
      </c>
      <c r="C218" s="16">
        <f>IF($B218="","",IF(OR('VERI_A'!$B218="",'VERI_A'!$B218=0),"TARIH_BOS",IF(LEN(TRIM('VERI_A'!$C218&amp;""))&lt;&gt;dbe_vknUzunluk,"VKN_UZUNLUK",IF('VERI_A'!$G218&lt;0,"TUTAR_NEGATIF",IF('VERI_A'!$I218="","DONEM_EKSIK",""))))</f>
        <v/>
      </c>
      <c r="D218" s="16">
        <f>IF($C218="","",IF($C218="TARIH_BOS","Belge tarihi zorunlu",IF($C218="VKN_UZUNLUK","VKN 10 hane olmalı",IF($C218="TUTAR_NEGATIF","Toplam negatif olamaz",IF($C218="DONEM_EKSIK","Dönem zorunlu","Elle incele"))))</f>
        <v/>
      </c>
      <c r="E218" s="16">
        <f>IF($C218="","",IF(OR($C218="TUTAR_NEGATIF",$C218="TARIH_BOS"),"YUKSEK","ORTA"))</f>
        <v/>
      </c>
      <c r="F218" s="16">
        <f>IF($C218="","",IF(OR($C218="TARIH_BOS",$C218="VKN_UZUNLUK",$C218="TUTAR_NEGATIF",$C218="DONEM_EKSIK"),$C218,"TANIMSIZ"))</f>
        <v/>
      </c>
      <c r="G218" s="16">
        <f>IF($C218="","",1)</f>
        <v/>
      </c>
    </row>
    <row r="219">
      <c r="A219" s="16">
        <f>IF('VERI_A'!$A219="","",ROW()-ROW(tblVeriA[[#Headers]]))</f>
        <v/>
      </c>
      <c r="B219" s="23">
        <f>IF('VERI_A'!$A219="","",'VERI_A'!$A219)</f>
        <v/>
      </c>
      <c r="C219" s="16">
        <f>IF($B219="","",IF(OR('VERI_A'!$B219="",'VERI_A'!$B219=0),"TARIH_BOS",IF(LEN(TRIM('VERI_A'!$C219&amp;""))&lt;&gt;dbe_vknUzunluk,"VKN_UZUNLUK",IF('VERI_A'!$G219&lt;0,"TUTAR_NEGATIF",IF('VERI_A'!$I219="","DONEM_EKSIK",""))))</f>
        <v/>
      </c>
      <c r="D219" s="16">
        <f>IF($C219="","",IF($C219="TARIH_BOS","Belge tarihi zorunlu",IF($C219="VKN_UZUNLUK","VKN 10 hane olmalı",IF($C219="TUTAR_NEGATIF","Toplam negatif olamaz",IF($C219="DONEM_EKSIK","Dönem zorunlu","Elle incele"))))</f>
        <v/>
      </c>
      <c r="E219" s="16">
        <f>IF($C219="","",IF(OR($C219="TUTAR_NEGATIF",$C219="TARIH_BOS"),"YUKSEK","ORTA"))</f>
        <v/>
      </c>
      <c r="F219" s="16">
        <f>IF($C219="","",IF(OR($C219="TARIH_BOS",$C219="VKN_UZUNLUK",$C219="TUTAR_NEGATIF",$C219="DONEM_EKSIK"),$C219,"TANIMSIZ"))</f>
        <v/>
      </c>
      <c r="G219" s="16">
        <f>IF($C219="","",1)</f>
        <v/>
      </c>
    </row>
    <row r="220">
      <c r="A220" s="16">
        <f>IF('VERI_A'!$A220="","",ROW()-ROW(tblVeriA[[#Headers]]))</f>
        <v/>
      </c>
      <c r="B220" s="23">
        <f>IF('VERI_A'!$A220="","",'VERI_A'!$A220)</f>
        <v/>
      </c>
      <c r="C220" s="16">
        <f>IF($B220="","",IF(OR('VERI_A'!$B220="",'VERI_A'!$B220=0),"TARIH_BOS",IF(LEN(TRIM('VERI_A'!$C220&amp;""))&lt;&gt;dbe_vknUzunluk,"VKN_UZUNLUK",IF('VERI_A'!$G220&lt;0,"TUTAR_NEGATIF",IF('VERI_A'!$I220="","DONEM_EKSIK",""))))</f>
        <v/>
      </c>
      <c r="D220" s="16">
        <f>IF($C220="","",IF($C220="TARIH_BOS","Belge tarihi zorunlu",IF($C220="VKN_UZUNLUK","VKN 10 hane olmalı",IF($C220="TUTAR_NEGATIF","Toplam negatif olamaz",IF($C220="DONEM_EKSIK","Dönem zorunlu","Elle incele"))))</f>
        <v/>
      </c>
      <c r="E220" s="16">
        <f>IF($C220="","",IF(OR($C220="TUTAR_NEGATIF",$C220="TARIH_BOS"),"YUKSEK","ORTA"))</f>
        <v/>
      </c>
      <c r="F220" s="16">
        <f>IF($C220="","",IF(OR($C220="TARIH_BOS",$C220="VKN_UZUNLUK",$C220="TUTAR_NEGATIF",$C220="DONEM_EKSIK"),$C220,"TANIMSIZ"))</f>
        <v/>
      </c>
      <c r="G220" s="16">
        <f>IF($C220="","",1)</f>
        <v/>
      </c>
    </row>
    <row r="221">
      <c r="A221" s="16">
        <f>IF('VERI_A'!$A221="","",ROW()-ROW(tblVeriA[[#Headers]]))</f>
        <v/>
      </c>
      <c r="B221" s="23">
        <f>IF('VERI_A'!$A221="","",'VERI_A'!$A221)</f>
        <v/>
      </c>
      <c r="C221" s="16">
        <f>IF($B221="","",IF(OR('VERI_A'!$B221="",'VERI_A'!$B221=0),"TARIH_BOS",IF(LEN(TRIM('VERI_A'!$C221&amp;""))&lt;&gt;dbe_vknUzunluk,"VKN_UZUNLUK",IF('VERI_A'!$G221&lt;0,"TUTAR_NEGATIF",IF('VERI_A'!$I221="","DONEM_EKSIK",""))))</f>
        <v/>
      </c>
      <c r="D221" s="16">
        <f>IF($C221="","",IF($C221="TARIH_BOS","Belge tarihi zorunlu",IF($C221="VKN_UZUNLUK","VKN 10 hane olmalı",IF($C221="TUTAR_NEGATIF","Toplam negatif olamaz",IF($C221="DONEM_EKSIK","Dönem zorunlu","Elle incele"))))</f>
        <v/>
      </c>
      <c r="E221" s="16">
        <f>IF($C221="","",IF(OR($C221="TUTAR_NEGATIF",$C221="TARIH_BOS"),"YUKSEK","ORTA"))</f>
        <v/>
      </c>
      <c r="F221" s="16">
        <f>IF($C221="","",IF(OR($C221="TARIH_BOS",$C221="VKN_UZUNLUK",$C221="TUTAR_NEGATIF",$C221="DONEM_EKSIK"),$C221,"TANIMSIZ"))</f>
        <v/>
      </c>
      <c r="G221" s="16">
        <f>IF($C221="","",1)</f>
        <v/>
      </c>
    </row>
    <row r="222">
      <c r="A222" s="16">
        <f>IF('VERI_A'!$A222="","",ROW()-ROW(tblVeriA[[#Headers]]))</f>
        <v/>
      </c>
      <c r="B222" s="23">
        <f>IF('VERI_A'!$A222="","",'VERI_A'!$A222)</f>
        <v/>
      </c>
      <c r="C222" s="16">
        <f>IF($B222="","",IF(OR('VERI_A'!$B222="",'VERI_A'!$B222=0),"TARIH_BOS",IF(LEN(TRIM('VERI_A'!$C222&amp;""))&lt;&gt;dbe_vknUzunluk,"VKN_UZUNLUK",IF('VERI_A'!$G222&lt;0,"TUTAR_NEGATIF",IF('VERI_A'!$I222="","DONEM_EKSIK",""))))</f>
        <v/>
      </c>
      <c r="D222" s="16">
        <f>IF($C222="","",IF($C222="TARIH_BOS","Belge tarihi zorunlu",IF($C222="VKN_UZUNLUK","VKN 10 hane olmalı",IF($C222="TUTAR_NEGATIF","Toplam negatif olamaz",IF($C222="DONEM_EKSIK","Dönem zorunlu","Elle incele"))))</f>
        <v/>
      </c>
      <c r="E222" s="16">
        <f>IF($C222="","",IF(OR($C222="TUTAR_NEGATIF",$C222="TARIH_BOS"),"YUKSEK","ORTA"))</f>
        <v/>
      </c>
      <c r="F222" s="16">
        <f>IF($C222="","",IF(OR($C222="TARIH_BOS",$C222="VKN_UZUNLUK",$C222="TUTAR_NEGATIF",$C222="DONEM_EKSIK"),$C222,"TANIMSIZ"))</f>
        <v/>
      </c>
      <c r="G222" s="16">
        <f>IF($C222="","",1)</f>
        <v/>
      </c>
    </row>
    <row r="223">
      <c r="A223" s="16">
        <f>IF('VERI_A'!$A223="","",ROW()-ROW(tblVeriA[[#Headers]]))</f>
        <v/>
      </c>
      <c r="B223" s="23">
        <f>IF('VERI_A'!$A223="","",'VERI_A'!$A223)</f>
        <v/>
      </c>
      <c r="C223" s="16">
        <f>IF($B223="","",IF(OR('VERI_A'!$B223="",'VERI_A'!$B223=0),"TARIH_BOS",IF(LEN(TRIM('VERI_A'!$C223&amp;""))&lt;&gt;dbe_vknUzunluk,"VKN_UZUNLUK",IF('VERI_A'!$G223&lt;0,"TUTAR_NEGATIF",IF('VERI_A'!$I223="","DONEM_EKSIK",""))))</f>
        <v/>
      </c>
      <c r="D223" s="16">
        <f>IF($C223="","",IF($C223="TARIH_BOS","Belge tarihi zorunlu",IF($C223="VKN_UZUNLUK","VKN 10 hane olmalı",IF($C223="TUTAR_NEGATIF","Toplam negatif olamaz",IF($C223="DONEM_EKSIK","Dönem zorunlu","Elle incele"))))</f>
        <v/>
      </c>
      <c r="E223" s="16">
        <f>IF($C223="","",IF(OR($C223="TUTAR_NEGATIF",$C223="TARIH_BOS"),"YUKSEK","ORTA"))</f>
        <v/>
      </c>
      <c r="F223" s="16">
        <f>IF($C223="","",IF(OR($C223="TARIH_BOS",$C223="VKN_UZUNLUK",$C223="TUTAR_NEGATIF",$C223="DONEM_EKSIK"),$C223,"TANIMSIZ"))</f>
        <v/>
      </c>
      <c r="G223" s="16">
        <f>IF($C223="","",1)</f>
        <v/>
      </c>
    </row>
    <row r="224">
      <c r="A224" s="16">
        <f>IF('VERI_A'!$A224="","",ROW()-ROW(tblVeriA[[#Headers]]))</f>
        <v/>
      </c>
      <c r="B224" s="23">
        <f>IF('VERI_A'!$A224="","",'VERI_A'!$A224)</f>
        <v/>
      </c>
      <c r="C224" s="16">
        <f>IF($B224="","",IF(OR('VERI_A'!$B224="",'VERI_A'!$B224=0),"TARIH_BOS",IF(LEN(TRIM('VERI_A'!$C224&amp;""))&lt;&gt;dbe_vknUzunluk,"VKN_UZUNLUK",IF('VERI_A'!$G224&lt;0,"TUTAR_NEGATIF",IF('VERI_A'!$I224="","DONEM_EKSIK",""))))</f>
        <v/>
      </c>
      <c r="D224" s="16">
        <f>IF($C224="","",IF($C224="TARIH_BOS","Belge tarihi zorunlu",IF($C224="VKN_UZUNLUK","VKN 10 hane olmalı",IF($C224="TUTAR_NEGATIF","Toplam negatif olamaz",IF($C224="DONEM_EKSIK","Dönem zorunlu","Elle incele"))))</f>
        <v/>
      </c>
      <c r="E224" s="16">
        <f>IF($C224="","",IF(OR($C224="TUTAR_NEGATIF",$C224="TARIH_BOS"),"YUKSEK","ORTA"))</f>
        <v/>
      </c>
      <c r="F224" s="16">
        <f>IF($C224="","",IF(OR($C224="TARIH_BOS",$C224="VKN_UZUNLUK",$C224="TUTAR_NEGATIF",$C224="DONEM_EKSIK"),$C224,"TANIMSIZ"))</f>
        <v/>
      </c>
      <c r="G224" s="16">
        <f>IF($C224="","",1)</f>
        <v/>
      </c>
    </row>
    <row r="225">
      <c r="A225" s="16">
        <f>IF('VERI_A'!$A225="","",ROW()-ROW(tblVeriA[[#Headers]]))</f>
        <v/>
      </c>
      <c r="B225" s="23">
        <f>IF('VERI_A'!$A225="","",'VERI_A'!$A225)</f>
        <v/>
      </c>
      <c r="C225" s="16">
        <f>IF($B225="","",IF(OR('VERI_A'!$B225="",'VERI_A'!$B225=0),"TARIH_BOS",IF(LEN(TRIM('VERI_A'!$C225&amp;""))&lt;&gt;dbe_vknUzunluk,"VKN_UZUNLUK",IF('VERI_A'!$G225&lt;0,"TUTAR_NEGATIF",IF('VERI_A'!$I225="","DONEM_EKSIK",""))))</f>
        <v/>
      </c>
      <c r="D225" s="16">
        <f>IF($C225="","",IF($C225="TARIH_BOS","Belge tarihi zorunlu",IF($C225="VKN_UZUNLUK","VKN 10 hane olmalı",IF($C225="TUTAR_NEGATIF","Toplam negatif olamaz",IF($C225="DONEM_EKSIK","Dönem zorunlu","Elle incele"))))</f>
        <v/>
      </c>
      <c r="E225" s="16">
        <f>IF($C225="","",IF(OR($C225="TUTAR_NEGATIF",$C225="TARIH_BOS"),"YUKSEK","ORTA"))</f>
        <v/>
      </c>
      <c r="F225" s="16">
        <f>IF($C225="","",IF(OR($C225="TARIH_BOS",$C225="VKN_UZUNLUK",$C225="TUTAR_NEGATIF",$C225="DONEM_EKSIK"),$C225,"TANIMSIZ"))</f>
        <v/>
      </c>
      <c r="G225" s="16">
        <f>IF($C225="","",1)</f>
        <v/>
      </c>
    </row>
    <row r="226">
      <c r="A226" s="16">
        <f>IF('VERI_A'!$A226="","",ROW()-ROW(tblVeriA[[#Headers]]))</f>
        <v/>
      </c>
      <c r="B226" s="23">
        <f>IF('VERI_A'!$A226="","",'VERI_A'!$A226)</f>
        <v/>
      </c>
      <c r="C226" s="16">
        <f>IF($B226="","",IF(OR('VERI_A'!$B226="",'VERI_A'!$B226=0),"TARIH_BOS",IF(LEN(TRIM('VERI_A'!$C226&amp;""))&lt;&gt;dbe_vknUzunluk,"VKN_UZUNLUK",IF('VERI_A'!$G226&lt;0,"TUTAR_NEGATIF",IF('VERI_A'!$I226="","DONEM_EKSIK",""))))</f>
        <v/>
      </c>
      <c r="D226" s="16">
        <f>IF($C226="","",IF($C226="TARIH_BOS","Belge tarihi zorunlu",IF($C226="VKN_UZUNLUK","VKN 10 hane olmalı",IF($C226="TUTAR_NEGATIF","Toplam negatif olamaz",IF($C226="DONEM_EKSIK","Dönem zorunlu","Elle incele"))))</f>
        <v/>
      </c>
      <c r="E226" s="16">
        <f>IF($C226="","",IF(OR($C226="TUTAR_NEGATIF",$C226="TARIH_BOS"),"YUKSEK","ORTA"))</f>
        <v/>
      </c>
      <c r="F226" s="16">
        <f>IF($C226="","",IF(OR($C226="TARIH_BOS",$C226="VKN_UZUNLUK",$C226="TUTAR_NEGATIF",$C226="DONEM_EKSIK"),$C226,"TANIMSIZ"))</f>
        <v/>
      </c>
      <c r="G226" s="16">
        <f>IF($C226="","",1)</f>
        <v/>
      </c>
    </row>
    <row r="227">
      <c r="A227" s="16">
        <f>IF('VERI_A'!$A227="","",ROW()-ROW(tblVeriA[[#Headers]]))</f>
        <v/>
      </c>
      <c r="B227" s="23">
        <f>IF('VERI_A'!$A227="","",'VERI_A'!$A227)</f>
        <v/>
      </c>
      <c r="C227" s="16">
        <f>IF($B227="","",IF(OR('VERI_A'!$B227="",'VERI_A'!$B227=0),"TARIH_BOS",IF(LEN(TRIM('VERI_A'!$C227&amp;""))&lt;&gt;dbe_vknUzunluk,"VKN_UZUNLUK",IF('VERI_A'!$G227&lt;0,"TUTAR_NEGATIF",IF('VERI_A'!$I227="","DONEM_EKSIK",""))))</f>
        <v/>
      </c>
      <c r="D227" s="16">
        <f>IF($C227="","",IF($C227="TARIH_BOS","Belge tarihi zorunlu",IF($C227="VKN_UZUNLUK","VKN 10 hane olmalı",IF($C227="TUTAR_NEGATIF","Toplam negatif olamaz",IF($C227="DONEM_EKSIK","Dönem zorunlu","Elle incele"))))</f>
        <v/>
      </c>
      <c r="E227" s="16">
        <f>IF($C227="","",IF(OR($C227="TUTAR_NEGATIF",$C227="TARIH_BOS"),"YUKSEK","ORTA"))</f>
        <v/>
      </c>
      <c r="F227" s="16">
        <f>IF($C227="","",IF(OR($C227="TARIH_BOS",$C227="VKN_UZUNLUK",$C227="TUTAR_NEGATIF",$C227="DONEM_EKSIK"),$C227,"TANIMSIZ"))</f>
        <v/>
      </c>
      <c r="G227" s="16">
        <f>IF($C227="","",1)</f>
        <v/>
      </c>
    </row>
    <row r="228">
      <c r="A228" s="16">
        <f>IF('VERI_A'!$A228="","",ROW()-ROW(tblVeriA[[#Headers]]))</f>
        <v/>
      </c>
      <c r="B228" s="23">
        <f>IF('VERI_A'!$A228="","",'VERI_A'!$A228)</f>
        <v/>
      </c>
      <c r="C228" s="16">
        <f>IF($B228="","",IF(OR('VERI_A'!$B228="",'VERI_A'!$B228=0),"TARIH_BOS",IF(LEN(TRIM('VERI_A'!$C228&amp;""))&lt;&gt;dbe_vknUzunluk,"VKN_UZUNLUK",IF('VERI_A'!$G228&lt;0,"TUTAR_NEGATIF",IF('VERI_A'!$I228="","DONEM_EKSIK",""))))</f>
        <v/>
      </c>
      <c r="D228" s="16">
        <f>IF($C228="","",IF($C228="TARIH_BOS","Belge tarihi zorunlu",IF($C228="VKN_UZUNLUK","VKN 10 hane olmalı",IF($C228="TUTAR_NEGATIF","Toplam negatif olamaz",IF($C228="DONEM_EKSIK","Dönem zorunlu","Elle incele"))))</f>
        <v/>
      </c>
      <c r="E228" s="16">
        <f>IF($C228="","",IF(OR($C228="TUTAR_NEGATIF",$C228="TARIH_BOS"),"YUKSEK","ORTA"))</f>
        <v/>
      </c>
      <c r="F228" s="16">
        <f>IF($C228="","",IF(OR($C228="TARIH_BOS",$C228="VKN_UZUNLUK",$C228="TUTAR_NEGATIF",$C228="DONEM_EKSIK"),$C228,"TANIMSIZ"))</f>
        <v/>
      </c>
      <c r="G228" s="16">
        <f>IF($C228="","",1)</f>
        <v/>
      </c>
    </row>
    <row r="229">
      <c r="A229" s="16">
        <f>IF('VERI_A'!$A229="","",ROW()-ROW(tblVeriA[[#Headers]]))</f>
        <v/>
      </c>
      <c r="B229" s="23">
        <f>IF('VERI_A'!$A229="","",'VERI_A'!$A229)</f>
        <v/>
      </c>
      <c r="C229" s="16">
        <f>IF($B229="","",IF(OR('VERI_A'!$B229="",'VERI_A'!$B229=0),"TARIH_BOS",IF(LEN(TRIM('VERI_A'!$C229&amp;""))&lt;&gt;dbe_vknUzunluk,"VKN_UZUNLUK",IF('VERI_A'!$G229&lt;0,"TUTAR_NEGATIF",IF('VERI_A'!$I229="","DONEM_EKSIK",""))))</f>
        <v/>
      </c>
      <c r="D229" s="16">
        <f>IF($C229="","",IF($C229="TARIH_BOS","Belge tarihi zorunlu",IF($C229="VKN_UZUNLUK","VKN 10 hane olmalı",IF($C229="TUTAR_NEGATIF","Toplam negatif olamaz",IF($C229="DONEM_EKSIK","Dönem zorunlu","Elle incele"))))</f>
        <v/>
      </c>
      <c r="E229" s="16">
        <f>IF($C229="","",IF(OR($C229="TUTAR_NEGATIF",$C229="TARIH_BOS"),"YUKSEK","ORTA"))</f>
        <v/>
      </c>
      <c r="F229" s="16">
        <f>IF($C229="","",IF(OR($C229="TARIH_BOS",$C229="VKN_UZUNLUK",$C229="TUTAR_NEGATIF",$C229="DONEM_EKSIK"),$C229,"TANIMSIZ"))</f>
        <v/>
      </c>
      <c r="G229" s="16">
        <f>IF($C229="","",1)</f>
        <v/>
      </c>
    </row>
    <row r="230">
      <c r="A230" s="16">
        <f>IF('VERI_A'!$A230="","",ROW()-ROW(tblVeriA[[#Headers]]))</f>
        <v/>
      </c>
      <c r="B230" s="23">
        <f>IF('VERI_A'!$A230="","",'VERI_A'!$A230)</f>
        <v/>
      </c>
      <c r="C230" s="16">
        <f>IF($B230="","",IF(OR('VERI_A'!$B230="",'VERI_A'!$B230=0),"TARIH_BOS",IF(LEN(TRIM('VERI_A'!$C230&amp;""))&lt;&gt;dbe_vknUzunluk,"VKN_UZUNLUK",IF('VERI_A'!$G230&lt;0,"TUTAR_NEGATIF",IF('VERI_A'!$I230="","DONEM_EKSIK",""))))</f>
        <v/>
      </c>
      <c r="D230" s="16">
        <f>IF($C230="","",IF($C230="TARIH_BOS","Belge tarihi zorunlu",IF($C230="VKN_UZUNLUK","VKN 10 hane olmalı",IF($C230="TUTAR_NEGATIF","Toplam negatif olamaz",IF($C230="DONEM_EKSIK","Dönem zorunlu","Elle incele"))))</f>
        <v/>
      </c>
      <c r="E230" s="16">
        <f>IF($C230="","",IF(OR($C230="TUTAR_NEGATIF",$C230="TARIH_BOS"),"YUKSEK","ORTA"))</f>
        <v/>
      </c>
      <c r="F230" s="16">
        <f>IF($C230="","",IF(OR($C230="TARIH_BOS",$C230="VKN_UZUNLUK",$C230="TUTAR_NEGATIF",$C230="DONEM_EKSIK"),$C230,"TANIMSIZ"))</f>
        <v/>
      </c>
      <c r="G230" s="16">
        <f>IF($C230="","",1)</f>
        <v/>
      </c>
    </row>
    <row r="231">
      <c r="A231" s="16">
        <f>IF('VERI_A'!$A231="","",ROW()-ROW(tblVeriA[[#Headers]]))</f>
        <v/>
      </c>
      <c r="B231" s="23">
        <f>IF('VERI_A'!$A231="","",'VERI_A'!$A231)</f>
        <v/>
      </c>
      <c r="C231" s="16">
        <f>IF($B231="","",IF(OR('VERI_A'!$B231="",'VERI_A'!$B231=0),"TARIH_BOS",IF(LEN(TRIM('VERI_A'!$C231&amp;""))&lt;&gt;dbe_vknUzunluk,"VKN_UZUNLUK",IF('VERI_A'!$G231&lt;0,"TUTAR_NEGATIF",IF('VERI_A'!$I231="","DONEM_EKSIK",""))))</f>
        <v/>
      </c>
      <c r="D231" s="16">
        <f>IF($C231="","",IF($C231="TARIH_BOS","Belge tarihi zorunlu",IF($C231="VKN_UZUNLUK","VKN 10 hane olmalı",IF($C231="TUTAR_NEGATIF","Toplam negatif olamaz",IF($C231="DONEM_EKSIK","Dönem zorunlu","Elle incele"))))</f>
        <v/>
      </c>
      <c r="E231" s="16">
        <f>IF($C231="","",IF(OR($C231="TUTAR_NEGATIF",$C231="TARIH_BOS"),"YUKSEK","ORTA"))</f>
        <v/>
      </c>
      <c r="F231" s="16">
        <f>IF($C231="","",IF(OR($C231="TARIH_BOS",$C231="VKN_UZUNLUK",$C231="TUTAR_NEGATIF",$C231="DONEM_EKSIK"),$C231,"TANIMSIZ"))</f>
        <v/>
      </c>
      <c r="G231" s="16">
        <f>IF($C231="","",1)</f>
        <v/>
      </c>
    </row>
    <row r="232">
      <c r="A232" s="16">
        <f>IF('VERI_A'!$A232="","",ROW()-ROW(tblVeriA[[#Headers]]))</f>
        <v/>
      </c>
      <c r="B232" s="23">
        <f>IF('VERI_A'!$A232="","",'VERI_A'!$A232)</f>
        <v/>
      </c>
      <c r="C232" s="16">
        <f>IF($B232="","",IF(OR('VERI_A'!$B232="",'VERI_A'!$B232=0),"TARIH_BOS",IF(LEN(TRIM('VERI_A'!$C232&amp;""))&lt;&gt;dbe_vknUzunluk,"VKN_UZUNLUK",IF('VERI_A'!$G232&lt;0,"TUTAR_NEGATIF",IF('VERI_A'!$I232="","DONEM_EKSIK",""))))</f>
        <v/>
      </c>
      <c r="D232" s="16">
        <f>IF($C232="","",IF($C232="TARIH_BOS","Belge tarihi zorunlu",IF($C232="VKN_UZUNLUK","VKN 10 hane olmalı",IF($C232="TUTAR_NEGATIF","Toplam negatif olamaz",IF($C232="DONEM_EKSIK","Dönem zorunlu","Elle incele"))))</f>
        <v/>
      </c>
      <c r="E232" s="16">
        <f>IF($C232="","",IF(OR($C232="TUTAR_NEGATIF",$C232="TARIH_BOS"),"YUKSEK","ORTA"))</f>
        <v/>
      </c>
      <c r="F232" s="16">
        <f>IF($C232="","",IF(OR($C232="TARIH_BOS",$C232="VKN_UZUNLUK",$C232="TUTAR_NEGATIF",$C232="DONEM_EKSIK"),$C232,"TANIMSIZ"))</f>
        <v/>
      </c>
      <c r="G232" s="16">
        <f>IF($C232="","",1)</f>
        <v/>
      </c>
    </row>
    <row r="233">
      <c r="A233" s="16">
        <f>IF('VERI_A'!$A233="","",ROW()-ROW(tblVeriA[[#Headers]]))</f>
        <v/>
      </c>
      <c r="B233" s="23">
        <f>IF('VERI_A'!$A233="","",'VERI_A'!$A233)</f>
        <v/>
      </c>
      <c r="C233" s="16">
        <f>IF($B233="","",IF(OR('VERI_A'!$B233="",'VERI_A'!$B233=0),"TARIH_BOS",IF(LEN(TRIM('VERI_A'!$C233&amp;""))&lt;&gt;dbe_vknUzunluk,"VKN_UZUNLUK",IF('VERI_A'!$G233&lt;0,"TUTAR_NEGATIF",IF('VERI_A'!$I233="","DONEM_EKSIK",""))))</f>
        <v/>
      </c>
      <c r="D233" s="16">
        <f>IF($C233="","",IF($C233="TARIH_BOS","Belge tarihi zorunlu",IF($C233="VKN_UZUNLUK","VKN 10 hane olmalı",IF($C233="TUTAR_NEGATIF","Toplam negatif olamaz",IF($C233="DONEM_EKSIK","Dönem zorunlu","Elle incele"))))</f>
        <v/>
      </c>
      <c r="E233" s="16">
        <f>IF($C233="","",IF(OR($C233="TUTAR_NEGATIF",$C233="TARIH_BOS"),"YUKSEK","ORTA"))</f>
        <v/>
      </c>
      <c r="F233" s="16">
        <f>IF($C233="","",IF(OR($C233="TARIH_BOS",$C233="VKN_UZUNLUK",$C233="TUTAR_NEGATIF",$C233="DONEM_EKSIK"),$C233,"TANIMSIZ"))</f>
        <v/>
      </c>
      <c r="G233" s="16">
        <f>IF($C233="","",1)</f>
        <v/>
      </c>
    </row>
    <row r="234">
      <c r="A234" s="16">
        <f>IF('VERI_A'!$A234="","",ROW()-ROW(tblVeriA[[#Headers]]))</f>
        <v/>
      </c>
      <c r="B234" s="23">
        <f>IF('VERI_A'!$A234="","",'VERI_A'!$A234)</f>
        <v/>
      </c>
      <c r="C234" s="16">
        <f>IF($B234="","",IF(OR('VERI_A'!$B234="",'VERI_A'!$B234=0),"TARIH_BOS",IF(LEN(TRIM('VERI_A'!$C234&amp;""))&lt;&gt;dbe_vknUzunluk,"VKN_UZUNLUK",IF('VERI_A'!$G234&lt;0,"TUTAR_NEGATIF",IF('VERI_A'!$I234="","DONEM_EKSIK",""))))</f>
        <v/>
      </c>
      <c r="D234" s="16">
        <f>IF($C234="","",IF($C234="TARIH_BOS","Belge tarihi zorunlu",IF($C234="VKN_UZUNLUK","VKN 10 hane olmalı",IF($C234="TUTAR_NEGATIF","Toplam negatif olamaz",IF($C234="DONEM_EKSIK","Dönem zorunlu","Elle incele"))))</f>
        <v/>
      </c>
      <c r="E234" s="16">
        <f>IF($C234="","",IF(OR($C234="TUTAR_NEGATIF",$C234="TARIH_BOS"),"YUKSEK","ORTA"))</f>
        <v/>
      </c>
      <c r="F234" s="16">
        <f>IF($C234="","",IF(OR($C234="TARIH_BOS",$C234="VKN_UZUNLUK",$C234="TUTAR_NEGATIF",$C234="DONEM_EKSIK"),$C234,"TANIMSIZ"))</f>
        <v/>
      </c>
      <c r="G234" s="16">
        <f>IF($C234="","",1)</f>
        <v/>
      </c>
    </row>
    <row r="235">
      <c r="A235" s="16">
        <f>IF('VERI_A'!$A235="","",ROW()-ROW(tblVeriA[[#Headers]]))</f>
        <v/>
      </c>
      <c r="B235" s="23">
        <f>IF('VERI_A'!$A235="","",'VERI_A'!$A235)</f>
        <v/>
      </c>
      <c r="C235" s="16">
        <f>IF($B235="","",IF(OR('VERI_A'!$B235="",'VERI_A'!$B235=0),"TARIH_BOS",IF(LEN(TRIM('VERI_A'!$C235&amp;""))&lt;&gt;dbe_vknUzunluk,"VKN_UZUNLUK",IF('VERI_A'!$G235&lt;0,"TUTAR_NEGATIF",IF('VERI_A'!$I235="","DONEM_EKSIK",""))))</f>
        <v/>
      </c>
      <c r="D235" s="16">
        <f>IF($C235="","",IF($C235="TARIH_BOS","Belge tarihi zorunlu",IF($C235="VKN_UZUNLUK","VKN 10 hane olmalı",IF($C235="TUTAR_NEGATIF","Toplam negatif olamaz",IF($C235="DONEM_EKSIK","Dönem zorunlu","Elle incele"))))</f>
        <v/>
      </c>
      <c r="E235" s="16">
        <f>IF($C235="","",IF(OR($C235="TUTAR_NEGATIF",$C235="TARIH_BOS"),"YUKSEK","ORTA"))</f>
        <v/>
      </c>
      <c r="F235" s="16">
        <f>IF($C235="","",IF(OR($C235="TARIH_BOS",$C235="VKN_UZUNLUK",$C235="TUTAR_NEGATIF",$C235="DONEM_EKSIK"),$C235,"TANIMSIZ"))</f>
        <v/>
      </c>
      <c r="G235" s="16">
        <f>IF($C235="","",1)</f>
        <v/>
      </c>
    </row>
    <row r="236">
      <c r="A236" s="16">
        <f>IF('VERI_A'!$A236="","",ROW()-ROW(tblVeriA[[#Headers]]))</f>
        <v/>
      </c>
      <c r="B236" s="23">
        <f>IF('VERI_A'!$A236="","",'VERI_A'!$A236)</f>
        <v/>
      </c>
      <c r="C236" s="16">
        <f>IF($B236="","",IF(OR('VERI_A'!$B236="",'VERI_A'!$B236=0),"TARIH_BOS",IF(LEN(TRIM('VERI_A'!$C236&amp;""))&lt;&gt;dbe_vknUzunluk,"VKN_UZUNLUK",IF('VERI_A'!$G236&lt;0,"TUTAR_NEGATIF",IF('VERI_A'!$I236="","DONEM_EKSIK",""))))</f>
        <v/>
      </c>
      <c r="D236" s="16">
        <f>IF($C236="","",IF($C236="TARIH_BOS","Belge tarihi zorunlu",IF($C236="VKN_UZUNLUK","VKN 10 hane olmalı",IF($C236="TUTAR_NEGATIF","Toplam negatif olamaz",IF($C236="DONEM_EKSIK","Dönem zorunlu","Elle incele"))))</f>
        <v/>
      </c>
      <c r="E236" s="16">
        <f>IF($C236="","",IF(OR($C236="TUTAR_NEGATIF",$C236="TARIH_BOS"),"YUKSEK","ORTA"))</f>
        <v/>
      </c>
      <c r="F236" s="16">
        <f>IF($C236="","",IF(OR($C236="TARIH_BOS",$C236="VKN_UZUNLUK",$C236="TUTAR_NEGATIF",$C236="DONEM_EKSIK"),$C236,"TANIMSIZ"))</f>
        <v/>
      </c>
      <c r="G236" s="16">
        <f>IF($C236="","",1)</f>
        <v/>
      </c>
    </row>
    <row r="237">
      <c r="A237" s="16">
        <f>IF('VERI_A'!$A237="","",ROW()-ROW(tblVeriA[[#Headers]]))</f>
        <v/>
      </c>
      <c r="B237" s="23">
        <f>IF('VERI_A'!$A237="","",'VERI_A'!$A237)</f>
        <v/>
      </c>
      <c r="C237" s="16">
        <f>IF($B237="","",IF(OR('VERI_A'!$B237="",'VERI_A'!$B237=0),"TARIH_BOS",IF(LEN(TRIM('VERI_A'!$C237&amp;""))&lt;&gt;dbe_vknUzunluk,"VKN_UZUNLUK",IF('VERI_A'!$G237&lt;0,"TUTAR_NEGATIF",IF('VERI_A'!$I237="","DONEM_EKSIK",""))))</f>
        <v/>
      </c>
      <c r="D237" s="16">
        <f>IF($C237="","",IF($C237="TARIH_BOS","Belge tarihi zorunlu",IF($C237="VKN_UZUNLUK","VKN 10 hane olmalı",IF($C237="TUTAR_NEGATIF","Toplam negatif olamaz",IF($C237="DONEM_EKSIK","Dönem zorunlu","Elle incele"))))</f>
        <v/>
      </c>
      <c r="E237" s="16">
        <f>IF($C237="","",IF(OR($C237="TUTAR_NEGATIF",$C237="TARIH_BOS"),"YUKSEK","ORTA"))</f>
        <v/>
      </c>
      <c r="F237" s="16">
        <f>IF($C237="","",IF(OR($C237="TARIH_BOS",$C237="VKN_UZUNLUK",$C237="TUTAR_NEGATIF",$C237="DONEM_EKSIK"),$C237,"TANIMSIZ"))</f>
        <v/>
      </c>
      <c r="G237" s="16">
        <f>IF($C237="","",1)</f>
        <v/>
      </c>
    </row>
    <row r="238">
      <c r="A238" s="16">
        <f>IF('VERI_A'!$A238="","",ROW()-ROW(tblVeriA[[#Headers]]))</f>
        <v/>
      </c>
      <c r="B238" s="23">
        <f>IF('VERI_A'!$A238="","",'VERI_A'!$A238)</f>
        <v/>
      </c>
      <c r="C238" s="16">
        <f>IF($B238="","",IF(OR('VERI_A'!$B238="",'VERI_A'!$B238=0),"TARIH_BOS",IF(LEN(TRIM('VERI_A'!$C238&amp;""))&lt;&gt;dbe_vknUzunluk,"VKN_UZUNLUK",IF('VERI_A'!$G238&lt;0,"TUTAR_NEGATIF",IF('VERI_A'!$I238="","DONEM_EKSIK",""))))</f>
        <v/>
      </c>
      <c r="D238" s="16">
        <f>IF($C238="","",IF($C238="TARIH_BOS","Belge tarihi zorunlu",IF($C238="VKN_UZUNLUK","VKN 10 hane olmalı",IF($C238="TUTAR_NEGATIF","Toplam negatif olamaz",IF($C238="DONEM_EKSIK","Dönem zorunlu","Elle incele"))))</f>
        <v/>
      </c>
      <c r="E238" s="16">
        <f>IF($C238="","",IF(OR($C238="TUTAR_NEGATIF",$C238="TARIH_BOS"),"YUKSEK","ORTA"))</f>
        <v/>
      </c>
      <c r="F238" s="16">
        <f>IF($C238="","",IF(OR($C238="TARIH_BOS",$C238="VKN_UZUNLUK",$C238="TUTAR_NEGATIF",$C238="DONEM_EKSIK"),$C238,"TANIMSIZ"))</f>
        <v/>
      </c>
      <c r="G238" s="16">
        <f>IF($C238="","",1)</f>
        <v/>
      </c>
    </row>
    <row r="239">
      <c r="A239" s="16">
        <f>IF('VERI_A'!$A239="","",ROW()-ROW(tblVeriA[[#Headers]]))</f>
        <v/>
      </c>
      <c r="B239" s="23">
        <f>IF('VERI_A'!$A239="","",'VERI_A'!$A239)</f>
        <v/>
      </c>
      <c r="C239" s="16">
        <f>IF($B239="","",IF(OR('VERI_A'!$B239="",'VERI_A'!$B239=0),"TARIH_BOS",IF(LEN(TRIM('VERI_A'!$C239&amp;""))&lt;&gt;dbe_vknUzunluk,"VKN_UZUNLUK",IF('VERI_A'!$G239&lt;0,"TUTAR_NEGATIF",IF('VERI_A'!$I239="","DONEM_EKSIK",""))))</f>
        <v/>
      </c>
      <c r="D239" s="16">
        <f>IF($C239="","",IF($C239="TARIH_BOS","Belge tarihi zorunlu",IF($C239="VKN_UZUNLUK","VKN 10 hane olmalı",IF($C239="TUTAR_NEGATIF","Toplam negatif olamaz",IF($C239="DONEM_EKSIK","Dönem zorunlu","Elle incele"))))</f>
        <v/>
      </c>
      <c r="E239" s="16">
        <f>IF($C239="","",IF(OR($C239="TUTAR_NEGATIF",$C239="TARIH_BOS"),"YUKSEK","ORTA"))</f>
        <v/>
      </c>
      <c r="F239" s="16">
        <f>IF($C239="","",IF(OR($C239="TARIH_BOS",$C239="VKN_UZUNLUK",$C239="TUTAR_NEGATIF",$C239="DONEM_EKSIK"),$C239,"TANIMSIZ"))</f>
        <v/>
      </c>
      <c r="G239" s="16">
        <f>IF($C239="","",1)</f>
        <v/>
      </c>
    </row>
    <row r="240">
      <c r="A240" s="16">
        <f>IF('VERI_A'!$A240="","",ROW()-ROW(tblVeriA[[#Headers]]))</f>
        <v/>
      </c>
      <c r="B240" s="23">
        <f>IF('VERI_A'!$A240="","",'VERI_A'!$A240)</f>
        <v/>
      </c>
      <c r="C240" s="16">
        <f>IF($B240="","",IF(OR('VERI_A'!$B240="",'VERI_A'!$B240=0),"TARIH_BOS",IF(LEN(TRIM('VERI_A'!$C240&amp;""))&lt;&gt;dbe_vknUzunluk,"VKN_UZUNLUK",IF('VERI_A'!$G240&lt;0,"TUTAR_NEGATIF",IF('VERI_A'!$I240="","DONEM_EKSIK",""))))</f>
        <v/>
      </c>
      <c r="D240" s="16">
        <f>IF($C240="","",IF($C240="TARIH_BOS","Belge tarihi zorunlu",IF($C240="VKN_UZUNLUK","VKN 10 hane olmalı",IF($C240="TUTAR_NEGATIF","Toplam negatif olamaz",IF($C240="DONEM_EKSIK","Dönem zorunlu","Elle incele"))))</f>
        <v/>
      </c>
      <c r="E240" s="16">
        <f>IF($C240="","",IF(OR($C240="TUTAR_NEGATIF",$C240="TARIH_BOS"),"YUKSEK","ORTA"))</f>
        <v/>
      </c>
      <c r="F240" s="16">
        <f>IF($C240="","",IF(OR($C240="TARIH_BOS",$C240="VKN_UZUNLUK",$C240="TUTAR_NEGATIF",$C240="DONEM_EKSIK"),$C240,"TANIMSIZ"))</f>
        <v/>
      </c>
      <c r="G240" s="16">
        <f>IF($C240="","",1)</f>
        <v/>
      </c>
    </row>
    <row r="241">
      <c r="A241" s="16">
        <f>IF('VERI_A'!$A241="","",ROW()-ROW(tblVeriA[[#Headers]]))</f>
        <v/>
      </c>
      <c r="B241" s="23">
        <f>IF('VERI_A'!$A241="","",'VERI_A'!$A241)</f>
        <v/>
      </c>
      <c r="C241" s="16">
        <f>IF($B241="","",IF(OR('VERI_A'!$B241="",'VERI_A'!$B241=0),"TARIH_BOS",IF(LEN(TRIM('VERI_A'!$C241&amp;""))&lt;&gt;dbe_vknUzunluk,"VKN_UZUNLUK",IF('VERI_A'!$G241&lt;0,"TUTAR_NEGATIF",IF('VERI_A'!$I241="","DONEM_EKSIK",""))))</f>
        <v/>
      </c>
      <c r="D241" s="16">
        <f>IF($C241="","",IF($C241="TARIH_BOS","Belge tarihi zorunlu",IF($C241="VKN_UZUNLUK","VKN 10 hane olmalı",IF($C241="TUTAR_NEGATIF","Toplam negatif olamaz",IF($C241="DONEM_EKSIK","Dönem zorunlu","Elle incele"))))</f>
        <v/>
      </c>
      <c r="E241" s="16">
        <f>IF($C241="","",IF(OR($C241="TUTAR_NEGATIF",$C241="TARIH_BOS"),"YUKSEK","ORTA"))</f>
        <v/>
      </c>
      <c r="F241" s="16">
        <f>IF($C241="","",IF(OR($C241="TARIH_BOS",$C241="VKN_UZUNLUK",$C241="TUTAR_NEGATIF",$C241="DONEM_EKSIK"),$C241,"TANIMSIZ"))</f>
        <v/>
      </c>
      <c r="G241" s="16">
        <f>IF($C241="","",1)</f>
        <v/>
      </c>
    </row>
    <row r="242">
      <c r="A242" s="16">
        <f>IF('VERI_A'!$A242="","",ROW()-ROW(tblVeriA[[#Headers]]))</f>
        <v/>
      </c>
      <c r="B242" s="23">
        <f>IF('VERI_A'!$A242="","",'VERI_A'!$A242)</f>
        <v/>
      </c>
      <c r="C242" s="16">
        <f>IF($B242="","",IF(OR('VERI_A'!$B242="",'VERI_A'!$B242=0),"TARIH_BOS",IF(LEN(TRIM('VERI_A'!$C242&amp;""))&lt;&gt;dbe_vknUzunluk,"VKN_UZUNLUK",IF('VERI_A'!$G242&lt;0,"TUTAR_NEGATIF",IF('VERI_A'!$I242="","DONEM_EKSIK",""))))</f>
        <v/>
      </c>
      <c r="D242" s="16">
        <f>IF($C242="","",IF($C242="TARIH_BOS","Belge tarihi zorunlu",IF($C242="VKN_UZUNLUK","VKN 10 hane olmalı",IF($C242="TUTAR_NEGATIF","Toplam negatif olamaz",IF($C242="DONEM_EKSIK","Dönem zorunlu","Elle incele"))))</f>
        <v/>
      </c>
      <c r="E242" s="16">
        <f>IF($C242="","",IF(OR($C242="TUTAR_NEGATIF",$C242="TARIH_BOS"),"YUKSEK","ORTA"))</f>
        <v/>
      </c>
      <c r="F242" s="16">
        <f>IF($C242="","",IF(OR($C242="TARIH_BOS",$C242="VKN_UZUNLUK",$C242="TUTAR_NEGATIF",$C242="DONEM_EKSIK"),$C242,"TANIMSIZ"))</f>
        <v/>
      </c>
      <c r="G242" s="16">
        <f>IF($C242="","",1)</f>
        <v/>
      </c>
    </row>
    <row r="243">
      <c r="A243" s="16">
        <f>IF('VERI_A'!$A243="","",ROW()-ROW(tblVeriA[[#Headers]]))</f>
        <v/>
      </c>
      <c r="B243" s="23">
        <f>IF('VERI_A'!$A243="","",'VERI_A'!$A243)</f>
        <v/>
      </c>
      <c r="C243" s="16">
        <f>IF($B243="","",IF(OR('VERI_A'!$B243="",'VERI_A'!$B243=0),"TARIH_BOS",IF(LEN(TRIM('VERI_A'!$C243&amp;""))&lt;&gt;dbe_vknUzunluk,"VKN_UZUNLUK",IF('VERI_A'!$G243&lt;0,"TUTAR_NEGATIF",IF('VERI_A'!$I243="","DONEM_EKSIK",""))))</f>
        <v/>
      </c>
      <c r="D243" s="16">
        <f>IF($C243="","",IF($C243="TARIH_BOS","Belge tarihi zorunlu",IF($C243="VKN_UZUNLUK","VKN 10 hane olmalı",IF($C243="TUTAR_NEGATIF","Toplam negatif olamaz",IF($C243="DONEM_EKSIK","Dönem zorunlu","Elle incele"))))</f>
        <v/>
      </c>
      <c r="E243" s="16">
        <f>IF($C243="","",IF(OR($C243="TUTAR_NEGATIF",$C243="TARIH_BOS"),"YUKSEK","ORTA"))</f>
        <v/>
      </c>
      <c r="F243" s="16">
        <f>IF($C243="","",IF(OR($C243="TARIH_BOS",$C243="VKN_UZUNLUK",$C243="TUTAR_NEGATIF",$C243="DONEM_EKSIK"),$C243,"TANIMSIZ"))</f>
        <v/>
      </c>
      <c r="G243" s="16">
        <f>IF($C243="","",1)</f>
        <v/>
      </c>
    </row>
    <row r="244">
      <c r="A244" s="16">
        <f>IF('VERI_A'!$A244="","",ROW()-ROW(tblVeriA[[#Headers]]))</f>
        <v/>
      </c>
      <c r="B244" s="23">
        <f>IF('VERI_A'!$A244="","",'VERI_A'!$A244)</f>
        <v/>
      </c>
      <c r="C244" s="16">
        <f>IF($B244="","",IF(OR('VERI_A'!$B244="",'VERI_A'!$B244=0),"TARIH_BOS",IF(LEN(TRIM('VERI_A'!$C244&amp;""))&lt;&gt;dbe_vknUzunluk,"VKN_UZUNLUK",IF('VERI_A'!$G244&lt;0,"TUTAR_NEGATIF",IF('VERI_A'!$I244="","DONEM_EKSIK",""))))</f>
        <v/>
      </c>
      <c r="D244" s="16">
        <f>IF($C244="","",IF($C244="TARIH_BOS","Belge tarihi zorunlu",IF($C244="VKN_UZUNLUK","VKN 10 hane olmalı",IF($C244="TUTAR_NEGATIF","Toplam negatif olamaz",IF($C244="DONEM_EKSIK","Dönem zorunlu","Elle incele"))))</f>
        <v/>
      </c>
      <c r="E244" s="16">
        <f>IF($C244="","",IF(OR($C244="TUTAR_NEGATIF",$C244="TARIH_BOS"),"YUKSEK","ORTA"))</f>
        <v/>
      </c>
      <c r="F244" s="16">
        <f>IF($C244="","",IF(OR($C244="TARIH_BOS",$C244="VKN_UZUNLUK",$C244="TUTAR_NEGATIF",$C244="DONEM_EKSIK"),$C244,"TANIMSIZ"))</f>
        <v/>
      </c>
      <c r="G244" s="16">
        <f>IF($C244="","",1)</f>
        <v/>
      </c>
    </row>
    <row r="245">
      <c r="A245" s="16">
        <f>IF('VERI_A'!$A245="","",ROW()-ROW(tblVeriA[[#Headers]]))</f>
        <v/>
      </c>
      <c r="B245" s="23">
        <f>IF('VERI_A'!$A245="","",'VERI_A'!$A245)</f>
        <v/>
      </c>
      <c r="C245" s="16">
        <f>IF($B245="","",IF(OR('VERI_A'!$B245="",'VERI_A'!$B245=0),"TARIH_BOS",IF(LEN(TRIM('VERI_A'!$C245&amp;""))&lt;&gt;dbe_vknUzunluk,"VKN_UZUNLUK",IF('VERI_A'!$G245&lt;0,"TUTAR_NEGATIF",IF('VERI_A'!$I245="","DONEM_EKSIK",""))))</f>
        <v/>
      </c>
      <c r="D245" s="16">
        <f>IF($C245="","",IF($C245="TARIH_BOS","Belge tarihi zorunlu",IF($C245="VKN_UZUNLUK","VKN 10 hane olmalı",IF($C245="TUTAR_NEGATIF","Toplam negatif olamaz",IF($C245="DONEM_EKSIK","Dönem zorunlu","Elle incele"))))</f>
        <v/>
      </c>
      <c r="E245" s="16">
        <f>IF($C245="","",IF(OR($C245="TUTAR_NEGATIF",$C245="TARIH_BOS"),"YUKSEK","ORTA"))</f>
        <v/>
      </c>
      <c r="F245" s="16">
        <f>IF($C245="","",IF(OR($C245="TARIH_BOS",$C245="VKN_UZUNLUK",$C245="TUTAR_NEGATIF",$C245="DONEM_EKSIK"),$C245,"TANIMSIZ"))</f>
        <v/>
      </c>
      <c r="G245" s="16">
        <f>IF($C245="","",1)</f>
        <v/>
      </c>
    </row>
    <row r="246">
      <c r="A246" s="16">
        <f>IF('VERI_A'!$A246="","",ROW()-ROW(tblVeriA[[#Headers]]))</f>
        <v/>
      </c>
      <c r="B246" s="23">
        <f>IF('VERI_A'!$A246="","",'VERI_A'!$A246)</f>
        <v/>
      </c>
      <c r="C246" s="16">
        <f>IF($B246="","",IF(OR('VERI_A'!$B246="",'VERI_A'!$B246=0),"TARIH_BOS",IF(LEN(TRIM('VERI_A'!$C246&amp;""))&lt;&gt;dbe_vknUzunluk,"VKN_UZUNLUK",IF('VERI_A'!$G246&lt;0,"TUTAR_NEGATIF",IF('VERI_A'!$I246="","DONEM_EKSIK",""))))</f>
        <v/>
      </c>
      <c r="D246" s="16">
        <f>IF($C246="","",IF($C246="TARIH_BOS","Belge tarihi zorunlu",IF($C246="VKN_UZUNLUK","VKN 10 hane olmalı",IF($C246="TUTAR_NEGATIF","Toplam negatif olamaz",IF($C246="DONEM_EKSIK","Dönem zorunlu","Elle incele"))))</f>
        <v/>
      </c>
      <c r="E246" s="16">
        <f>IF($C246="","",IF(OR($C246="TUTAR_NEGATIF",$C246="TARIH_BOS"),"YUKSEK","ORTA"))</f>
        <v/>
      </c>
      <c r="F246" s="16">
        <f>IF($C246="","",IF(OR($C246="TARIH_BOS",$C246="VKN_UZUNLUK",$C246="TUTAR_NEGATIF",$C246="DONEM_EKSIK"),$C246,"TANIMSIZ"))</f>
        <v/>
      </c>
      <c r="G246" s="16">
        <f>IF($C246="","",1)</f>
        <v/>
      </c>
    </row>
    <row r="247">
      <c r="A247" s="16">
        <f>IF('VERI_A'!$A247="","",ROW()-ROW(tblVeriA[[#Headers]]))</f>
        <v/>
      </c>
      <c r="B247" s="23">
        <f>IF('VERI_A'!$A247="","",'VERI_A'!$A247)</f>
        <v/>
      </c>
      <c r="C247" s="16">
        <f>IF($B247="","",IF(OR('VERI_A'!$B247="",'VERI_A'!$B247=0),"TARIH_BOS",IF(LEN(TRIM('VERI_A'!$C247&amp;""))&lt;&gt;dbe_vknUzunluk,"VKN_UZUNLUK",IF('VERI_A'!$G247&lt;0,"TUTAR_NEGATIF",IF('VERI_A'!$I247="","DONEM_EKSIK",""))))</f>
        <v/>
      </c>
      <c r="D247" s="16">
        <f>IF($C247="","",IF($C247="TARIH_BOS","Belge tarihi zorunlu",IF($C247="VKN_UZUNLUK","VKN 10 hane olmalı",IF($C247="TUTAR_NEGATIF","Toplam negatif olamaz",IF($C247="DONEM_EKSIK","Dönem zorunlu","Elle incele"))))</f>
        <v/>
      </c>
      <c r="E247" s="16">
        <f>IF($C247="","",IF(OR($C247="TUTAR_NEGATIF",$C247="TARIH_BOS"),"YUKSEK","ORTA"))</f>
        <v/>
      </c>
      <c r="F247" s="16">
        <f>IF($C247="","",IF(OR($C247="TARIH_BOS",$C247="VKN_UZUNLUK",$C247="TUTAR_NEGATIF",$C247="DONEM_EKSIK"),$C247,"TANIMSIZ"))</f>
        <v/>
      </c>
      <c r="G247" s="16">
        <f>IF($C247="","",1)</f>
        <v/>
      </c>
    </row>
    <row r="248">
      <c r="A248" s="16">
        <f>IF('VERI_A'!$A248="","",ROW()-ROW(tblVeriA[[#Headers]]))</f>
        <v/>
      </c>
      <c r="B248" s="23">
        <f>IF('VERI_A'!$A248="","",'VERI_A'!$A248)</f>
        <v/>
      </c>
      <c r="C248" s="16">
        <f>IF($B248="","",IF(OR('VERI_A'!$B248="",'VERI_A'!$B248=0),"TARIH_BOS",IF(LEN(TRIM('VERI_A'!$C248&amp;""))&lt;&gt;dbe_vknUzunluk,"VKN_UZUNLUK",IF('VERI_A'!$G248&lt;0,"TUTAR_NEGATIF",IF('VERI_A'!$I248="","DONEM_EKSIK",""))))</f>
        <v/>
      </c>
      <c r="D248" s="16">
        <f>IF($C248="","",IF($C248="TARIH_BOS","Belge tarihi zorunlu",IF($C248="VKN_UZUNLUK","VKN 10 hane olmalı",IF($C248="TUTAR_NEGATIF","Toplam negatif olamaz",IF($C248="DONEM_EKSIK","Dönem zorunlu","Elle incele"))))</f>
        <v/>
      </c>
      <c r="E248" s="16">
        <f>IF($C248="","",IF(OR($C248="TUTAR_NEGATIF",$C248="TARIH_BOS"),"YUKSEK","ORTA"))</f>
        <v/>
      </c>
      <c r="F248" s="16">
        <f>IF($C248="","",IF(OR($C248="TARIH_BOS",$C248="VKN_UZUNLUK",$C248="TUTAR_NEGATIF",$C248="DONEM_EKSIK"),$C248,"TANIMSIZ"))</f>
        <v/>
      </c>
      <c r="G248" s="16">
        <f>IF($C248="","",1)</f>
        <v/>
      </c>
    </row>
    <row r="249">
      <c r="A249" s="16">
        <f>IF('VERI_A'!$A249="","",ROW()-ROW(tblVeriA[[#Headers]]))</f>
        <v/>
      </c>
      <c r="B249" s="23">
        <f>IF('VERI_A'!$A249="","",'VERI_A'!$A249)</f>
        <v/>
      </c>
      <c r="C249" s="16">
        <f>IF($B249="","",IF(OR('VERI_A'!$B249="",'VERI_A'!$B249=0),"TARIH_BOS",IF(LEN(TRIM('VERI_A'!$C249&amp;""))&lt;&gt;dbe_vknUzunluk,"VKN_UZUNLUK",IF('VERI_A'!$G249&lt;0,"TUTAR_NEGATIF",IF('VERI_A'!$I249="","DONEM_EKSIK",""))))</f>
        <v/>
      </c>
      <c r="D249" s="16">
        <f>IF($C249="","",IF($C249="TARIH_BOS","Belge tarihi zorunlu",IF($C249="VKN_UZUNLUK","VKN 10 hane olmalı",IF($C249="TUTAR_NEGATIF","Toplam negatif olamaz",IF($C249="DONEM_EKSIK","Dönem zorunlu","Elle incele"))))</f>
        <v/>
      </c>
      <c r="E249" s="16">
        <f>IF($C249="","",IF(OR($C249="TUTAR_NEGATIF",$C249="TARIH_BOS"),"YUKSEK","ORTA"))</f>
        <v/>
      </c>
      <c r="F249" s="16">
        <f>IF($C249="","",IF(OR($C249="TARIH_BOS",$C249="VKN_UZUNLUK",$C249="TUTAR_NEGATIF",$C249="DONEM_EKSIK"),$C249,"TANIMSIZ"))</f>
        <v/>
      </c>
      <c r="G249" s="16">
        <f>IF($C249="","",1)</f>
        <v/>
      </c>
    </row>
    <row r="250">
      <c r="A250" s="16">
        <f>IF('VERI_A'!$A250="","",ROW()-ROW(tblVeriA[[#Headers]]))</f>
        <v/>
      </c>
      <c r="B250" s="23">
        <f>IF('VERI_A'!$A250="","",'VERI_A'!$A250)</f>
        <v/>
      </c>
      <c r="C250" s="16">
        <f>IF($B250="","",IF(OR('VERI_A'!$B250="",'VERI_A'!$B250=0),"TARIH_BOS",IF(LEN(TRIM('VERI_A'!$C250&amp;""))&lt;&gt;dbe_vknUzunluk,"VKN_UZUNLUK",IF('VERI_A'!$G250&lt;0,"TUTAR_NEGATIF",IF('VERI_A'!$I250="","DONEM_EKSIK",""))))</f>
        <v/>
      </c>
      <c r="D250" s="16">
        <f>IF($C250="","",IF($C250="TARIH_BOS","Belge tarihi zorunlu",IF($C250="VKN_UZUNLUK","VKN 10 hane olmalı",IF($C250="TUTAR_NEGATIF","Toplam negatif olamaz",IF($C250="DONEM_EKSIK","Dönem zorunlu","Elle incele"))))</f>
        <v/>
      </c>
      <c r="E250" s="16">
        <f>IF($C250="","",IF(OR($C250="TUTAR_NEGATIF",$C250="TARIH_BOS"),"YUKSEK","ORTA"))</f>
        <v/>
      </c>
      <c r="F250" s="16">
        <f>IF($C250="","",IF(OR($C250="TARIH_BOS",$C250="VKN_UZUNLUK",$C250="TUTAR_NEGATIF",$C250="DONEM_EKSIK"),$C250,"TANIMSIZ"))</f>
        <v/>
      </c>
      <c r="G250" s="16">
        <f>IF($C250="","",1)</f>
        <v/>
      </c>
    </row>
    <row r="251">
      <c r="A251" s="16">
        <f>IF('VERI_A'!$A251="","",ROW()-ROW(tblVeriA[[#Headers]]))</f>
        <v/>
      </c>
      <c r="B251" s="23">
        <f>IF('VERI_A'!$A251="","",'VERI_A'!$A251)</f>
        <v/>
      </c>
      <c r="C251" s="16">
        <f>IF($B251="","",IF(OR('VERI_A'!$B251="",'VERI_A'!$B251=0),"TARIH_BOS",IF(LEN(TRIM('VERI_A'!$C251&amp;""))&lt;&gt;dbe_vknUzunluk,"VKN_UZUNLUK",IF('VERI_A'!$G251&lt;0,"TUTAR_NEGATIF",IF('VERI_A'!$I251="","DONEM_EKSIK",""))))</f>
        <v/>
      </c>
      <c r="D251" s="16">
        <f>IF($C251="","",IF($C251="TARIH_BOS","Belge tarihi zorunlu",IF($C251="VKN_UZUNLUK","VKN 10 hane olmalı",IF($C251="TUTAR_NEGATIF","Toplam negatif olamaz",IF($C251="DONEM_EKSIK","Dönem zorunlu","Elle incele"))))</f>
        <v/>
      </c>
      <c r="E251" s="16">
        <f>IF($C251="","",IF(OR($C251="TUTAR_NEGATIF",$C251="TARIH_BOS"),"YUKSEK","ORTA"))</f>
        <v/>
      </c>
      <c r="F251" s="16">
        <f>IF($C251="","",IF(OR($C251="TARIH_BOS",$C251="VKN_UZUNLUK",$C251="TUTAR_NEGATIF",$C251="DONEM_EKSIK"),$C251,"TANIMSIZ"))</f>
        <v/>
      </c>
      <c r="G251" s="16">
        <f>IF($C251="","",1)</f>
        <v/>
      </c>
    </row>
    <row r="252">
      <c r="A252" s="16">
        <f>IF('VERI_A'!$A252="","",ROW()-ROW(tblVeriA[[#Headers]]))</f>
        <v/>
      </c>
      <c r="B252" s="23">
        <f>IF('VERI_A'!$A252="","",'VERI_A'!$A252)</f>
        <v/>
      </c>
      <c r="C252" s="16">
        <f>IF($B252="","",IF(OR('VERI_A'!$B252="",'VERI_A'!$B252=0),"TARIH_BOS",IF(LEN(TRIM('VERI_A'!$C252&amp;""))&lt;&gt;dbe_vknUzunluk,"VKN_UZUNLUK",IF('VERI_A'!$G252&lt;0,"TUTAR_NEGATIF",IF('VERI_A'!$I252="","DONEM_EKSIK",""))))</f>
        <v/>
      </c>
      <c r="D252" s="16">
        <f>IF($C252="","",IF($C252="TARIH_BOS","Belge tarihi zorunlu",IF($C252="VKN_UZUNLUK","VKN 10 hane olmalı",IF($C252="TUTAR_NEGATIF","Toplam negatif olamaz",IF($C252="DONEM_EKSIK","Dönem zorunlu","Elle incele"))))</f>
        <v/>
      </c>
      <c r="E252" s="16">
        <f>IF($C252="","",IF(OR($C252="TUTAR_NEGATIF",$C252="TARIH_BOS"),"YUKSEK","ORTA"))</f>
        <v/>
      </c>
      <c r="F252" s="16">
        <f>IF($C252="","",IF(OR($C252="TARIH_BOS",$C252="VKN_UZUNLUK",$C252="TUTAR_NEGATIF",$C252="DONEM_EKSIK"),$C252,"TANIMSIZ"))</f>
        <v/>
      </c>
      <c r="G252" s="16">
        <f>IF($C252="","",1)</f>
        <v/>
      </c>
    </row>
    <row r="253">
      <c r="A253" s="16">
        <f>IF('VERI_A'!$A253="","",ROW()-ROW(tblVeriA[[#Headers]]))</f>
        <v/>
      </c>
      <c r="B253" s="23">
        <f>IF('VERI_A'!$A253="","",'VERI_A'!$A253)</f>
        <v/>
      </c>
      <c r="C253" s="16">
        <f>IF($B253="","",IF(OR('VERI_A'!$B253="",'VERI_A'!$B253=0),"TARIH_BOS",IF(LEN(TRIM('VERI_A'!$C253&amp;""))&lt;&gt;dbe_vknUzunluk,"VKN_UZUNLUK",IF('VERI_A'!$G253&lt;0,"TUTAR_NEGATIF",IF('VERI_A'!$I253="","DONEM_EKSIK",""))))</f>
        <v/>
      </c>
      <c r="D253" s="16">
        <f>IF($C253="","",IF($C253="TARIH_BOS","Belge tarihi zorunlu",IF($C253="VKN_UZUNLUK","VKN 10 hane olmalı",IF($C253="TUTAR_NEGATIF","Toplam negatif olamaz",IF($C253="DONEM_EKSIK","Dönem zorunlu","Elle incele"))))</f>
        <v/>
      </c>
      <c r="E253" s="16">
        <f>IF($C253="","",IF(OR($C253="TUTAR_NEGATIF",$C253="TARIH_BOS"),"YUKSEK","ORTA"))</f>
        <v/>
      </c>
      <c r="F253" s="16">
        <f>IF($C253="","",IF(OR($C253="TARIH_BOS",$C253="VKN_UZUNLUK",$C253="TUTAR_NEGATIF",$C253="DONEM_EKSIK"),$C253,"TANIMSIZ"))</f>
        <v/>
      </c>
      <c r="G253" s="16">
        <f>IF($C253="","",1)</f>
        <v/>
      </c>
    </row>
    <row r="254">
      <c r="A254" s="16">
        <f>IF('VERI_A'!$A254="","",ROW()-ROW(tblVeriA[[#Headers]]))</f>
        <v/>
      </c>
      <c r="B254" s="23">
        <f>IF('VERI_A'!$A254="","",'VERI_A'!$A254)</f>
        <v/>
      </c>
      <c r="C254" s="16">
        <f>IF($B254="","",IF(OR('VERI_A'!$B254="",'VERI_A'!$B254=0),"TARIH_BOS",IF(LEN(TRIM('VERI_A'!$C254&amp;""))&lt;&gt;dbe_vknUzunluk,"VKN_UZUNLUK",IF('VERI_A'!$G254&lt;0,"TUTAR_NEGATIF",IF('VERI_A'!$I254="","DONEM_EKSIK",""))))</f>
        <v/>
      </c>
      <c r="D254" s="16">
        <f>IF($C254="","",IF($C254="TARIH_BOS","Belge tarihi zorunlu",IF($C254="VKN_UZUNLUK","VKN 10 hane olmalı",IF($C254="TUTAR_NEGATIF","Toplam negatif olamaz",IF($C254="DONEM_EKSIK","Dönem zorunlu","Elle incele"))))</f>
        <v/>
      </c>
      <c r="E254" s="16">
        <f>IF($C254="","",IF(OR($C254="TUTAR_NEGATIF",$C254="TARIH_BOS"),"YUKSEK","ORTA"))</f>
        <v/>
      </c>
      <c r="F254" s="16">
        <f>IF($C254="","",IF(OR($C254="TARIH_BOS",$C254="VKN_UZUNLUK",$C254="TUTAR_NEGATIF",$C254="DONEM_EKSIK"),$C254,"TANIMSIZ"))</f>
        <v/>
      </c>
      <c r="G254" s="16">
        <f>IF($C254="","",1)</f>
        <v/>
      </c>
    </row>
    <row r="255">
      <c r="A255" s="16">
        <f>IF('VERI_A'!$A255="","",ROW()-ROW(tblVeriA[[#Headers]]))</f>
        <v/>
      </c>
      <c r="B255" s="23">
        <f>IF('VERI_A'!$A255="","",'VERI_A'!$A255)</f>
        <v/>
      </c>
      <c r="C255" s="16">
        <f>IF($B255="","",IF(OR('VERI_A'!$B255="",'VERI_A'!$B255=0),"TARIH_BOS",IF(LEN(TRIM('VERI_A'!$C255&amp;""))&lt;&gt;dbe_vknUzunluk,"VKN_UZUNLUK",IF('VERI_A'!$G255&lt;0,"TUTAR_NEGATIF",IF('VERI_A'!$I255="","DONEM_EKSIK",""))))</f>
        <v/>
      </c>
      <c r="D255" s="16">
        <f>IF($C255="","",IF($C255="TARIH_BOS","Belge tarihi zorunlu",IF($C255="VKN_UZUNLUK","VKN 10 hane olmalı",IF($C255="TUTAR_NEGATIF","Toplam negatif olamaz",IF($C255="DONEM_EKSIK","Dönem zorunlu","Elle incele"))))</f>
        <v/>
      </c>
      <c r="E255" s="16">
        <f>IF($C255="","",IF(OR($C255="TUTAR_NEGATIF",$C255="TARIH_BOS"),"YUKSEK","ORTA"))</f>
        <v/>
      </c>
      <c r="F255" s="16">
        <f>IF($C255="","",IF(OR($C255="TARIH_BOS",$C255="VKN_UZUNLUK",$C255="TUTAR_NEGATIF",$C255="DONEM_EKSIK"),$C255,"TANIMSIZ"))</f>
        <v/>
      </c>
      <c r="G255" s="16">
        <f>IF($C255="","",1)</f>
        <v/>
      </c>
    </row>
    <row r="256">
      <c r="A256" s="16">
        <f>IF('VERI_A'!$A256="","",ROW()-ROW(tblVeriA[[#Headers]]))</f>
        <v/>
      </c>
      <c r="B256" s="23">
        <f>IF('VERI_A'!$A256="","",'VERI_A'!$A256)</f>
        <v/>
      </c>
      <c r="C256" s="16">
        <f>IF($B256="","",IF(OR('VERI_A'!$B256="",'VERI_A'!$B256=0),"TARIH_BOS",IF(LEN(TRIM('VERI_A'!$C256&amp;""))&lt;&gt;dbe_vknUzunluk,"VKN_UZUNLUK",IF('VERI_A'!$G256&lt;0,"TUTAR_NEGATIF",IF('VERI_A'!$I256="","DONEM_EKSIK",""))))</f>
        <v/>
      </c>
      <c r="D256" s="16">
        <f>IF($C256="","",IF($C256="TARIH_BOS","Belge tarihi zorunlu",IF($C256="VKN_UZUNLUK","VKN 10 hane olmalı",IF($C256="TUTAR_NEGATIF","Toplam negatif olamaz",IF($C256="DONEM_EKSIK","Dönem zorunlu","Elle incele"))))</f>
        <v/>
      </c>
      <c r="E256" s="16">
        <f>IF($C256="","",IF(OR($C256="TUTAR_NEGATIF",$C256="TARIH_BOS"),"YUKSEK","ORTA"))</f>
        <v/>
      </c>
      <c r="F256" s="16">
        <f>IF($C256="","",IF(OR($C256="TARIH_BOS",$C256="VKN_UZUNLUK",$C256="TUTAR_NEGATIF",$C256="DONEM_EKSIK"),$C256,"TANIMSIZ"))</f>
        <v/>
      </c>
      <c r="G256" s="16">
        <f>IF($C256="","",1)</f>
        <v/>
      </c>
    </row>
    <row r="257">
      <c r="A257" s="16">
        <f>IF('VERI_A'!$A257="","",ROW()-ROW(tblVeriA[[#Headers]]))</f>
        <v/>
      </c>
      <c r="B257" s="23">
        <f>IF('VERI_A'!$A257="","",'VERI_A'!$A257)</f>
        <v/>
      </c>
      <c r="C257" s="16">
        <f>IF($B257="","",IF(OR('VERI_A'!$B257="",'VERI_A'!$B257=0),"TARIH_BOS",IF(LEN(TRIM('VERI_A'!$C257&amp;""))&lt;&gt;dbe_vknUzunluk,"VKN_UZUNLUK",IF('VERI_A'!$G257&lt;0,"TUTAR_NEGATIF",IF('VERI_A'!$I257="","DONEM_EKSIK",""))))</f>
        <v/>
      </c>
      <c r="D257" s="16">
        <f>IF($C257="","",IF($C257="TARIH_BOS","Belge tarihi zorunlu",IF($C257="VKN_UZUNLUK","VKN 10 hane olmalı",IF($C257="TUTAR_NEGATIF","Toplam negatif olamaz",IF($C257="DONEM_EKSIK","Dönem zorunlu","Elle incele"))))</f>
        <v/>
      </c>
      <c r="E257" s="16">
        <f>IF($C257="","",IF(OR($C257="TUTAR_NEGATIF",$C257="TARIH_BOS"),"YUKSEK","ORTA"))</f>
        <v/>
      </c>
      <c r="F257" s="16">
        <f>IF($C257="","",IF(OR($C257="TARIH_BOS",$C257="VKN_UZUNLUK",$C257="TUTAR_NEGATIF",$C257="DONEM_EKSIK"),$C257,"TANIMSIZ"))</f>
        <v/>
      </c>
      <c r="G257" s="16">
        <f>IF($C257="","",1)</f>
        <v/>
      </c>
    </row>
    <row r="258">
      <c r="A258" s="16">
        <f>IF('VERI_A'!$A258="","",ROW()-ROW(tblVeriA[[#Headers]]))</f>
        <v/>
      </c>
      <c r="B258" s="23">
        <f>IF('VERI_A'!$A258="","",'VERI_A'!$A258)</f>
        <v/>
      </c>
      <c r="C258" s="16">
        <f>IF($B258="","",IF(OR('VERI_A'!$B258="",'VERI_A'!$B258=0),"TARIH_BOS",IF(LEN(TRIM('VERI_A'!$C258&amp;""))&lt;&gt;dbe_vknUzunluk,"VKN_UZUNLUK",IF('VERI_A'!$G258&lt;0,"TUTAR_NEGATIF",IF('VERI_A'!$I258="","DONEM_EKSIK",""))))</f>
        <v/>
      </c>
      <c r="D258" s="16">
        <f>IF($C258="","",IF($C258="TARIH_BOS","Belge tarihi zorunlu",IF($C258="VKN_UZUNLUK","VKN 10 hane olmalı",IF($C258="TUTAR_NEGATIF","Toplam negatif olamaz",IF($C258="DONEM_EKSIK","Dönem zorunlu","Elle incele"))))</f>
        <v/>
      </c>
      <c r="E258" s="16">
        <f>IF($C258="","",IF(OR($C258="TUTAR_NEGATIF",$C258="TARIH_BOS"),"YUKSEK","ORTA"))</f>
        <v/>
      </c>
      <c r="F258" s="16">
        <f>IF($C258="","",IF(OR($C258="TARIH_BOS",$C258="VKN_UZUNLUK",$C258="TUTAR_NEGATIF",$C258="DONEM_EKSIK"),$C258,"TANIMSIZ"))</f>
        <v/>
      </c>
      <c r="G258" s="16">
        <f>IF($C258="","",1)</f>
        <v/>
      </c>
    </row>
    <row r="259">
      <c r="A259" s="16">
        <f>IF('VERI_A'!$A259="","",ROW()-ROW(tblVeriA[[#Headers]]))</f>
        <v/>
      </c>
      <c r="B259" s="23">
        <f>IF('VERI_A'!$A259="","",'VERI_A'!$A259)</f>
        <v/>
      </c>
      <c r="C259" s="16">
        <f>IF($B259="","",IF(OR('VERI_A'!$B259="",'VERI_A'!$B259=0),"TARIH_BOS",IF(LEN(TRIM('VERI_A'!$C259&amp;""))&lt;&gt;dbe_vknUzunluk,"VKN_UZUNLUK",IF('VERI_A'!$G259&lt;0,"TUTAR_NEGATIF",IF('VERI_A'!$I259="","DONEM_EKSIK",""))))</f>
        <v/>
      </c>
      <c r="D259" s="16">
        <f>IF($C259="","",IF($C259="TARIH_BOS","Belge tarihi zorunlu",IF($C259="VKN_UZUNLUK","VKN 10 hane olmalı",IF($C259="TUTAR_NEGATIF","Toplam negatif olamaz",IF($C259="DONEM_EKSIK","Dönem zorunlu","Elle incele"))))</f>
        <v/>
      </c>
      <c r="E259" s="16">
        <f>IF($C259="","",IF(OR($C259="TUTAR_NEGATIF",$C259="TARIH_BOS"),"YUKSEK","ORTA"))</f>
        <v/>
      </c>
      <c r="F259" s="16">
        <f>IF($C259="","",IF(OR($C259="TARIH_BOS",$C259="VKN_UZUNLUK",$C259="TUTAR_NEGATIF",$C259="DONEM_EKSIK"),$C259,"TANIMSIZ"))</f>
        <v/>
      </c>
      <c r="G259" s="16">
        <f>IF($C259="","",1)</f>
        <v/>
      </c>
    </row>
    <row r="260">
      <c r="A260" s="16">
        <f>IF('VERI_A'!$A260="","",ROW()-ROW(tblVeriA[[#Headers]]))</f>
        <v/>
      </c>
      <c r="B260" s="23">
        <f>IF('VERI_A'!$A260="","",'VERI_A'!$A260)</f>
        <v/>
      </c>
      <c r="C260" s="16">
        <f>IF($B260="","",IF(OR('VERI_A'!$B260="",'VERI_A'!$B260=0),"TARIH_BOS",IF(LEN(TRIM('VERI_A'!$C260&amp;""))&lt;&gt;dbe_vknUzunluk,"VKN_UZUNLUK",IF('VERI_A'!$G260&lt;0,"TUTAR_NEGATIF",IF('VERI_A'!$I260="","DONEM_EKSIK",""))))</f>
        <v/>
      </c>
      <c r="D260" s="16">
        <f>IF($C260="","",IF($C260="TARIH_BOS","Belge tarihi zorunlu",IF($C260="VKN_UZUNLUK","VKN 10 hane olmalı",IF($C260="TUTAR_NEGATIF","Toplam negatif olamaz",IF($C260="DONEM_EKSIK","Dönem zorunlu","Elle incele"))))</f>
        <v/>
      </c>
      <c r="E260" s="16">
        <f>IF($C260="","",IF(OR($C260="TUTAR_NEGATIF",$C260="TARIH_BOS"),"YUKSEK","ORTA"))</f>
        <v/>
      </c>
      <c r="F260" s="16">
        <f>IF($C260="","",IF(OR($C260="TARIH_BOS",$C260="VKN_UZUNLUK",$C260="TUTAR_NEGATIF",$C260="DONEM_EKSIK"),$C260,"TANIMSIZ"))</f>
        <v/>
      </c>
      <c r="G260" s="16">
        <f>IF($C260="","",1)</f>
        <v/>
      </c>
    </row>
    <row r="261">
      <c r="A261" s="16">
        <f>IF('VERI_A'!$A261="","",ROW()-ROW(tblVeriA[[#Headers]]))</f>
        <v/>
      </c>
      <c r="B261" s="23">
        <f>IF('VERI_A'!$A261="","",'VERI_A'!$A261)</f>
        <v/>
      </c>
      <c r="C261" s="16">
        <f>IF($B261="","",IF(OR('VERI_A'!$B261="",'VERI_A'!$B261=0),"TARIH_BOS",IF(LEN(TRIM('VERI_A'!$C261&amp;""))&lt;&gt;dbe_vknUzunluk,"VKN_UZUNLUK",IF('VERI_A'!$G261&lt;0,"TUTAR_NEGATIF",IF('VERI_A'!$I261="","DONEM_EKSIK",""))))</f>
        <v/>
      </c>
      <c r="D261" s="16">
        <f>IF($C261="","",IF($C261="TARIH_BOS","Belge tarihi zorunlu",IF($C261="VKN_UZUNLUK","VKN 10 hane olmalı",IF($C261="TUTAR_NEGATIF","Toplam negatif olamaz",IF($C261="DONEM_EKSIK","Dönem zorunlu","Elle incele"))))</f>
        <v/>
      </c>
      <c r="E261" s="16">
        <f>IF($C261="","",IF(OR($C261="TUTAR_NEGATIF",$C261="TARIH_BOS"),"YUKSEK","ORTA"))</f>
        <v/>
      </c>
      <c r="F261" s="16">
        <f>IF($C261="","",IF(OR($C261="TARIH_BOS",$C261="VKN_UZUNLUK",$C261="TUTAR_NEGATIF",$C261="DONEM_EKSIK"),$C261,"TANIMSIZ"))</f>
        <v/>
      </c>
      <c r="G261" s="16">
        <f>IF($C261="","",1)</f>
        <v/>
      </c>
    </row>
    <row r="262">
      <c r="A262" s="16">
        <f>IF('VERI_A'!$A262="","",ROW()-ROW(tblVeriA[[#Headers]]))</f>
        <v/>
      </c>
      <c r="B262" s="23">
        <f>IF('VERI_A'!$A262="","",'VERI_A'!$A262)</f>
        <v/>
      </c>
      <c r="C262" s="16">
        <f>IF($B262="","",IF(OR('VERI_A'!$B262="",'VERI_A'!$B262=0),"TARIH_BOS",IF(LEN(TRIM('VERI_A'!$C262&amp;""))&lt;&gt;dbe_vknUzunluk,"VKN_UZUNLUK",IF('VERI_A'!$G262&lt;0,"TUTAR_NEGATIF",IF('VERI_A'!$I262="","DONEM_EKSIK",""))))</f>
        <v/>
      </c>
      <c r="D262" s="16">
        <f>IF($C262="","",IF($C262="TARIH_BOS","Belge tarihi zorunlu",IF($C262="VKN_UZUNLUK","VKN 10 hane olmalı",IF($C262="TUTAR_NEGATIF","Toplam negatif olamaz",IF($C262="DONEM_EKSIK","Dönem zorunlu","Elle incele"))))</f>
        <v/>
      </c>
      <c r="E262" s="16">
        <f>IF($C262="","",IF(OR($C262="TUTAR_NEGATIF",$C262="TARIH_BOS"),"YUKSEK","ORTA"))</f>
        <v/>
      </c>
      <c r="F262" s="16">
        <f>IF($C262="","",IF(OR($C262="TARIH_BOS",$C262="VKN_UZUNLUK",$C262="TUTAR_NEGATIF",$C262="DONEM_EKSIK"),$C262,"TANIMSIZ"))</f>
        <v/>
      </c>
      <c r="G262" s="16">
        <f>IF($C262="","",1)</f>
        <v/>
      </c>
    </row>
    <row r="263">
      <c r="A263" s="16">
        <f>IF('VERI_A'!$A263="","",ROW()-ROW(tblVeriA[[#Headers]]))</f>
        <v/>
      </c>
      <c r="B263" s="23">
        <f>IF('VERI_A'!$A263="","",'VERI_A'!$A263)</f>
        <v/>
      </c>
      <c r="C263" s="16">
        <f>IF($B263="","",IF(OR('VERI_A'!$B263="",'VERI_A'!$B263=0),"TARIH_BOS",IF(LEN(TRIM('VERI_A'!$C263&amp;""))&lt;&gt;dbe_vknUzunluk,"VKN_UZUNLUK",IF('VERI_A'!$G263&lt;0,"TUTAR_NEGATIF",IF('VERI_A'!$I263="","DONEM_EKSIK",""))))</f>
        <v/>
      </c>
      <c r="D263" s="16">
        <f>IF($C263="","",IF($C263="TARIH_BOS","Belge tarihi zorunlu",IF($C263="VKN_UZUNLUK","VKN 10 hane olmalı",IF($C263="TUTAR_NEGATIF","Toplam negatif olamaz",IF($C263="DONEM_EKSIK","Dönem zorunlu","Elle incele"))))</f>
        <v/>
      </c>
      <c r="E263" s="16">
        <f>IF($C263="","",IF(OR($C263="TUTAR_NEGATIF",$C263="TARIH_BOS"),"YUKSEK","ORTA"))</f>
        <v/>
      </c>
      <c r="F263" s="16">
        <f>IF($C263="","",IF(OR($C263="TARIH_BOS",$C263="VKN_UZUNLUK",$C263="TUTAR_NEGATIF",$C263="DONEM_EKSIK"),$C263,"TANIMSIZ"))</f>
        <v/>
      </c>
      <c r="G263" s="16">
        <f>IF($C263="","",1)</f>
        <v/>
      </c>
    </row>
    <row r="264">
      <c r="A264" s="16">
        <f>IF('VERI_A'!$A264="","",ROW()-ROW(tblVeriA[[#Headers]]))</f>
        <v/>
      </c>
      <c r="B264" s="23">
        <f>IF('VERI_A'!$A264="","",'VERI_A'!$A264)</f>
        <v/>
      </c>
      <c r="C264" s="16">
        <f>IF($B264="","",IF(OR('VERI_A'!$B264="",'VERI_A'!$B264=0),"TARIH_BOS",IF(LEN(TRIM('VERI_A'!$C264&amp;""))&lt;&gt;dbe_vknUzunluk,"VKN_UZUNLUK",IF('VERI_A'!$G264&lt;0,"TUTAR_NEGATIF",IF('VERI_A'!$I264="","DONEM_EKSIK",""))))</f>
        <v/>
      </c>
      <c r="D264" s="16">
        <f>IF($C264="","",IF($C264="TARIH_BOS","Belge tarihi zorunlu",IF($C264="VKN_UZUNLUK","VKN 10 hane olmalı",IF($C264="TUTAR_NEGATIF","Toplam negatif olamaz",IF($C264="DONEM_EKSIK","Dönem zorunlu","Elle incele"))))</f>
        <v/>
      </c>
      <c r="E264" s="16">
        <f>IF($C264="","",IF(OR($C264="TUTAR_NEGATIF",$C264="TARIH_BOS"),"YUKSEK","ORTA"))</f>
        <v/>
      </c>
      <c r="F264" s="16">
        <f>IF($C264="","",IF(OR($C264="TARIH_BOS",$C264="VKN_UZUNLUK",$C264="TUTAR_NEGATIF",$C264="DONEM_EKSIK"),$C264,"TANIMSIZ"))</f>
        <v/>
      </c>
      <c r="G264" s="16">
        <f>IF($C264="","",1)</f>
        <v/>
      </c>
    </row>
    <row r="265">
      <c r="A265" s="16">
        <f>IF('VERI_A'!$A265="","",ROW()-ROW(tblVeriA[[#Headers]]))</f>
        <v/>
      </c>
      <c r="B265" s="23">
        <f>IF('VERI_A'!$A265="","",'VERI_A'!$A265)</f>
        <v/>
      </c>
      <c r="C265" s="16">
        <f>IF($B265="","",IF(OR('VERI_A'!$B265="",'VERI_A'!$B265=0),"TARIH_BOS",IF(LEN(TRIM('VERI_A'!$C265&amp;""))&lt;&gt;dbe_vknUzunluk,"VKN_UZUNLUK",IF('VERI_A'!$G265&lt;0,"TUTAR_NEGATIF",IF('VERI_A'!$I265="","DONEM_EKSIK",""))))</f>
        <v/>
      </c>
      <c r="D265" s="16">
        <f>IF($C265="","",IF($C265="TARIH_BOS","Belge tarihi zorunlu",IF($C265="VKN_UZUNLUK","VKN 10 hane olmalı",IF($C265="TUTAR_NEGATIF","Toplam negatif olamaz",IF($C265="DONEM_EKSIK","Dönem zorunlu","Elle incele"))))</f>
        <v/>
      </c>
      <c r="E265" s="16">
        <f>IF($C265="","",IF(OR($C265="TUTAR_NEGATIF",$C265="TARIH_BOS"),"YUKSEK","ORTA"))</f>
        <v/>
      </c>
      <c r="F265" s="16">
        <f>IF($C265="","",IF(OR($C265="TARIH_BOS",$C265="VKN_UZUNLUK",$C265="TUTAR_NEGATIF",$C265="DONEM_EKSIK"),$C265,"TANIMSIZ"))</f>
        <v/>
      </c>
      <c r="G265" s="16">
        <f>IF($C265="","",1)</f>
        <v/>
      </c>
    </row>
    <row r="266">
      <c r="A266" s="16">
        <f>IF('VERI_A'!$A266="","",ROW()-ROW(tblVeriA[[#Headers]]))</f>
        <v/>
      </c>
      <c r="B266" s="23">
        <f>IF('VERI_A'!$A266="","",'VERI_A'!$A266)</f>
        <v/>
      </c>
      <c r="C266" s="16">
        <f>IF($B266="","",IF(OR('VERI_A'!$B266="",'VERI_A'!$B266=0),"TARIH_BOS",IF(LEN(TRIM('VERI_A'!$C266&amp;""))&lt;&gt;dbe_vknUzunluk,"VKN_UZUNLUK",IF('VERI_A'!$G266&lt;0,"TUTAR_NEGATIF",IF('VERI_A'!$I266="","DONEM_EKSIK",""))))</f>
        <v/>
      </c>
      <c r="D266" s="16">
        <f>IF($C266="","",IF($C266="TARIH_BOS","Belge tarihi zorunlu",IF($C266="VKN_UZUNLUK","VKN 10 hane olmalı",IF($C266="TUTAR_NEGATIF","Toplam negatif olamaz",IF($C266="DONEM_EKSIK","Dönem zorunlu","Elle incele"))))</f>
        <v/>
      </c>
      <c r="E266" s="16">
        <f>IF($C266="","",IF(OR($C266="TUTAR_NEGATIF",$C266="TARIH_BOS"),"YUKSEK","ORTA"))</f>
        <v/>
      </c>
      <c r="F266" s="16">
        <f>IF($C266="","",IF(OR($C266="TARIH_BOS",$C266="VKN_UZUNLUK",$C266="TUTAR_NEGATIF",$C266="DONEM_EKSIK"),$C266,"TANIMSIZ"))</f>
        <v/>
      </c>
      <c r="G266" s="16">
        <f>IF($C266="","",1)</f>
        <v/>
      </c>
    </row>
    <row r="267">
      <c r="A267" s="16">
        <f>IF('VERI_A'!$A267="","",ROW()-ROW(tblVeriA[[#Headers]]))</f>
        <v/>
      </c>
      <c r="B267" s="23">
        <f>IF('VERI_A'!$A267="","",'VERI_A'!$A267)</f>
        <v/>
      </c>
      <c r="C267" s="16">
        <f>IF($B267="","",IF(OR('VERI_A'!$B267="",'VERI_A'!$B267=0),"TARIH_BOS",IF(LEN(TRIM('VERI_A'!$C267&amp;""))&lt;&gt;dbe_vknUzunluk,"VKN_UZUNLUK",IF('VERI_A'!$G267&lt;0,"TUTAR_NEGATIF",IF('VERI_A'!$I267="","DONEM_EKSIK",""))))</f>
        <v/>
      </c>
      <c r="D267" s="16">
        <f>IF($C267="","",IF($C267="TARIH_BOS","Belge tarihi zorunlu",IF($C267="VKN_UZUNLUK","VKN 10 hane olmalı",IF($C267="TUTAR_NEGATIF","Toplam negatif olamaz",IF($C267="DONEM_EKSIK","Dönem zorunlu","Elle incele"))))</f>
        <v/>
      </c>
      <c r="E267" s="16">
        <f>IF($C267="","",IF(OR($C267="TUTAR_NEGATIF",$C267="TARIH_BOS"),"YUKSEK","ORTA"))</f>
        <v/>
      </c>
      <c r="F267" s="16">
        <f>IF($C267="","",IF(OR($C267="TARIH_BOS",$C267="VKN_UZUNLUK",$C267="TUTAR_NEGATIF",$C267="DONEM_EKSIK"),$C267,"TANIMSIZ"))</f>
        <v/>
      </c>
      <c r="G267" s="16">
        <f>IF($C267="","",1)</f>
        <v/>
      </c>
    </row>
    <row r="268">
      <c r="A268" s="16">
        <f>IF('VERI_A'!$A268="","",ROW()-ROW(tblVeriA[[#Headers]]))</f>
        <v/>
      </c>
      <c r="B268" s="23">
        <f>IF('VERI_A'!$A268="","",'VERI_A'!$A268)</f>
        <v/>
      </c>
      <c r="C268" s="16">
        <f>IF($B268="","",IF(OR('VERI_A'!$B268="",'VERI_A'!$B268=0),"TARIH_BOS",IF(LEN(TRIM('VERI_A'!$C268&amp;""))&lt;&gt;dbe_vknUzunluk,"VKN_UZUNLUK",IF('VERI_A'!$G268&lt;0,"TUTAR_NEGATIF",IF('VERI_A'!$I268="","DONEM_EKSIK",""))))</f>
        <v/>
      </c>
      <c r="D268" s="16">
        <f>IF($C268="","",IF($C268="TARIH_BOS","Belge tarihi zorunlu",IF($C268="VKN_UZUNLUK","VKN 10 hane olmalı",IF($C268="TUTAR_NEGATIF","Toplam negatif olamaz",IF($C268="DONEM_EKSIK","Dönem zorunlu","Elle incele"))))</f>
        <v/>
      </c>
      <c r="E268" s="16">
        <f>IF($C268="","",IF(OR($C268="TUTAR_NEGATIF",$C268="TARIH_BOS"),"YUKSEK","ORTA"))</f>
        <v/>
      </c>
      <c r="F268" s="16">
        <f>IF($C268="","",IF(OR($C268="TARIH_BOS",$C268="VKN_UZUNLUK",$C268="TUTAR_NEGATIF",$C268="DONEM_EKSIK"),$C268,"TANIMSIZ"))</f>
        <v/>
      </c>
      <c r="G268" s="16">
        <f>IF($C268="","",1)</f>
        <v/>
      </c>
    </row>
    <row r="269">
      <c r="A269" s="16">
        <f>IF('VERI_A'!$A269="","",ROW()-ROW(tblVeriA[[#Headers]]))</f>
        <v/>
      </c>
      <c r="B269" s="23">
        <f>IF('VERI_A'!$A269="","",'VERI_A'!$A269)</f>
        <v/>
      </c>
      <c r="C269" s="16">
        <f>IF($B269="","",IF(OR('VERI_A'!$B269="",'VERI_A'!$B269=0),"TARIH_BOS",IF(LEN(TRIM('VERI_A'!$C269&amp;""))&lt;&gt;dbe_vknUzunluk,"VKN_UZUNLUK",IF('VERI_A'!$G269&lt;0,"TUTAR_NEGATIF",IF('VERI_A'!$I269="","DONEM_EKSIK",""))))</f>
        <v/>
      </c>
      <c r="D269" s="16">
        <f>IF($C269="","",IF($C269="TARIH_BOS","Belge tarihi zorunlu",IF($C269="VKN_UZUNLUK","VKN 10 hane olmalı",IF($C269="TUTAR_NEGATIF","Toplam negatif olamaz",IF($C269="DONEM_EKSIK","Dönem zorunlu","Elle incele"))))</f>
        <v/>
      </c>
      <c r="E269" s="16">
        <f>IF($C269="","",IF(OR($C269="TUTAR_NEGATIF",$C269="TARIH_BOS"),"YUKSEK","ORTA"))</f>
        <v/>
      </c>
      <c r="F269" s="16">
        <f>IF($C269="","",IF(OR($C269="TARIH_BOS",$C269="VKN_UZUNLUK",$C269="TUTAR_NEGATIF",$C269="DONEM_EKSIK"),$C269,"TANIMSIZ"))</f>
        <v/>
      </c>
      <c r="G269" s="16">
        <f>IF($C269="","",1)</f>
        <v/>
      </c>
    </row>
    <row r="270">
      <c r="A270" s="16">
        <f>IF('VERI_A'!$A270="","",ROW()-ROW(tblVeriA[[#Headers]]))</f>
        <v/>
      </c>
      <c r="B270" s="23">
        <f>IF('VERI_A'!$A270="","",'VERI_A'!$A270)</f>
        <v/>
      </c>
      <c r="C270" s="16">
        <f>IF($B270="","",IF(OR('VERI_A'!$B270="",'VERI_A'!$B270=0),"TARIH_BOS",IF(LEN(TRIM('VERI_A'!$C270&amp;""))&lt;&gt;dbe_vknUzunluk,"VKN_UZUNLUK",IF('VERI_A'!$G270&lt;0,"TUTAR_NEGATIF",IF('VERI_A'!$I270="","DONEM_EKSIK",""))))</f>
        <v/>
      </c>
      <c r="D270" s="16">
        <f>IF($C270="","",IF($C270="TARIH_BOS","Belge tarihi zorunlu",IF($C270="VKN_UZUNLUK","VKN 10 hane olmalı",IF($C270="TUTAR_NEGATIF","Toplam negatif olamaz",IF($C270="DONEM_EKSIK","Dönem zorunlu","Elle incele"))))</f>
        <v/>
      </c>
      <c r="E270" s="16">
        <f>IF($C270="","",IF(OR($C270="TUTAR_NEGATIF",$C270="TARIH_BOS"),"YUKSEK","ORTA"))</f>
        <v/>
      </c>
      <c r="F270" s="16">
        <f>IF($C270="","",IF(OR($C270="TARIH_BOS",$C270="VKN_UZUNLUK",$C270="TUTAR_NEGATIF",$C270="DONEM_EKSIK"),$C270,"TANIMSIZ"))</f>
        <v/>
      </c>
      <c r="G270" s="16">
        <f>IF($C270="","",1)</f>
        <v/>
      </c>
    </row>
    <row r="271">
      <c r="A271" s="16">
        <f>IF('VERI_A'!$A271="","",ROW()-ROW(tblVeriA[[#Headers]]))</f>
        <v/>
      </c>
      <c r="B271" s="23">
        <f>IF('VERI_A'!$A271="","",'VERI_A'!$A271)</f>
        <v/>
      </c>
      <c r="C271" s="16">
        <f>IF($B271="","",IF(OR('VERI_A'!$B271="",'VERI_A'!$B271=0),"TARIH_BOS",IF(LEN(TRIM('VERI_A'!$C271&amp;""))&lt;&gt;dbe_vknUzunluk,"VKN_UZUNLUK",IF('VERI_A'!$G271&lt;0,"TUTAR_NEGATIF",IF('VERI_A'!$I271="","DONEM_EKSIK",""))))</f>
        <v/>
      </c>
      <c r="D271" s="16">
        <f>IF($C271="","",IF($C271="TARIH_BOS","Belge tarihi zorunlu",IF($C271="VKN_UZUNLUK","VKN 10 hane olmalı",IF($C271="TUTAR_NEGATIF","Toplam negatif olamaz",IF($C271="DONEM_EKSIK","Dönem zorunlu","Elle incele"))))</f>
        <v/>
      </c>
      <c r="E271" s="16">
        <f>IF($C271="","",IF(OR($C271="TUTAR_NEGATIF",$C271="TARIH_BOS"),"YUKSEK","ORTA"))</f>
        <v/>
      </c>
      <c r="F271" s="16">
        <f>IF($C271="","",IF(OR($C271="TARIH_BOS",$C271="VKN_UZUNLUK",$C271="TUTAR_NEGATIF",$C271="DONEM_EKSIK"),$C271,"TANIMSIZ"))</f>
        <v/>
      </c>
      <c r="G271" s="16">
        <f>IF($C271="","",1)</f>
        <v/>
      </c>
    </row>
    <row r="272">
      <c r="A272" s="16">
        <f>IF('VERI_A'!$A272="","",ROW()-ROW(tblVeriA[[#Headers]]))</f>
        <v/>
      </c>
      <c r="B272" s="23">
        <f>IF('VERI_A'!$A272="","",'VERI_A'!$A272)</f>
        <v/>
      </c>
      <c r="C272" s="16">
        <f>IF($B272="","",IF(OR('VERI_A'!$B272="",'VERI_A'!$B272=0),"TARIH_BOS",IF(LEN(TRIM('VERI_A'!$C272&amp;""))&lt;&gt;dbe_vknUzunluk,"VKN_UZUNLUK",IF('VERI_A'!$G272&lt;0,"TUTAR_NEGATIF",IF('VERI_A'!$I272="","DONEM_EKSIK",""))))</f>
        <v/>
      </c>
      <c r="D272" s="16">
        <f>IF($C272="","",IF($C272="TARIH_BOS","Belge tarihi zorunlu",IF($C272="VKN_UZUNLUK","VKN 10 hane olmalı",IF($C272="TUTAR_NEGATIF","Toplam negatif olamaz",IF($C272="DONEM_EKSIK","Dönem zorunlu","Elle incele"))))</f>
        <v/>
      </c>
      <c r="E272" s="16">
        <f>IF($C272="","",IF(OR($C272="TUTAR_NEGATIF",$C272="TARIH_BOS"),"YUKSEK","ORTA"))</f>
        <v/>
      </c>
      <c r="F272" s="16">
        <f>IF($C272="","",IF(OR($C272="TARIH_BOS",$C272="VKN_UZUNLUK",$C272="TUTAR_NEGATIF",$C272="DONEM_EKSIK"),$C272,"TANIMSIZ"))</f>
        <v/>
      </c>
      <c r="G272" s="16">
        <f>IF($C272="","",1)</f>
        <v/>
      </c>
    </row>
    <row r="273">
      <c r="A273" s="16">
        <f>IF('VERI_A'!$A273="","",ROW()-ROW(tblVeriA[[#Headers]]))</f>
        <v/>
      </c>
      <c r="B273" s="23">
        <f>IF('VERI_A'!$A273="","",'VERI_A'!$A273)</f>
        <v/>
      </c>
      <c r="C273" s="16">
        <f>IF($B273="","",IF(OR('VERI_A'!$B273="",'VERI_A'!$B273=0),"TARIH_BOS",IF(LEN(TRIM('VERI_A'!$C273&amp;""))&lt;&gt;dbe_vknUzunluk,"VKN_UZUNLUK",IF('VERI_A'!$G273&lt;0,"TUTAR_NEGATIF",IF('VERI_A'!$I273="","DONEM_EKSIK",""))))</f>
        <v/>
      </c>
      <c r="D273" s="16">
        <f>IF($C273="","",IF($C273="TARIH_BOS","Belge tarihi zorunlu",IF($C273="VKN_UZUNLUK","VKN 10 hane olmalı",IF($C273="TUTAR_NEGATIF","Toplam negatif olamaz",IF($C273="DONEM_EKSIK","Dönem zorunlu","Elle incele"))))</f>
        <v/>
      </c>
      <c r="E273" s="16">
        <f>IF($C273="","",IF(OR($C273="TUTAR_NEGATIF",$C273="TARIH_BOS"),"YUKSEK","ORTA"))</f>
        <v/>
      </c>
      <c r="F273" s="16">
        <f>IF($C273="","",IF(OR($C273="TARIH_BOS",$C273="VKN_UZUNLUK",$C273="TUTAR_NEGATIF",$C273="DONEM_EKSIK"),$C273,"TANIMSIZ"))</f>
        <v/>
      </c>
      <c r="G273" s="16">
        <f>IF($C273="","",1)</f>
        <v/>
      </c>
    </row>
    <row r="274">
      <c r="A274" s="16">
        <f>IF('VERI_A'!$A274="","",ROW()-ROW(tblVeriA[[#Headers]]))</f>
        <v/>
      </c>
      <c r="B274" s="23">
        <f>IF('VERI_A'!$A274="","",'VERI_A'!$A274)</f>
        <v/>
      </c>
      <c r="C274" s="16">
        <f>IF($B274="","",IF(OR('VERI_A'!$B274="",'VERI_A'!$B274=0),"TARIH_BOS",IF(LEN(TRIM('VERI_A'!$C274&amp;""))&lt;&gt;dbe_vknUzunluk,"VKN_UZUNLUK",IF('VERI_A'!$G274&lt;0,"TUTAR_NEGATIF",IF('VERI_A'!$I274="","DONEM_EKSIK",""))))</f>
        <v/>
      </c>
      <c r="D274" s="16">
        <f>IF($C274="","",IF($C274="TARIH_BOS","Belge tarihi zorunlu",IF($C274="VKN_UZUNLUK","VKN 10 hane olmalı",IF($C274="TUTAR_NEGATIF","Toplam negatif olamaz",IF($C274="DONEM_EKSIK","Dönem zorunlu","Elle incele"))))</f>
        <v/>
      </c>
      <c r="E274" s="16">
        <f>IF($C274="","",IF(OR($C274="TUTAR_NEGATIF",$C274="TARIH_BOS"),"YUKSEK","ORTA"))</f>
        <v/>
      </c>
      <c r="F274" s="16">
        <f>IF($C274="","",IF(OR($C274="TARIH_BOS",$C274="VKN_UZUNLUK",$C274="TUTAR_NEGATIF",$C274="DONEM_EKSIK"),$C274,"TANIMSIZ"))</f>
        <v/>
      </c>
      <c r="G274" s="16">
        <f>IF($C274="","",1)</f>
        <v/>
      </c>
    </row>
    <row r="275">
      <c r="A275" s="16">
        <f>IF('VERI_A'!$A275="","",ROW()-ROW(tblVeriA[[#Headers]]))</f>
        <v/>
      </c>
      <c r="B275" s="23">
        <f>IF('VERI_A'!$A275="","",'VERI_A'!$A275)</f>
        <v/>
      </c>
      <c r="C275" s="16">
        <f>IF($B275="","",IF(OR('VERI_A'!$B275="",'VERI_A'!$B275=0),"TARIH_BOS",IF(LEN(TRIM('VERI_A'!$C275&amp;""))&lt;&gt;dbe_vknUzunluk,"VKN_UZUNLUK",IF('VERI_A'!$G275&lt;0,"TUTAR_NEGATIF",IF('VERI_A'!$I275="","DONEM_EKSIK",""))))</f>
        <v/>
      </c>
      <c r="D275" s="16">
        <f>IF($C275="","",IF($C275="TARIH_BOS","Belge tarihi zorunlu",IF($C275="VKN_UZUNLUK","VKN 10 hane olmalı",IF($C275="TUTAR_NEGATIF","Toplam negatif olamaz",IF($C275="DONEM_EKSIK","Dönem zorunlu","Elle incele"))))</f>
        <v/>
      </c>
      <c r="E275" s="16">
        <f>IF($C275="","",IF(OR($C275="TUTAR_NEGATIF",$C275="TARIH_BOS"),"YUKSEK","ORTA"))</f>
        <v/>
      </c>
      <c r="F275" s="16">
        <f>IF($C275="","",IF(OR($C275="TARIH_BOS",$C275="VKN_UZUNLUK",$C275="TUTAR_NEGATIF",$C275="DONEM_EKSIK"),$C275,"TANIMSIZ"))</f>
        <v/>
      </c>
      <c r="G275" s="16">
        <f>IF($C275="","",1)</f>
        <v/>
      </c>
    </row>
    <row r="276">
      <c r="A276" s="16">
        <f>IF('VERI_A'!$A276="","",ROW()-ROW(tblVeriA[[#Headers]]))</f>
        <v/>
      </c>
      <c r="B276" s="23">
        <f>IF('VERI_A'!$A276="","",'VERI_A'!$A276)</f>
        <v/>
      </c>
      <c r="C276" s="16">
        <f>IF($B276="","",IF(OR('VERI_A'!$B276="",'VERI_A'!$B276=0),"TARIH_BOS",IF(LEN(TRIM('VERI_A'!$C276&amp;""))&lt;&gt;dbe_vknUzunluk,"VKN_UZUNLUK",IF('VERI_A'!$G276&lt;0,"TUTAR_NEGATIF",IF('VERI_A'!$I276="","DONEM_EKSIK",""))))</f>
        <v/>
      </c>
      <c r="D276" s="16">
        <f>IF($C276="","",IF($C276="TARIH_BOS","Belge tarihi zorunlu",IF($C276="VKN_UZUNLUK","VKN 10 hane olmalı",IF($C276="TUTAR_NEGATIF","Toplam negatif olamaz",IF($C276="DONEM_EKSIK","Dönem zorunlu","Elle incele"))))</f>
        <v/>
      </c>
      <c r="E276" s="16">
        <f>IF($C276="","",IF(OR($C276="TUTAR_NEGATIF",$C276="TARIH_BOS"),"YUKSEK","ORTA"))</f>
        <v/>
      </c>
      <c r="F276" s="16">
        <f>IF($C276="","",IF(OR($C276="TARIH_BOS",$C276="VKN_UZUNLUK",$C276="TUTAR_NEGATIF",$C276="DONEM_EKSIK"),$C276,"TANIMSIZ"))</f>
        <v/>
      </c>
      <c r="G276" s="16">
        <f>IF($C276="","",1)</f>
        <v/>
      </c>
    </row>
    <row r="277">
      <c r="A277" s="16">
        <f>IF('VERI_A'!$A277="","",ROW()-ROW(tblVeriA[[#Headers]]))</f>
        <v/>
      </c>
      <c r="B277" s="23">
        <f>IF('VERI_A'!$A277="","",'VERI_A'!$A277)</f>
        <v/>
      </c>
      <c r="C277" s="16">
        <f>IF($B277="","",IF(OR('VERI_A'!$B277="",'VERI_A'!$B277=0),"TARIH_BOS",IF(LEN(TRIM('VERI_A'!$C277&amp;""))&lt;&gt;dbe_vknUzunluk,"VKN_UZUNLUK",IF('VERI_A'!$G277&lt;0,"TUTAR_NEGATIF",IF('VERI_A'!$I277="","DONEM_EKSIK",""))))</f>
        <v/>
      </c>
      <c r="D277" s="16">
        <f>IF($C277="","",IF($C277="TARIH_BOS","Belge tarihi zorunlu",IF($C277="VKN_UZUNLUK","VKN 10 hane olmalı",IF($C277="TUTAR_NEGATIF","Toplam negatif olamaz",IF($C277="DONEM_EKSIK","Dönem zorunlu","Elle incele"))))</f>
        <v/>
      </c>
      <c r="E277" s="16">
        <f>IF($C277="","",IF(OR($C277="TUTAR_NEGATIF",$C277="TARIH_BOS"),"YUKSEK","ORTA"))</f>
        <v/>
      </c>
      <c r="F277" s="16">
        <f>IF($C277="","",IF(OR($C277="TARIH_BOS",$C277="VKN_UZUNLUK",$C277="TUTAR_NEGATIF",$C277="DONEM_EKSIK"),$C277,"TANIMSIZ"))</f>
        <v/>
      </c>
      <c r="G277" s="16">
        <f>IF($C277="","",1)</f>
        <v/>
      </c>
    </row>
    <row r="278">
      <c r="A278" s="16">
        <f>IF('VERI_A'!$A278="","",ROW()-ROW(tblVeriA[[#Headers]]))</f>
        <v/>
      </c>
      <c r="B278" s="23">
        <f>IF('VERI_A'!$A278="","",'VERI_A'!$A278)</f>
        <v/>
      </c>
      <c r="C278" s="16">
        <f>IF($B278="","",IF(OR('VERI_A'!$B278="",'VERI_A'!$B278=0),"TARIH_BOS",IF(LEN(TRIM('VERI_A'!$C278&amp;""))&lt;&gt;dbe_vknUzunluk,"VKN_UZUNLUK",IF('VERI_A'!$G278&lt;0,"TUTAR_NEGATIF",IF('VERI_A'!$I278="","DONEM_EKSIK",""))))</f>
        <v/>
      </c>
      <c r="D278" s="16">
        <f>IF($C278="","",IF($C278="TARIH_BOS","Belge tarihi zorunlu",IF($C278="VKN_UZUNLUK","VKN 10 hane olmalı",IF($C278="TUTAR_NEGATIF","Toplam negatif olamaz",IF($C278="DONEM_EKSIK","Dönem zorunlu","Elle incele"))))</f>
        <v/>
      </c>
      <c r="E278" s="16">
        <f>IF($C278="","",IF(OR($C278="TUTAR_NEGATIF",$C278="TARIH_BOS"),"YUKSEK","ORTA"))</f>
        <v/>
      </c>
      <c r="F278" s="16">
        <f>IF($C278="","",IF(OR($C278="TARIH_BOS",$C278="VKN_UZUNLUK",$C278="TUTAR_NEGATIF",$C278="DONEM_EKSIK"),$C278,"TANIMSIZ"))</f>
        <v/>
      </c>
      <c r="G278" s="16">
        <f>IF($C278="","",1)</f>
        <v/>
      </c>
    </row>
    <row r="279">
      <c r="A279" s="16">
        <f>IF('VERI_A'!$A279="","",ROW()-ROW(tblVeriA[[#Headers]]))</f>
        <v/>
      </c>
      <c r="B279" s="23">
        <f>IF('VERI_A'!$A279="","",'VERI_A'!$A279)</f>
        <v/>
      </c>
      <c r="C279" s="16">
        <f>IF($B279="","",IF(OR('VERI_A'!$B279="",'VERI_A'!$B279=0),"TARIH_BOS",IF(LEN(TRIM('VERI_A'!$C279&amp;""))&lt;&gt;dbe_vknUzunluk,"VKN_UZUNLUK",IF('VERI_A'!$G279&lt;0,"TUTAR_NEGATIF",IF('VERI_A'!$I279="","DONEM_EKSIK",""))))</f>
        <v/>
      </c>
      <c r="D279" s="16">
        <f>IF($C279="","",IF($C279="TARIH_BOS","Belge tarihi zorunlu",IF($C279="VKN_UZUNLUK","VKN 10 hane olmalı",IF($C279="TUTAR_NEGATIF","Toplam negatif olamaz",IF($C279="DONEM_EKSIK","Dönem zorunlu","Elle incele"))))</f>
        <v/>
      </c>
      <c r="E279" s="16">
        <f>IF($C279="","",IF(OR($C279="TUTAR_NEGATIF",$C279="TARIH_BOS"),"YUKSEK","ORTA"))</f>
        <v/>
      </c>
      <c r="F279" s="16">
        <f>IF($C279="","",IF(OR($C279="TARIH_BOS",$C279="VKN_UZUNLUK",$C279="TUTAR_NEGATIF",$C279="DONEM_EKSIK"),$C279,"TANIMSIZ"))</f>
        <v/>
      </c>
      <c r="G279" s="16">
        <f>IF($C279="","",1)</f>
        <v/>
      </c>
    </row>
    <row r="280">
      <c r="A280" s="16">
        <f>IF('VERI_A'!$A280="","",ROW()-ROW(tblVeriA[[#Headers]]))</f>
        <v/>
      </c>
      <c r="B280" s="23">
        <f>IF('VERI_A'!$A280="","",'VERI_A'!$A280)</f>
        <v/>
      </c>
      <c r="C280" s="16">
        <f>IF($B280="","",IF(OR('VERI_A'!$B280="",'VERI_A'!$B280=0),"TARIH_BOS",IF(LEN(TRIM('VERI_A'!$C280&amp;""))&lt;&gt;dbe_vknUzunluk,"VKN_UZUNLUK",IF('VERI_A'!$G280&lt;0,"TUTAR_NEGATIF",IF('VERI_A'!$I280="","DONEM_EKSIK",""))))</f>
        <v/>
      </c>
      <c r="D280" s="16">
        <f>IF($C280="","",IF($C280="TARIH_BOS","Belge tarihi zorunlu",IF($C280="VKN_UZUNLUK","VKN 10 hane olmalı",IF($C280="TUTAR_NEGATIF","Toplam negatif olamaz",IF($C280="DONEM_EKSIK","Dönem zorunlu","Elle incele"))))</f>
        <v/>
      </c>
      <c r="E280" s="16">
        <f>IF($C280="","",IF(OR($C280="TUTAR_NEGATIF",$C280="TARIH_BOS"),"YUKSEK","ORTA"))</f>
        <v/>
      </c>
      <c r="F280" s="16">
        <f>IF($C280="","",IF(OR($C280="TARIH_BOS",$C280="VKN_UZUNLUK",$C280="TUTAR_NEGATIF",$C280="DONEM_EKSIK"),$C280,"TANIMSIZ"))</f>
        <v/>
      </c>
      <c r="G280" s="16">
        <f>IF($C280="","",1)</f>
        <v/>
      </c>
    </row>
    <row r="281">
      <c r="A281" s="16">
        <f>IF('VERI_A'!$A281="","",ROW()-ROW(tblVeriA[[#Headers]]))</f>
        <v/>
      </c>
      <c r="B281" s="23">
        <f>IF('VERI_A'!$A281="","",'VERI_A'!$A281)</f>
        <v/>
      </c>
      <c r="C281" s="16">
        <f>IF($B281="","",IF(OR('VERI_A'!$B281="",'VERI_A'!$B281=0),"TARIH_BOS",IF(LEN(TRIM('VERI_A'!$C281&amp;""))&lt;&gt;dbe_vknUzunluk,"VKN_UZUNLUK",IF('VERI_A'!$G281&lt;0,"TUTAR_NEGATIF",IF('VERI_A'!$I281="","DONEM_EKSIK",""))))</f>
        <v/>
      </c>
      <c r="D281" s="16">
        <f>IF($C281="","",IF($C281="TARIH_BOS","Belge tarihi zorunlu",IF($C281="VKN_UZUNLUK","VKN 10 hane olmalı",IF($C281="TUTAR_NEGATIF","Toplam negatif olamaz",IF($C281="DONEM_EKSIK","Dönem zorunlu","Elle incele"))))</f>
        <v/>
      </c>
      <c r="E281" s="16">
        <f>IF($C281="","",IF(OR($C281="TUTAR_NEGATIF",$C281="TARIH_BOS"),"YUKSEK","ORTA"))</f>
        <v/>
      </c>
      <c r="F281" s="16">
        <f>IF($C281="","",IF(OR($C281="TARIH_BOS",$C281="VKN_UZUNLUK",$C281="TUTAR_NEGATIF",$C281="DONEM_EKSIK"),$C281,"TANIMSIZ"))</f>
        <v/>
      </c>
      <c r="G281" s="16">
        <f>IF($C281="","",1)</f>
        <v/>
      </c>
    </row>
    <row r="282">
      <c r="A282" s="16">
        <f>IF('VERI_A'!$A282="","",ROW()-ROW(tblVeriA[[#Headers]]))</f>
        <v/>
      </c>
      <c r="B282" s="23">
        <f>IF('VERI_A'!$A282="","",'VERI_A'!$A282)</f>
        <v/>
      </c>
      <c r="C282" s="16">
        <f>IF($B282="","",IF(OR('VERI_A'!$B282="",'VERI_A'!$B282=0),"TARIH_BOS",IF(LEN(TRIM('VERI_A'!$C282&amp;""))&lt;&gt;dbe_vknUzunluk,"VKN_UZUNLUK",IF('VERI_A'!$G282&lt;0,"TUTAR_NEGATIF",IF('VERI_A'!$I282="","DONEM_EKSIK",""))))</f>
        <v/>
      </c>
      <c r="D282" s="16">
        <f>IF($C282="","",IF($C282="TARIH_BOS","Belge tarihi zorunlu",IF($C282="VKN_UZUNLUK","VKN 10 hane olmalı",IF($C282="TUTAR_NEGATIF","Toplam negatif olamaz",IF($C282="DONEM_EKSIK","Dönem zorunlu","Elle incele"))))</f>
        <v/>
      </c>
      <c r="E282" s="16">
        <f>IF($C282="","",IF(OR($C282="TUTAR_NEGATIF",$C282="TARIH_BOS"),"YUKSEK","ORTA"))</f>
        <v/>
      </c>
      <c r="F282" s="16">
        <f>IF($C282="","",IF(OR($C282="TARIH_BOS",$C282="VKN_UZUNLUK",$C282="TUTAR_NEGATIF",$C282="DONEM_EKSIK"),$C282,"TANIMSIZ"))</f>
        <v/>
      </c>
      <c r="G282" s="16">
        <f>IF($C282="","",1)</f>
        <v/>
      </c>
    </row>
    <row r="283">
      <c r="A283" s="16">
        <f>IF('VERI_A'!$A283="","",ROW()-ROW(tblVeriA[[#Headers]]))</f>
        <v/>
      </c>
      <c r="B283" s="23">
        <f>IF('VERI_A'!$A283="","",'VERI_A'!$A283)</f>
        <v/>
      </c>
      <c r="C283" s="16">
        <f>IF($B283="","",IF(OR('VERI_A'!$B283="",'VERI_A'!$B283=0),"TARIH_BOS",IF(LEN(TRIM('VERI_A'!$C283&amp;""))&lt;&gt;dbe_vknUzunluk,"VKN_UZUNLUK",IF('VERI_A'!$G283&lt;0,"TUTAR_NEGATIF",IF('VERI_A'!$I283="","DONEM_EKSIK",""))))</f>
        <v/>
      </c>
      <c r="D283" s="16">
        <f>IF($C283="","",IF($C283="TARIH_BOS","Belge tarihi zorunlu",IF($C283="VKN_UZUNLUK","VKN 10 hane olmalı",IF($C283="TUTAR_NEGATIF","Toplam negatif olamaz",IF($C283="DONEM_EKSIK","Dönem zorunlu","Elle incele"))))</f>
        <v/>
      </c>
      <c r="E283" s="16">
        <f>IF($C283="","",IF(OR($C283="TUTAR_NEGATIF",$C283="TARIH_BOS"),"YUKSEK","ORTA"))</f>
        <v/>
      </c>
      <c r="F283" s="16">
        <f>IF($C283="","",IF(OR($C283="TARIH_BOS",$C283="VKN_UZUNLUK",$C283="TUTAR_NEGATIF",$C283="DONEM_EKSIK"),$C283,"TANIMSIZ"))</f>
        <v/>
      </c>
      <c r="G283" s="16">
        <f>IF($C283="","",1)</f>
        <v/>
      </c>
    </row>
    <row r="284">
      <c r="A284" s="16">
        <f>IF('VERI_A'!$A284="","",ROW()-ROW(tblVeriA[[#Headers]]))</f>
        <v/>
      </c>
      <c r="B284" s="23">
        <f>IF('VERI_A'!$A284="","",'VERI_A'!$A284)</f>
        <v/>
      </c>
      <c r="C284" s="16">
        <f>IF($B284="","",IF(OR('VERI_A'!$B284="",'VERI_A'!$B284=0),"TARIH_BOS",IF(LEN(TRIM('VERI_A'!$C284&amp;""))&lt;&gt;dbe_vknUzunluk,"VKN_UZUNLUK",IF('VERI_A'!$G284&lt;0,"TUTAR_NEGATIF",IF('VERI_A'!$I284="","DONEM_EKSIK",""))))</f>
        <v/>
      </c>
      <c r="D284" s="16">
        <f>IF($C284="","",IF($C284="TARIH_BOS","Belge tarihi zorunlu",IF($C284="VKN_UZUNLUK","VKN 10 hane olmalı",IF($C284="TUTAR_NEGATIF","Toplam negatif olamaz",IF($C284="DONEM_EKSIK","Dönem zorunlu","Elle incele"))))</f>
        <v/>
      </c>
      <c r="E284" s="16">
        <f>IF($C284="","",IF(OR($C284="TUTAR_NEGATIF",$C284="TARIH_BOS"),"YUKSEK","ORTA"))</f>
        <v/>
      </c>
      <c r="F284" s="16">
        <f>IF($C284="","",IF(OR($C284="TARIH_BOS",$C284="VKN_UZUNLUK",$C284="TUTAR_NEGATIF",$C284="DONEM_EKSIK"),$C284,"TANIMSIZ"))</f>
        <v/>
      </c>
      <c r="G284" s="16">
        <f>IF($C284="","",1)</f>
        <v/>
      </c>
    </row>
    <row r="285">
      <c r="A285" s="16">
        <f>IF('VERI_A'!$A285="","",ROW()-ROW(tblVeriA[[#Headers]]))</f>
        <v/>
      </c>
      <c r="B285" s="23">
        <f>IF('VERI_A'!$A285="","",'VERI_A'!$A285)</f>
        <v/>
      </c>
      <c r="C285" s="16">
        <f>IF($B285="","",IF(OR('VERI_A'!$B285="",'VERI_A'!$B285=0),"TARIH_BOS",IF(LEN(TRIM('VERI_A'!$C285&amp;""))&lt;&gt;dbe_vknUzunluk,"VKN_UZUNLUK",IF('VERI_A'!$G285&lt;0,"TUTAR_NEGATIF",IF('VERI_A'!$I285="","DONEM_EKSIK",""))))</f>
        <v/>
      </c>
      <c r="D285" s="16">
        <f>IF($C285="","",IF($C285="TARIH_BOS","Belge tarihi zorunlu",IF($C285="VKN_UZUNLUK","VKN 10 hane olmalı",IF($C285="TUTAR_NEGATIF","Toplam negatif olamaz",IF($C285="DONEM_EKSIK","Dönem zorunlu","Elle incele"))))</f>
        <v/>
      </c>
      <c r="E285" s="16">
        <f>IF($C285="","",IF(OR($C285="TUTAR_NEGATIF",$C285="TARIH_BOS"),"YUKSEK","ORTA"))</f>
        <v/>
      </c>
      <c r="F285" s="16">
        <f>IF($C285="","",IF(OR($C285="TARIH_BOS",$C285="VKN_UZUNLUK",$C285="TUTAR_NEGATIF",$C285="DONEM_EKSIK"),$C285,"TANIMSIZ"))</f>
        <v/>
      </c>
      <c r="G285" s="16">
        <f>IF($C285="","",1)</f>
        <v/>
      </c>
    </row>
    <row r="286">
      <c r="A286" s="16">
        <f>IF('VERI_A'!$A286="","",ROW()-ROW(tblVeriA[[#Headers]]))</f>
        <v/>
      </c>
      <c r="B286" s="23">
        <f>IF('VERI_A'!$A286="","",'VERI_A'!$A286)</f>
        <v/>
      </c>
      <c r="C286" s="16">
        <f>IF($B286="","",IF(OR('VERI_A'!$B286="",'VERI_A'!$B286=0),"TARIH_BOS",IF(LEN(TRIM('VERI_A'!$C286&amp;""))&lt;&gt;dbe_vknUzunluk,"VKN_UZUNLUK",IF('VERI_A'!$G286&lt;0,"TUTAR_NEGATIF",IF('VERI_A'!$I286="","DONEM_EKSIK",""))))</f>
        <v/>
      </c>
      <c r="D286" s="16">
        <f>IF($C286="","",IF($C286="TARIH_BOS","Belge tarihi zorunlu",IF($C286="VKN_UZUNLUK","VKN 10 hane olmalı",IF($C286="TUTAR_NEGATIF","Toplam negatif olamaz",IF($C286="DONEM_EKSIK","Dönem zorunlu","Elle incele"))))</f>
        <v/>
      </c>
      <c r="E286" s="16">
        <f>IF($C286="","",IF(OR($C286="TUTAR_NEGATIF",$C286="TARIH_BOS"),"YUKSEK","ORTA"))</f>
        <v/>
      </c>
      <c r="F286" s="16">
        <f>IF($C286="","",IF(OR($C286="TARIH_BOS",$C286="VKN_UZUNLUK",$C286="TUTAR_NEGATIF",$C286="DONEM_EKSIK"),$C286,"TANIMSIZ"))</f>
        <v/>
      </c>
      <c r="G286" s="16">
        <f>IF($C286="","",1)</f>
        <v/>
      </c>
    </row>
    <row r="287">
      <c r="A287" s="16">
        <f>IF('VERI_A'!$A287="","",ROW()-ROW(tblVeriA[[#Headers]]))</f>
        <v/>
      </c>
      <c r="B287" s="23">
        <f>IF('VERI_A'!$A287="","",'VERI_A'!$A287)</f>
        <v/>
      </c>
      <c r="C287" s="16">
        <f>IF($B287="","",IF(OR('VERI_A'!$B287="",'VERI_A'!$B287=0),"TARIH_BOS",IF(LEN(TRIM('VERI_A'!$C287&amp;""))&lt;&gt;dbe_vknUzunluk,"VKN_UZUNLUK",IF('VERI_A'!$G287&lt;0,"TUTAR_NEGATIF",IF('VERI_A'!$I287="","DONEM_EKSIK",""))))</f>
        <v/>
      </c>
      <c r="D287" s="16">
        <f>IF($C287="","",IF($C287="TARIH_BOS","Belge tarihi zorunlu",IF($C287="VKN_UZUNLUK","VKN 10 hane olmalı",IF($C287="TUTAR_NEGATIF","Toplam negatif olamaz",IF($C287="DONEM_EKSIK","Dönem zorunlu","Elle incele"))))</f>
        <v/>
      </c>
      <c r="E287" s="16">
        <f>IF($C287="","",IF(OR($C287="TUTAR_NEGATIF",$C287="TARIH_BOS"),"YUKSEK","ORTA"))</f>
        <v/>
      </c>
      <c r="F287" s="16">
        <f>IF($C287="","",IF(OR($C287="TARIH_BOS",$C287="VKN_UZUNLUK",$C287="TUTAR_NEGATIF",$C287="DONEM_EKSIK"),$C287,"TANIMSIZ"))</f>
        <v/>
      </c>
      <c r="G287" s="16">
        <f>IF($C287="","",1)</f>
        <v/>
      </c>
    </row>
    <row r="288">
      <c r="A288" s="16">
        <f>IF('VERI_A'!$A288="","",ROW()-ROW(tblVeriA[[#Headers]]))</f>
        <v/>
      </c>
      <c r="B288" s="23">
        <f>IF('VERI_A'!$A288="","",'VERI_A'!$A288)</f>
        <v/>
      </c>
      <c r="C288" s="16">
        <f>IF($B288="","",IF(OR('VERI_A'!$B288="",'VERI_A'!$B288=0),"TARIH_BOS",IF(LEN(TRIM('VERI_A'!$C288&amp;""))&lt;&gt;dbe_vknUzunluk,"VKN_UZUNLUK",IF('VERI_A'!$G288&lt;0,"TUTAR_NEGATIF",IF('VERI_A'!$I288="","DONEM_EKSIK",""))))</f>
        <v/>
      </c>
      <c r="D288" s="16">
        <f>IF($C288="","",IF($C288="TARIH_BOS","Belge tarihi zorunlu",IF($C288="VKN_UZUNLUK","VKN 10 hane olmalı",IF($C288="TUTAR_NEGATIF","Toplam negatif olamaz",IF($C288="DONEM_EKSIK","Dönem zorunlu","Elle incele"))))</f>
        <v/>
      </c>
      <c r="E288" s="16">
        <f>IF($C288="","",IF(OR($C288="TUTAR_NEGATIF",$C288="TARIH_BOS"),"YUKSEK","ORTA"))</f>
        <v/>
      </c>
      <c r="F288" s="16">
        <f>IF($C288="","",IF(OR($C288="TARIH_BOS",$C288="VKN_UZUNLUK",$C288="TUTAR_NEGATIF",$C288="DONEM_EKSIK"),$C288,"TANIMSIZ"))</f>
        <v/>
      </c>
      <c r="G288" s="16">
        <f>IF($C288="","",1)</f>
        <v/>
      </c>
    </row>
    <row r="289">
      <c r="A289" s="16">
        <f>IF('VERI_A'!$A289="","",ROW()-ROW(tblVeriA[[#Headers]]))</f>
        <v/>
      </c>
      <c r="B289" s="23">
        <f>IF('VERI_A'!$A289="","",'VERI_A'!$A289)</f>
        <v/>
      </c>
      <c r="C289" s="16">
        <f>IF($B289="","",IF(OR('VERI_A'!$B289="",'VERI_A'!$B289=0),"TARIH_BOS",IF(LEN(TRIM('VERI_A'!$C289&amp;""))&lt;&gt;dbe_vknUzunluk,"VKN_UZUNLUK",IF('VERI_A'!$G289&lt;0,"TUTAR_NEGATIF",IF('VERI_A'!$I289="","DONEM_EKSIK",""))))</f>
        <v/>
      </c>
      <c r="D289" s="16">
        <f>IF($C289="","",IF($C289="TARIH_BOS","Belge tarihi zorunlu",IF($C289="VKN_UZUNLUK","VKN 10 hane olmalı",IF($C289="TUTAR_NEGATIF","Toplam negatif olamaz",IF($C289="DONEM_EKSIK","Dönem zorunlu","Elle incele"))))</f>
        <v/>
      </c>
      <c r="E289" s="16">
        <f>IF($C289="","",IF(OR($C289="TUTAR_NEGATIF",$C289="TARIH_BOS"),"YUKSEK","ORTA"))</f>
        <v/>
      </c>
      <c r="F289" s="16">
        <f>IF($C289="","",IF(OR($C289="TARIH_BOS",$C289="VKN_UZUNLUK",$C289="TUTAR_NEGATIF",$C289="DONEM_EKSIK"),$C289,"TANIMSIZ"))</f>
        <v/>
      </c>
      <c r="G289" s="16">
        <f>IF($C289="","",1)</f>
        <v/>
      </c>
    </row>
    <row r="290">
      <c r="A290" s="16">
        <f>IF('VERI_A'!$A290="","",ROW()-ROW(tblVeriA[[#Headers]]))</f>
        <v/>
      </c>
      <c r="B290" s="23">
        <f>IF('VERI_A'!$A290="","",'VERI_A'!$A290)</f>
        <v/>
      </c>
      <c r="C290" s="16">
        <f>IF($B290="","",IF(OR('VERI_A'!$B290="",'VERI_A'!$B290=0),"TARIH_BOS",IF(LEN(TRIM('VERI_A'!$C290&amp;""))&lt;&gt;dbe_vknUzunluk,"VKN_UZUNLUK",IF('VERI_A'!$G290&lt;0,"TUTAR_NEGATIF",IF('VERI_A'!$I290="","DONEM_EKSIK",""))))</f>
        <v/>
      </c>
      <c r="D290" s="16">
        <f>IF($C290="","",IF($C290="TARIH_BOS","Belge tarihi zorunlu",IF($C290="VKN_UZUNLUK","VKN 10 hane olmalı",IF($C290="TUTAR_NEGATIF","Toplam negatif olamaz",IF($C290="DONEM_EKSIK","Dönem zorunlu","Elle incele"))))</f>
        <v/>
      </c>
      <c r="E290" s="16">
        <f>IF($C290="","",IF(OR($C290="TUTAR_NEGATIF",$C290="TARIH_BOS"),"YUKSEK","ORTA"))</f>
        <v/>
      </c>
      <c r="F290" s="16">
        <f>IF($C290="","",IF(OR($C290="TARIH_BOS",$C290="VKN_UZUNLUK",$C290="TUTAR_NEGATIF",$C290="DONEM_EKSIK"),$C290,"TANIMSIZ"))</f>
        <v/>
      </c>
      <c r="G290" s="16">
        <f>IF($C290="","",1)</f>
        <v/>
      </c>
    </row>
    <row r="291">
      <c r="A291" s="16">
        <f>IF('VERI_A'!$A291="","",ROW()-ROW(tblVeriA[[#Headers]]))</f>
        <v/>
      </c>
      <c r="B291" s="23">
        <f>IF('VERI_A'!$A291="","",'VERI_A'!$A291)</f>
        <v/>
      </c>
      <c r="C291" s="16">
        <f>IF($B291="","",IF(OR('VERI_A'!$B291="",'VERI_A'!$B291=0),"TARIH_BOS",IF(LEN(TRIM('VERI_A'!$C291&amp;""))&lt;&gt;dbe_vknUzunluk,"VKN_UZUNLUK",IF('VERI_A'!$G291&lt;0,"TUTAR_NEGATIF",IF('VERI_A'!$I291="","DONEM_EKSIK",""))))</f>
        <v/>
      </c>
      <c r="D291" s="16">
        <f>IF($C291="","",IF($C291="TARIH_BOS","Belge tarihi zorunlu",IF($C291="VKN_UZUNLUK","VKN 10 hane olmalı",IF($C291="TUTAR_NEGATIF","Toplam negatif olamaz",IF($C291="DONEM_EKSIK","Dönem zorunlu","Elle incele"))))</f>
        <v/>
      </c>
      <c r="E291" s="16">
        <f>IF($C291="","",IF(OR($C291="TUTAR_NEGATIF",$C291="TARIH_BOS"),"YUKSEK","ORTA"))</f>
        <v/>
      </c>
      <c r="F291" s="16">
        <f>IF($C291="","",IF(OR($C291="TARIH_BOS",$C291="VKN_UZUNLUK",$C291="TUTAR_NEGATIF",$C291="DONEM_EKSIK"),$C291,"TANIMSIZ"))</f>
        <v/>
      </c>
      <c r="G291" s="16">
        <f>IF($C291="","",1)</f>
        <v/>
      </c>
    </row>
    <row r="292">
      <c r="A292" s="16">
        <f>IF('VERI_A'!$A292="","",ROW()-ROW(tblVeriA[[#Headers]]))</f>
        <v/>
      </c>
      <c r="B292" s="23">
        <f>IF('VERI_A'!$A292="","",'VERI_A'!$A292)</f>
        <v/>
      </c>
      <c r="C292" s="16">
        <f>IF($B292="","",IF(OR('VERI_A'!$B292="",'VERI_A'!$B292=0),"TARIH_BOS",IF(LEN(TRIM('VERI_A'!$C292&amp;""))&lt;&gt;dbe_vknUzunluk,"VKN_UZUNLUK",IF('VERI_A'!$G292&lt;0,"TUTAR_NEGATIF",IF('VERI_A'!$I292="","DONEM_EKSIK",""))))</f>
        <v/>
      </c>
      <c r="D292" s="16">
        <f>IF($C292="","",IF($C292="TARIH_BOS","Belge tarihi zorunlu",IF($C292="VKN_UZUNLUK","VKN 10 hane olmalı",IF($C292="TUTAR_NEGATIF","Toplam negatif olamaz",IF($C292="DONEM_EKSIK","Dönem zorunlu","Elle incele"))))</f>
        <v/>
      </c>
      <c r="E292" s="16">
        <f>IF($C292="","",IF(OR($C292="TUTAR_NEGATIF",$C292="TARIH_BOS"),"YUKSEK","ORTA"))</f>
        <v/>
      </c>
      <c r="F292" s="16">
        <f>IF($C292="","",IF(OR($C292="TARIH_BOS",$C292="VKN_UZUNLUK",$C292="TUTAR_NEGATIF",$C292="DONEM_EKSIK"),$C292,"TANIMSIZ"))</f>
        <v/>
      </c>
      <c r="G292" s="16">
        <f>IF($C292="","",1)</f>
        <v/>
      </c>
    </row>
    <row r="293">
      <c r="A293" s="16">
        <f>IF('VERI_A'!$A293="","",ROW()-ROW(tblVeriA[[#Headers]]))</f>
        <v/>
      </c>
      <c r="B293" s="23">
        <f>IF('VERI_A'!$A293="","",'VERI_A'!$A293)</f>
        <v/>
      </c>
      <c r="C293" s="16">
        <f>IF($B293="","",IF(OR('VERI_A'!$B293="",'VERI_A'!$B293=0),"TARIH_BOS",IF(LEN(TRIM('VERI_A'!$C293&amp;""))&lt;&gt;dbe_vknUzunluk,"VKN_UZUNLUK",IF('VERI_A'!$G293&lt;0,"TUTAR_NEGATIF",IF('VERI_A'!$I293="","DONEM_EKSIK",""))))</f>
        <v/>
      </c>
      <c r="D293" s="16">
        <f>IF($C293="","",IF($C293="TARIH_BOS","Belge tarihi zorunlu",IF($C293="VKN_UZUNLUK","VKN 10 hane olmalı",IF($C293="TUTAR_NEGATIF","Toplam negatif olamaz",IF($C293="DONEM_EKSIK","Dönem zorunlu","Elle incele"))))</f>
        <v/>
      </c>
      <c r="E293" s="16">
        <f>IF($C293="","",IF(OR($C293="TUTAR_NEGATIF",$C293="TARIH_BOS"),"YUKSEK","ORTA"))</f>
        <v/>
      </c>
      <c r="F293" s="16">
        <f>IF($C293="","",IF(OR($C293="TARIH_BOS",$C293="VKN_UZUNLUK",$C293="TUTAR_NEGATIF",$C293="DONEM_EKSIK"),$C293,"TANIMSIZ"))</f>
        <v/>
      </c>
      <c r="G293" s="16">
        <f>IF($C293="","",1)</f>
        <v/>
      </c>
    </row>
    <row r="294">
      <c r="A294" s="16">
        <f>IF('VERI_A'!$A294="","",ROW()-ROW(tblVeriA[[#Headers]]))</f>
        <v/>
      </c>
      <c r="B294" s="23">
        <f>IF('VERI_A'!$A294="","",'VERI_A'!$A294)</f>
        <v/>
      </c>
      <c r="C294" s="16">
        <f>IF($B294="","",IF(OR('VERI_A'!$B294="",'VERI_A'!$B294=0),"TARIH_BOS",IF(LEN(TRIM('VERI_A'!$C294&amp;""))&lt;&gt;dbe_vknUzunluk,"VKN_UZUNLUK",IF('VERI_A'!$G294&lt;0,"TUTAR_NEGATIF",IF('VERI_A'!$I294="","DONEM_EKSIK",""))))</f>
        <v/>
      </c>
      <c r="D294" s="16">
        <f>IF($C294="","",IF($C294="TARIH_BOS","Belge tarihi zorunlu",IF($C294="VKN_UZUNLUK","VKN 10 hane olmalı",IF($C294="TUTAR_NEGATIF","Toplam negatif olamaz",IF($C294="DONEM_EKSIK","Dönem zorunlu","Elle incele"))))</f>
        <v/>
      </c>
      <c r="E294" s="16">
        <f>IF($C294="","",IF(OR($C294="TUTAR_NEGATIF",$C294="TARIH_BOS"),"YUKSEK","ORTA"))</f>
        <v/>
      </c>
      <c r="F294" s="16">
        <f>IF($C294="","",IF(OR($C294="TARIH_BOS",$C294="VKN_UZUNLUK",$C294="TUTAR_NEGATIF",$C294="DONEM_EKSIK"),$C294,"TANIMSIZ"))</f>
        <v/>
      </c>
      <c r="G294" s="16">
        <f>IF($C294="","",1)</f>
        <v/>
      </c>
    </row>
    <row r="295">
      <c r="A295" s="16">
        <f>IF('VERI_A'!$A295="","",ROW()-ROW(tblVeriA[[#Headers]]))</f>
        <v/>
      </c>
      <c r="B295" s="23">
        <f>IF('VERI_A'!$A295="","",'VERI_A'!$A295)</f>
        <v/>
      </c>
      <c r="C295" s="16">
        <f>IF($B295="","",IF(OR('VERI_A'!$B295="",'VERI_A'!$B295=0),"TARIH_BOS",IF(LEN(TRIM('VERI_A'!$C295&amp;""))&lt;&gt;dbe_vknUzunluk,"VKN_UZUNLUK",IF('VERI_A'!$G295&lt;0,"TUTAR_NEGATIF",IF('VERI_A'!$I295="","DONEM_EKSIK",""))))</f>
        <v/>
      </c>
      <c r="D295" s="16">
        <f>IF($C295="","",IF($C295="TARIH_BOS","Belge tarihi zorunlu",IF($C295="VKN_UZUNLUK","VKN 10 hane olmalı",IF($C295="TUTAR_NEGATIF","Toplam negatif olamaz",IF($C295="DONEM_EKSIK","Dönem zorunlu","Elle incele"))))</f>
        <v/>
      </c>
      <c r="E295" s="16">
        <f>IF($C295="","",IF(OR($C295="TUTAR_NEGATIF",$C295="TARIH_BOS"),"YUKSEK","ORTA"))</f>
        <v/>
      </c>
      <c r="F295" s="16">
        <f>IF($C295="","",IF(OR($C295="TARIH_BOS",$C295="VKN_UZUNLUK",$C295="TUTAR_NEGATIF",$C295="DONEM_EKSIK"),$C295,"TANIMSIZ"))</f>
        <v/>
      </c>
      <c r="G295" s="16">
        <f>IF($C295="","",1)</f>
        <v/>
      </c>
    </row>
    <row r="296">
      <c r="A296" s="16">
        <f>IF('VERI_A'!$A296="","",ROW()-ROW(tblVeriA[[#Headers]]))</f>
        <v/>
      </c>
      <c r="B296" s="23">
        <f>IF('VERI_A'!$A296="","",'VERI_A'!$A296)</f>
        <v/>
      </c>
      <c r="C296" s="16">
        <f>IF($B296="","",IF(OR('VERI_A'!$B296="",'VERI_A'!$B296=0),"TARIH_BOS",IF(LEN(TRIM('VERI_A'!$C296&amp;""))&lt;&gt;dbe_vknUzunluk,"VKN_UZUNLUK",IF('VERI_A'!$G296&lt;0,"TUTAR_NEGATIF",IF('VERI_A'!$I296="","DONEM_EKSIK",""))))</f>
        <v/>
      </c>
      <c r="D296" s="16">
        <f>IF($C296="","",IF($C296="TARIH_BOS","Belge tarihi zorunlu",IF($C296="VKN_UZUNLUK","VKN 10 hane olmalı",IF($C296="TUTAR_NEGATIF","Toplam negatif olamaz",IF($C296="DONEM_EKSIK","Dönem zorunlu","Elle incele"))))</f>
        <v/>
      </c>
      <c r="E296" s="16">
        <f>IF($C296="","",IF(OR($C296="TUTAR_NEGATIF",$C296="TARIH_BOS"),"YUKSEK","ORTA"))</f>
        <v/>
      </c>
      <c r="F296" s="16">
        <f>IF($C296="","",IF(OR($C296="TARIH_BOS",$C296="VKN_UZUNLUK",$C296="TUTAR_NEGATIF",$C296="DONEM_EKSIK"),$C296,"TANIMSIZ"))</f>
        <v/>
      </c>
      <c r="G296" s="16">
        <f>IF($C296="","",1)</f>
        <v/>
      </c>
    </row>
    <row r="297">
      <c r="A297" s="16">
        <f>IF('VERI_A'!$A297="","",ROW()-ROW(tblVeriA[[#Headers]]))</f>
        <v/>
      </c>
      <c r="B297" s="23">
        <f>IF('VERI_A'!$A297="","",'VERI_A'!$A297)</f>
        <v/>
      </c>
      <c r="C297" s="16">
        <f>IF($B297="","",IF(OR('VERI_A'!$B297="",'VERI_A'!$B297=0),"TARIH_BOS",IF(LEN(TRIM('VERI_A'!$C297&amp;""))&lt;&gt;dbe_vknUzunluk,"VKN_UZUNLUK",IF('VERI_A'!$G297&lt;0,"TUTAR_NEGATIF",IF('VERI_A'!$I297="","DONEM_EKSIK",""))))</f>
        <v/>
      </c>
      <c r="D297" s="16">
        <f>IF($C297="","",IF($C297="TARIH_BOS","Belge tarihi zorunlu",IF($C297="VKN_UZUNLUK","VKN 10 hane olmalı",IF($C297="TUTAR_NEGATIF","Toplam negatif olamaz",IF($C297="DONEM_EKSIK","Dönem zorunlu","Elle incele"))))</f>
        <v/>
      </c>
      <c r="E297" s="16">
        <f>IF($C297="","",IF(OR($C297="TUTAR_NEGATIF",$C297="TARIH_BOS"),"YUKSEK","ORTA"))</f>
        <v/>
      </c>
      <c r="F297" s="16">
        <f>IF($C297="","",IF(OR($C297="TARIH_BOS",$C297="VKN_UZUNLUK",$C297="TUTAR_NEGATIF",$C297="DONEM_EKSIK"),$C297,"TANIMSIZ"))</f>
        <v/>
      </c>
      <c r="G297" s="16">
        <f>IF($C297="","",1)</f>
        <v/>
      </c>
    </row>
    <row r="298">
      <c r="A298" s="16">
        <f>IF('VERI_A'!$A298="","",ROW()-ROW(tblVeriA[[#Headers]]))</f>
        <v/>
      </c>
      <c r="B298" s="23">
        <f>IF('VERI_A'!$A298="","",'VERI_A'!$A298)</f>
        <v/>
      </c>
      <c r="C298" s="16">
        <f>IF($B298="","",IF(OR('VERI_A'!$B298="",'VERI_A'!$B298=0),"TARIH_BOS",IF(LEN(TRIM('VERI_A'!$C298&amp;""))&lt;&gt;dbe_vknUzunluk,"VKN_UZUNLUK",IF('VERI_A'!$G298&lt;0,"TUTAR_NEGATIF",IF('VERI_A'!$I298="","DONEM_EKSIK",""))))</f>
        <v/>
      </c>
      <c r="D298" s="16">
        <f>IF($C298="","",IF($C298="TARIH_BOS","Belge tarihi zorunlu",IF($C298="VKN_UZUNLUK","VKN 10 hane olmalı",IF($C298="TUTAR_NEGATIF","Toplam negatif olamaz",IF($C298="DONEM_EKSIK","Dönem zorunlu","Elle incele"))))</f>
        <v/>
      </c>
      <c r="E298" s="16">
        <f>IF($C298="","",IF(OR($C298="TUTAR_NEGATIF",$C298="TARIH_BOS"),"YUKSEK","ORTA"))</f>
        <v/>
      </c>
      <c r="F298" s="16">
        <f>IF($C298="","",IF(OR($C298="TARIH_BOS",$C298="VKN_UZUNLUK",$C298="TUTAR_NEGATIF",$C298="DONEM_EKSIK"),$C298,"TANIMSIZ"))</f>
        <v/>
      </c>
      <c r="G298" s="16">
        <f>IF($C298="","",1)</f>
        <v/>
      </c>
    </row>
    <row r="299">
      <c r="A299" s="16">
        <f>IF('VERI_A'!$A299="","",ROW()-ROW(tblVeriA[[#Headers]]))</f>
        <v/>
      </c>
      <c r="B299" s="23">
        <f>IF('VERI_A'!$A299="","",'VERI_A'!$A299)</f>
        <v/>
      </c>
      <c r="C299" s="16">
        <f>IF($B299="","",IF(OR('VERI_A'!$B299="",'VERI_A'!$B299=0),"TARIH_BOS",IF(LEN(TRIM('VERI_A'!$C299&amp;""))&lt;&gt;dbe_vknUzunluk,"VKN_UZUNLUK",IF('VERI_A'!$G299&lt;0,"TUTAR_NEGATIF",IF('VERI_A'!$I299="","DONEM_EKSIK",""))))</f>
        <v/>
      </c>
      <c r="D299" s="16">
        <f>IF($C299="","",IF($C299="TARIH_BOS","Belge tarihi zorunlu",IF($C299="VKN_UZUNLUK","VKN 10 hane olmalı",IF($C299="TUTAR_NEGATIF","Toplam negatif olamaz",IF($C299="DONEM_EKSIK","Dönem zorunlu","Elle incele"))))</f>
        <v/>
      </c>
      <c r="E299" s="16">
        <f>IF($C299="","",IF(OR($C299="TUTAR_NEGATIF",$C299="TARIH_BOS"),"YUKSEK","ORTA"))</f>
        <v/>
      </c>
      <c r="F299" s="16">
        <f>IF($C299="","",IF(OR($C299="TARIH_BOS",$C299="VKN_UZUNLUK",$C299="TUTAR_NEGATIF",$C299="DONEM_EKSIK"),$C299,"TANIMSIZ"))</f>
        <v/>
      </c>
      <c r="G299" s="16">
        <f>IF($C299="","",1)</f>
        <v/>
      </c>
    </row>
    <row r="300">
      <c r="A300" s="16">
        <f>IF('VERI_A'!$A300="","",ROW()-ROW(tblVeriA[[#Headers]]))</f>
        <v/>
      </c>
      <c r="B300" s="23">
        <f>IF('VERI_A'!$A300="","",'VERI_A'!$A300)</f>
        <v/>
      </c>
      <c r="C300" s="16">
        <f>IF($B300="","",IF(OR('VERI_A'!$B300="",'VERI_A'!$B300=0),"TARIH_BOS",IF(LEN(TRIM('VERI_A'!$C300&amp;""))&lt;&gt;dbe_vknUzunluk,"VKN_UZUNLUK",IF('VERI_A'!$G300&lt;0,"TUTAR_NEGATIF",IF('VERI_A'!$I300="","DONEM_EKSIK",""))))</f>
        <v/>
      </c>
      <c r="D300" s="16">
        <f>IF($C300="","",IF($C300="TARIH_BOS","Belge tarihi zorunlu",IF($C300="VKN_UZUNLUK","VKN 10 hane olmalı",IF($C300="TUTAR_NEGATIF","Toplam negatif olamaz",IF($C300="DONEM_EKSIK","Dönem zorunlu","Elle incele"))))</f>
        <v/>
      </c>
      <c r="E300" s="16">
        <f>IF($C300="","",IF(OR($C300="TUTAR_NEGATIF",$C300="TARIH_BOS"),"YUKSEK","ORTA"))</f>
        <v/>
      </c>
      <c r="F300" s="16">
        <f>IF($C300="","",IF(OR($C300="TARIH_BOS",$C300="VKN_UZUNLUK",$C300="TUTAR_NEGATIF",$C300="DONEM_EKSIK"),$C300,"TANIMSIZ"))</f>
        <v/>
      </c>
      <c r="G300" s="16">
        <f>IF($C300="","",1)</f>
        <v/>
      </c>
    </row>
    <row r="301">
      <c r="A301" s="16">
        <f>IF('VERI_A'!$A301="","",ROW()-ROW(tblVeriA[[#Headers]]))</f>
        <v/>
      </c>
      <c r="B301" s="23">
        <f>IF('VERI_A'!$A301="","",'VERI_A'!$A301)</f>
        <v/>
      </c>
      <c r="C301" s="16">
        <f>IF($B301="","",IF(OR('VERI_A'!$B301="",'VERI_A'!$B301=0),"TARIH_BOS",IF(LEN(TRIM('VERI_A'!$C301&amp;""))&lt;&gt;dbe_vknUzunluk,"VKN_UZUNLUK",IF('VERI_A'!$G301&lt;0,"TUTAR_NEGATIF",IF('VERI_A'!$I301="","DONEM_EKSIK",""))))</f>
        <v/>
      </c>
      <c r="D301" s="16">
        <f>IF($C301="","",IF($C301="TARIH_BOS","Belge tarihi zorunlu",IF($C301="VKN_UZUNLUK","VKN 10 hane olmalı",IF($C301="TUTAR_NEGATIF","Toplam negatif olamaz",IF($C301="DONEM_EKSIK","Dönem zorunlu","Elle incele"))))</f>
        <v/>
      </c>
      <c r="E301" s="16">
        <f>IF($C301="","",IF(OR($C301="TUTAR_NEGATIF",$C301="TARIH_BOS"),"YUKSEK","ORTA"))</f>
        <v/>
      </c>
      <c r="F301" s="16">
        <f>IF($C301="","",IF(OR($C301="TARIH_BOS",$C301="VKN_UZUNLUK",$C301="TUTAR_NEGATIF",$C301="DONEM_EKSIK"),$C301,"TANIMSIZ"))</f>
        <v/>
      </c>
      <c r="G301" s="16">
        <f>IF($C301="","",1)</f>
        <v/>
      </c>
    </row>
    <row r="302">
      <c r="A302" s="16">
        <f>IF('VERI_A'!$A302="","",ROW()-ROW(tblVeriA[[#Headers]]))</f>
        <v/>
      </c>
      <c r="B302" s="23">
        <f>IF('VERI_A'!$A302="","",'VERI_A'!$A302)</f>
        <v/>
      </c>
      <c r="C302" s="16">
        <f>IF($B302="","",IF(OR('VERI_A'!$B302="",'VERI_A'!$B302=0),"TARIH_BOS",IF(LEN(TRIM('VERI_A'!$C302&amp;""))&lt;&gt;dbe_vknUzunluk,"VKN_UZUNLUK",IF('VERI_A'!$G302&lt;0,"TUTAR_NEGATIF",IF('VERI_A'!$I302="","DONEM_EKSIK",""))))</f>
        <v/>
      </c>
      <c r="D302" s="16">
        <f>IF($C302="","",IF($C302="TARIH_BOS","Belge tarihi zorunlu",IF($C302="VKN_UZUNLUK","VKN 10 hane olmalı",IF($C302="TUTAR_NEGATIF","Toplam negatif olamaz",IF($C302="DONEM_EKSIK","Dönem zorunlu","Elle incele"))))</f>
        <v/>
      </c>
      <c r="E302" s="16">
        <f>IF($C302="","",IF(OR($C302="TUTAR_NEGATIF",$C302="TARIH_BOS"),"YUKSEK","ORTA"))</f>
        <v/>
      </c>
      <c r="F302" s="16">
        <f>IF($C302="","",IF(OR($C302="TARIH_BOS",$C302="VKN_UZUNLUK",$C302="TUTAR_NEGATIF",$C302="DONEM_EKSIK"),$C302,"TANIMSIZ"))</f>
        <v/>
      </c>
      <c r="G302" s="16">
        <f>IF($C302="","",1)</f>
        <v/>
      </c>
    </row>
    <row r="303">
      <c r="A303" s="16">
        <f>IF('VERI_A'!$A303="","",ROW()-ROW(tblVeriA[[#Headers]]))</f>
        <v/>
      </c>
      <c r="B303" s="23">
        <f>IF('VERI_A'!$A303="","",'VERI_A'!$A303)</f>
        <v/>
      </c>
      <c r="C303" s="16">
        <f>IF($B303="","",IF(OR('VERI_A'!$B303="",'VERI_A'!$B303=0),"TARIH_BOS",IF(LEN(TRIM('VERI_A'!$C303&amp;""))&lt;&gt;dbe_vknUzunluk,"VKN_UZUNLUK",IF('VERI_A'!$G303&lt;0,"TUTAR_NEGATIF",IF('VERI_A'!$I303="","DONEM_EKSIK",""))))</f>
        <v/>
      </c>
      <c r="D303" s="16">
        <f>IF($C303="","",IF($C303="TARIH_BOS","Belge tarihi zorunlu",IF($C303="VKN_UZUNLUK","VKN 10 hane olmalı",IF($C303="TUTAR_NEGATIF","Toplam negatif olamaz",IF($C303="DONEM_EKSIK","Dönem zorunlu","Elle incele"))))</f>
        <v/>
      </c>
      <c r="E303" s="16">
        <f>IF($C303="","",IF(OR($C303="TUTAR_NEGATIF",$C303="TARIH_BOS"),"YUKSEK","ORTA"))</f>
        <v/>
      </c>
      <c r="F303" s="16">
        <f>IF($C303="","",IF(OR($C303="TARIH_BOS",$C303="VKN_UZUNLUK",$C303="TUTAR_NEGATIF",$C303="DONEM_EKSIK"),$C303,"TANIMSIZ"))</f>
        <v/>
      </c>
      <c r="G303" s="16">
        <f>IF($C303="","",1)</f>
        <v/>
      </c>
    </row>
    <row r="304">
      <c r="A304" s="16">
        <f>IF('VERI_A'!$A304="","",ROW()-ROW(tblVeriA[[#Headers]]))</f>
        <v/>
      </c>
      <c r="B304" s="23">
        <f>IF('VERI_A'!$A304="","",'VERI_A'!$A304)</f>
        <v/>
      </c>
      <c r="C304" s="16">
        <f>IF($B304="","",IF(OR('VERI_A'!$B304="",'VERI_A'!$B304=0),"TARIH_BOS",IF(LEN(TRIM('VERI_A'!$C304&amp;""))&lt;&gt;dbe_vknUzunluk,"VKN_UZUNLUK",IF('VERI_A'!$G304&lt;0,"TUTAR_NEGATIF",IF('VERI_A'!$I304="","DONEM_EKSIK",""))))</f>
        <v/>
      </c>
      <c r="D304" s="16">
        <f>IF($C304="","",IF($C304="TARIH_BOS","Belge tarihi zorunlu",IF($C304="VKN_UZUNLUK","VKN 10 hane olmalı",IF($C304="TUTAR_NEGATIF","Toplam negatif olamaz",IF($C304="DONEM_EKSIK","Dönem zorunlu","Elle incele"))))</f>
        <v/>
      </c>
      <c r="E304" s="16">
        <f>IF($C304="","",IF(OR($C304="TUTAR_NEGATIF",$C304="TARIH_BOS"),"YUKSEK","ORTA"))</f>
        <v/>
      </c>
      <c r="F304" s="16">
        <f>IF($C304="","",IF(OR($C304="TARIH_BOS",$C304="VKN_UZUNLUK",$C304="TUTAR_NEGATIF",$C304="DONEM_EKSIK"),$C304,"TANIMSIZ"))</f>
        <v/>
      </c>
      <c r="G304" s="16">
        <f>IF($C304="","",1)</f>
        <v/>
      </c>
    </row>
    <row r="305">
      <c r="A305" s="16">
        <f>IF('VERI_A'!$A305="","",ROW()-ROW(tblVeriA[[#Headers]]))</f>
        <v/>
      </c>
      <c r="B305" s="23">
        <f>IF('VERI_A'!$A305="","",'VERI_A'!$A305)</f>
        <v/>
      </c>
      <c r="C305" s="16">
        <f>IF($B305="","",IF(OR('VERI_A'!$B305="",'VERI_A'!$B305=0),"TARIH_BOS",IF(LEN(TRIM('VERI_A'!$C305&amp;""))&lt;&gt;dbe_vknUzunluk,"VKN_UZUNLUK",IF('VERI_A'!$G305&lt;0,"TUTAR_NEGATIF",IF('VERI_A'!$I305="","DONEM_EKSIK",""))))</f>
        <v/>
      </c>
      <c r="D305" s="16">
        <f>IF($C305="","",IF($C305="TARIH_BOS","Belge tarihi zorunlu",IF($C305="VKN_UZUNLUK","VKN 10 hane olmalı",IF($C305="TUTAR_NEGATIF","Toplam negatif olamaz",IF($C305="DONEM_EKSIK","Dönem zorunlu","Elle incele"))))</f>
        <v/>
      </c>
      <c r="E305" s="16">
        <f>IF($C305="","",IF(OR($C305="TUTAR_NEGATIF",$C305="TARIH_BOS"),"YUKSEK","ORTA"))</f>
        <v/>
      </c>
      <c r="F305" s="16">
        <f>IF($C305="","",IF(OR($C305="TARIH_BOS",$C305="VKN_UZUNLUK",$C305="TUTAR_NEGATIF",$C305="DONEM_EKSIK"),$C305,"TANIMSIZ"))</f>
        <v/>
      </c>
      <c r="G305" s="16">
        <f>IF($C305="","",1)</f>
        <v/>
      </c>
    </row>
    <row r="306">
      <c r="A306" s="16">
        <f>IF('VERI_A'!$A306="","",ROW()-ROW(tblVeriA[[#Headers]]))</f>
        <v/>
      </c>
      <c r="B306" s="23">
        <f>IF('VERI_A'!$A306="","",'VERI_A'!$A306)</f>
        <v/>
      </c>
      <c r="C306" s="16">
        <f>IF($B306="","",IF(OR('VERI_A'!$B306="",'VERI_A'!$B306=0),"TARIH_BOS",IF(LEN(TRIM('VERI_A'!$C306&amp;""))&lt;&gt;dbe_vknUzunluk,"VKN_UZUNLUK",IF('VERI_A'!$G306&lt;0,"TUTAR_NEGATIF",IF('VERI_A'!$I306="","DONEM_EKSIK",""))))</f>
        <v/>
      </c>
      <c r="D306" s="16">
        <f>IF($C306="","",IF($C306="TARIH_BOS","Belge tarihi zorunlu",IF($C306="VKN_UZUNLUK","VKN 10 hane olmalı",IF($C306="TUTAR_NEGATIF","Toplam negatif olamaz",IF($C306="DONEM_EKSIK","Dönem zorunlu","Elle incele"))))</f>
        <v/>
      </c>
      <c r="E306" s="16">
        <f>IF($C306="","",IF(OR($C306="TUTAR_NEGATIF",$C306="TARIH_BOS"),"YUKSEK","ORTA"))</f>
        <v/>
      </c>
      <c r="F306" s="16">
        <f>IF($C306="","",IF(OR($C306="TARIH_BOS",$C306="VKN_UZUNLUK",$C306="TUTAR_NEGATIF",$C306="DONEM_EKSIK"),$C306,"TANIMSIZ"))</f>
        <v/>
      </c>
      <c r="G306" s="16">
        <f>IF($C306="","",1)</f>
        <v/>
      </c>
    </row>
    <row r="307">
      <c r="A307" s="16">
        <f>IF('VERI_A'!$A307="","",ROW()-ROW(tblVeriA[[#Headers]]))</f>
        <v/>
      </c>
      <c r="B307" s="23">
        <f>IF('VERI_A'!$A307="","",'VERI_A'!$A307)</f>
        <v/>
      </c>
      <c r="C307" s="16">
        <f>IF($B307="","",IF(OR('VERI_A'!$B307="",'VERI_A'!$B307=0),"TARIH_BOS",IF(LEN(TRIM('VERI_A'!$C307&amp;""))&lt;&gt;dbe_vknUzunluk,"VKN_UZUNLUK",IF('VERI_A'!$G307&lt;0,"TUTAR_NEGATIF",IF('VERI_A'!$I307="","DONEM_EKSIK",""))))</f>
        <v/>
      </c>
      <c r="D307" s="16">
        <f>IF($C307="","",IF($C307="TARIH_BOS","Belge tarihi zorunlu",IF($C307="VKN_UZUNLUK","VKN 10 hane olmalı",IF($C307="TUTAR_NEGATIF","Toplam negatif olamaz",IF($C307="DONEM_EKSIK","Dönem zorunlu","Elle incele"))))</f>
        <v/>
      </c>
      <c r="E307" s="16">
        <f>IF($C307="","",IF(OR($C307="TUTAR_NEGATIF",$C307="TARIH_BOS"),"YUKSEK","ORTA"))</f>
        <v/>
      </c>
      <c r="F307" s="16">
        <f>IF($C307="","",IF(OR($C307="TARIH_BOS",$C307="VKN_UZUNLUK",$C307="TUTAR_NEGATIF",$C307="DONEM_EKSIK"),$C307,"TANIMSIZ"))</f>
        <v/>
      </c>
      <c r="G307" s="16">
        <f>IF($C307="","",1)</f>
        <v/>
      </c>
    </row>
    <row r="308">
      <c r="A308" s="16">
        <f>IF('VERI_A'!$A308="","",ROW()-ROW(tblVeriA[[#Headers]]))</f>
        <v/>
      </c>
      <c r="B308" s="23">
        <f>IF('VERI_A'!$A308="","",'VERI_A'!$A308)</f>
        <v/>
      </c>
      <c r="C308" s="16">
        <f>IF($B308="","",IF(OR('VERI_A'!$B308="",'VERI_A'!$B308=0),"TARIH_BOS",IF(LEN(TRIM('VERI_A'!$C308&amp;""))&lt;&gt;dbe_vknUzunluk,"VKN_UZUNLUK",IF('VERI_A'!$G308&lt;0,"TUTAR_NEGATIF",IF('VERI_A'!$I308="","DONEM_EKSIK",""))))</f>
        <v/>
      </c>
      <c r="D308" s="16">
        <f>IF($C308="","",IF($C308="TARIH_BOS","Belge tarihi zorunlu",IF($C308="VKN_UZUNLUK","VKN 10 hane olmalı",IF($C308="TUTAR_NEGATIF","Toplam negatif olamaz",IF($C308="DONEM_EKSIK","Dönem zorunlu","Elle incele"))))</f>
        <v/>
      </c>
      <c r="E308" s="16">
        <f>IF($C308="","",IF(OR($C308="TUTAR_NEGATIF",$C308="TARIH_BOS"),"YUKSEK","ORTA"))</f>
        <v/>
      </c>
      <c r="F308" s="16">
        <f>IF($C308="","",IF(OR($C308="TARIH_BOS",$C308="VKN_UZUNLUK",$C308="TUTAR_NEGATIF",$C308="DONEM_EKSIK"),$C308,"TANIMSIZ"))</f>
        <v/>
      </c>
      <c r="G308" s="16">
        <f>IF($C308="","",1)</f>
        <v/>
      </c>
    </row>
    <row r="309">
      <c r="A309" s="16">
        <f>IF('VERI_A'!$A309="","",ROW()-ROW(tblVeriA[[#Headers]]))</f>
        <v/>
      </c>
      <c r="B309" s="23">
        <f>IF('VERI_A'!$A309="","",'VERI_A'!$A309)</f>
        <v/>
      </c>
      <c r="C309" s="16">
        <f>IF($B309="","",IF(OR('VERI_A'!$B309="",'VERI_A'!$B309=0),"TARIH_BOS",IF(LEN(TRIM('VERI_A'!$C309&amp;""))&lt;&gt;dbe_vknUzunluk,"VKN_UZUNLUK",IF('VERI_A'!$G309&lt;0,"TUTAR_NEGATIF",IF('VERI_A'!$I309="","DONEM_EKSIK",""))))</f>
        <v/>
      </c>
      <c r="D309" s="16">
        <f>IF($C309="","",IF($C309="TARIH_BOS","Belge tarihi zorunlu",IF($C309="VKN_UZUNLUK","VKN 10 hane olmalı",IF($C309="TUTAR_NEGATIF","Toplam negatif olamaz",IF($C309="DONEM_EKSIK","Dönem zorunlu","Elle incele"))))</f>
        <v/>
      </c>
      <c r="E309" s="16">
        <f>IF($C309="","",IF(OR($C309="TUTAR_NEGATIF",$C309="TARIH_BOS"),"YUKSEK","ORTA"))</f>
        <v/>
      </c>
      <c r="F309" s="16">
        <f>IF($C309="","",IF(OR($C309="TARIH_BOS",$C309="VKN_UZUNLUK",$C309="TUTAR_NEGATIF",$C309="DONEM_EKSIK"),$C309,"TANIMSIZ"))</f>
        <v/>
      </c>
      <c r="G309" s="16">
        <f>IF($C309="","",1)</f>
        <v/>
      </c>
    </row>
    <row r="310">
      <c r="A310" s="16">
        <f>IF('VERI_A'!$A310="","",ROW()-ROW(tblVeriA[[#Headers]]))</f>
        <v/>
      </c>
      <c r="B310" s="23">
        <f>IF('VERI_A'!$A310="","",'VERI_A'!$A310)</f>
        <v/>
      </c>
      <c r="C310" s="16">
        <f>IF($B310="","",IF(OR('VERI_A'!$B310="",'VERI_A'!$B310=0),"TARIH_BOS",IF(LEN(TRIM('VERI_A'!$C310&amp;""))&lt;&gt;dbe_vknUzunluk,"VKN_UZUNLUK",IF('VERI_A'!$G310&lt;0,"TUTAR_NEGATIF",IF('VERI_A'!$I310="","DONEM_EKSIK",""))))</f>
        <v/>
      </c>
      <c r="D310" s="16">
        <f>IF($C310="","",IF($C310="TARIH_BOS","Belge tarihi zorunlu",IF($C310="VKN_UZUNLUK","VKN 10 hane olmalı",IF($C310="TUTAR_NEGATIF","Toplam negatif olamaz",IF($C310="DONEM_EKSIK","Dönem zorunlu","Elle incele"))))</f>
        <v/>
      </c>
      <c r="E310" s="16">
        <f>IF($C310="","",IF(OR($C310="TUTAR_NEGATIF",$C310="TARIH_BOS"),"YUKSEK","ORTA"))</f>
        <v/>
      </c>
      <c r="F310" s="16">
        <f>IF($C310="","",IF(OR($C310="TARIH_BOS",$C310="VKN_UZUNLUK",$C310="TUTAR_NEGATIF",$C310="DONEM_EKSIK"),$C310,"TANIMSIZ"))</f>
        <v/>
      </c>
      <c r="G310" s="16">
        <f>IF($C310="","",1)</f>
        <v/>
      </c>
    </row>
    <row r="311">
      <c r="A311" s="16">
        <f>IF('VERI_A'!$A311="","",ROW()-ROW(tblVeriA[[#Headers]]))</f>
        <v/>
      </c>
      <c r="B311" s="23">
        <f>IF('VERI_A'!$A311="","",'VERI_A'!$A311)</f>
        <v/>
      </c>
      <c r="C311" s="16">
        <f>IF($B311="","",IF(OR('VERI_A'!$B311="",'VERI_A'!$B311=0),"TARIH_BOS",IF(LEN(TRIM('VERI_A'!$C311&amp;""))&lt;&gt;dbe_vknUzunluk,"VKN_UZUNLUK",IF('VERI_A'!$G311&lt;0,"TUTAR_NEGATIF",IF('VERI_A'!$I311="","DONEM_EKSIK",""))))</f>
        <v/>
      </c>
      <c r="D311" s="16">
        <f>IF($C311="","",IF($C311="TARIH_BOS","Belge tarihi zorunlu",IF($C311="VKN_UZUNLUK","VKN 10 hane olmalı",IF($C311="TUTAR_NEGATIF","Toplam negatif olamaz",IF($C311="DONEM_EKSIK","Dönem zorunlu","Elle incele"))))</f>
        <v/>
      </c>
      <c r="E311" s="16">
        <f>IF($C311="","",IF(OR($C311="TUTAR_NEGATIF",$C311="TARIH_BOS"),"YUKSEK","ORTA"))</f>
        <v/>
      </c>
      <c r="F311" s="16">
        <f>IF($C311="","",IF(OR($C311="TARIH_BOS",$C311="VKN_UZUNLUK",$C311="TUTAR_NEGATIF",$C311="DONEM_EKSIK"),$C311,"TANIMSIZ"))</f>
        <v/>
      </c>
      <c r="G311" s="16">
        <f>IF($C311="","",1)</f>
        <v/>
      </c>
    </row>
    <row r="312">
      <c r="A312" s="16">
        <f>IF('VERI_A'!$A312="","",ROW()-ROW(tblVeriA[[#Headers]]))</f>
        <v/>
      </c>
      <c r="B312" s="23">
        <f>IF('VERI_A'!$A312="","",'VERI_A'!$A312)</f>
        <v/>
      </c>
      <c r="C312" s="16">
        <f>IF($B312="","",IF(OR('VERI_A'!$B312="",'VERI_A'!$B312=0),"TARIH_BOS",IF(LEN(TRIM('VERI_A'!$C312&amp;""))&lt;&gt;dbe_vknUzunluk,"VKN_UZUNLUK",IF('VERI_A'!$G312&lt;0,"TUTAR_NEGATIF",IF('VERI_A'!$I312="","DONEM_EKSIK",""))))</f>
        <v/>
      </c>
      <c r="D312" s="16">
        <f>IF($C312="","",IF($C312="TARIH_BOS","Belge tarihi zorunlu",IF($C312="VKN_UZUNLUK","VKN 10 hane olmalı",IF($C312="TUTAR_NEGATIF","Toplam negatif olamaz",IF($C312="DONEM_EKSIK","Dönem zorunlu","Elle incele"))))</f>
        <v/>
      </c>
      <c r="E312" s="16">
        <f>IF($C312="","",IF(OR($C312="TUTAR_NEGATIF",$C312="TARIH_BOS"),"YUKSEK","ORTA"))</f>
        <v/>
      </c>
      <c r="F312" s="16">
        <f>IF($C312="","",IF(OR($C312="TARIH_BOS",$C312="VKN_UZUNLUK",$C312="TUTAR_NEGATIF",$C312="DONEM_EKSIK"),$C312,"TANIMSIZ"))</f>
        <v/>
      </c>
      <c r="G312" s="16">
        <f>IF($C312="","",1)</f>
        <v/>
      </c>
    </row>
    <row r="313">
      <c r="A313" s="16">
        <f>IF('VERI_A'!$A313="","",ROW()-ROW(tblVeriA[[#Headers]]))</f>
        <v/>
      </c>
      <c r="B313" s="23">
        <f>IF('VERI_A'!$A313="","",'VERI_A'!$A313)</f>
        <v/>
      </c>
      <c r="C313" s="16">
        <f>IF($B313="","",IF(OR('VERI_A'!$B313="",'VERI_A'!$B313=0),"TARIH_BOS",IF(LEN(TRIM('VERI_A'!$C313&amp;""))&lt;&gt;dbe_vknUzunluk,"VKN_UZUNLUK",IF('VERI_A'!$G313&lt;0,"TUTAR_NEGATIF",IF('VERI_A'!$I313="","DONEM_EKSIK",""))))</f>
        <v/>
      </c>
      <c r="D313" s="16">
        <f>IF($C313="","",IF($C313="TARIH_BOS","Belge tarihi zorunlu",IF($C313="VKN_UZUNLUK","VKN 10 hane olmalı",IF($C313="TUTAR_NEGATIF","Toplam negatif olamaz",IF($C313="DONEM_EKSIK","Dönem zorunlu","Elle incele"))))</f>
        <v/>
      </c>
      <c r="E313" s="16">
        <f>IF($C313="","",IF(OR($C313="TUTAR_NEGATIF",$C313="TARIH_BOS"),"YUKSEK","ORTA"))</f>
        <v/>
      </c>
      <c r="F313" s="16">
        <f>IF($C313="","",IF(OR($C313="TARIH_BOS",$C313="VKN_UZUNLUK",$C313="TUTAR_NEGATIF",$C313="DONEM_EKSIK"),$C313,"TANIMSIZ"))</f>
        <v/>
      </c>
      <c r="G313" s="16">
        <f>IF($C313="","",1)</f>
        <v/>
      </c>
    </row>
    <row r="314">
      <c r="A314" s="16">
        <f>IF('VERI_A'!$A314="","",ROW()-ROW(tblVeriA[[#Headers]]))</f>
        <v/>
      </c>
      <c r="B314" s="23">
        <f>IF('VERI_A'!$A314="","",'VERI_A'!$A314)</f>
        <v/>
      </c>
      <c r="C314" s="16">
        <f>IF($B314="","",IF(OR('VERI_A'!$B314="",'VERI_A'!$B314=0),"TARIH_BOS",IF(LEN(TRIM('VERI_A'!$C314&amp;""))&lt;&gt;dbe_vknUzunluk,"VKN_UZUNLUK",IF('VERI_A'!$G314&lt;0,"TUTAR_NEGATIF",IF('VERI_A'!$I314="","DONEM_EKSIK",""))))</f>
        <v/>
      </c>
      <c r="D314" s="16">
        <f>IF($C314="","",IF($C314="TARIH_BOS","Belge tarihi zorunlu",IF($C314="VKN_UZUNLUK","VKN 10 hane olmalı",IF($C314="TUTAR_NEGATIF","Toplam negatif olamaz",IF($C314="DONEM_EKSIK","Dönem zorunlu","Elle incele"))))</f>
        <v/>
      </c>
      <c r="E314" s="16">
        <f>IF($C314="","",IF(OR($C314="TUTAR_NEGATIF",$C314="TARIH_BOS"),"YUKSEK","ORTA"))</f>
        <v/>
      </c>
      <c r="F314" s="16">
        <f>IF($C314="","",IF(OR($C314="TARIH_BOS",$C314="VKN_UZUNLUK",$C314="TUTAR_NEGATIF",$C314="DONEM_EKSIK"),$C314,"TANIMSIZ"))</f>
        <v/>
      </c>
      <c r="G314" s="16">
        <f>IF($C314="","",1)</f>
        <v/>
      </c>
    </row>
    <row r="315">
      <c r="A315" s="16">
        <f>IF('VERI_A'!$A315="","",ROW()-ROW(tblVeriA[[#Headers]]))</f>
        <v/>
      </c>
      <c r="B315" s="23">
        <f>IF('VERI_A'!$A315="","",'VERI_A'!$A315)</f>
        <v/>
      </c>
      <c r="C315" s="16">
        <f>IF($B315="","",IF(OR('VERI_A'!$B315="",'VERI_A'!$B315=0),"TARIH_BOS",IF(LEN(TRIM('VERI_A'!$C315&amp;""))&lt;&gt;dbe_vknUzunluk,"VKN_UZUNLUK",IF('VERI_A'!$G315&lt;0,"TUTAR_NEGATIF",IF('VERI_A'!$I315="","DONEM_EKSIK",""))))</f>
        <v/>
      </c>
      <c r="D315" s="16">
        <f>IF($C315="","",IF($C315="TARIH_BOS","Belge tarihi zorunlu",IF($C315="VKN_UZUNLUK","VKN 10 hane olmalı",IF($C315="TUTAR_NEGATIF","Toplam negatif olamaz",IF($C315="DONEM_EKSIK","Dönem zorunlu","Elle incele"))))</f>
        <v/>
      </c>
      <c r="E315" s="16">
        <f>IF($C315="","",IF(OR($C315="TUTAR_NEGATIF",$C315="TARIH_BOS"),"YUKSEK","ORTA"))</f>
        <v/>
      </c>
      <c r="F315" s="16">
        <f>IF($C315="","",IF(OR($C315="TARIH_BOS",$C315="VKN_UZUNLUK",$C315="TUTAR_NEGATIF",$C315="DONEM_EKSIK"),$C315,"TANIMSIZ"))</f>
        <v/>
      </c>
      <c r="G315" s="16">
        <f>IF($C315="","",1)</f>
        <v/>
      </c>
    </row>
    <row r="316">
      <c r="A316" s="16">
        <f>IF('VERI_A'!$A316="","",ROW()-ROW(tblVeriA[[#Headers]]))</f>
        <v/>
      </c>
      <c r="B316" s="23">
        <f>IF('VERI_A'!$A316="","",'VERI_A'!$A316)</f>
        <v/>
      </c>
      <c r="C316" s="16">
        <f>IF($B316="","",IF(OR('VERI_A'!$B316="",'VERI_A'!$B316=0),"TARIH_BOS",IF(LEN(TRIM('VERI_A'!$C316&amp;""))&lt;&gt;dbe_vknUzunluk,"VKN_UZUNLUK",IF('VERI_A'!$G316&lt;0,"TUTAR_NEGATIF",IF('VERI_A'!$I316="","DONEM_EKSIK",""))))</f>
        <v/>
      </c>
      <c r="D316" s="16">
        <f>IF($C316="","",IF($C316="TARIH_BOS","Belge tarihi zorunlu",IF($C316="VKN_UZUNLUK","VKN 10 hane olmalı",IF($C316="TUTAR_NEGATIF","Toplam negatif olamaz",IF($C316="DONEM_EKSIK","Dönem zorunlu","Elle incele"))))</f>
        <v/>
      </c>
      <c r="E316" s="16">
        <f>IF($C316="","",IF(OR($C316="TUTAR_NEGATIF",$C316="TARIH_BOS"),"YUKSEK","ORTA"))</f>
        <v/>
      </c>
      <c r="F316" s="16">
        <f>IF($C316="","",IF(OR($C316="TARIH_BOS",$C316="VKN_UZUNLUK",$C316="TUTAR_NEGATIF",$C316="DONEM_EKSIK"),$C316,"TANIMSIZ"))</f>
        <v/>
      </c>
      <c r="G316" s="16">
        <f>IF($C316="","",1)</f>
        <v/>
      </c>
    </row>
    <row r="317">
      <c r="A317" s="16">
        <f>IF('VERI_A'!$A317="","",ROW()-ROW(tblVeriA[[#Headers]]))</f>
        <v/>
      </c>
      <c r="B317" s="23">
        <f>IF('VERI_A'!$A317="","",'VERI_A'!$A317)</f>
        <v/>
      </c>
      <c r="C317" s="16">
        <f>IF($B317="","",IF(OR('VERI_A'!$B317="",'VERI_A'!$B317=0),"TARIH_BOS",IF(LEN(TRIM('VERI_A'!$C317&amp;""))&lt;&gt;dbe_vknUzunluk,"VKN_UZUNLUK",IF('VERI_A'!$G317&lt;0,"TUTAR_NEGATIF",IF('VERI_A'!$I317="","DONEM_EKSIK",""))))</f>
        <v/>
      </c>
      <c r="D317" s="16">
        <f>IF($C317="","",IF($C317="TARIH_BOS","Belge tarihi zorunlu",IF($C317="VKN_UZUNLUK","VKN 10 hane olmalı",IF($C317="TUTAR_NEGATIF","Toplam negatif olamaz",IF($C317="DONEM_EKSIK","Dönem zorunlu","Elle incele"))))</f>
        <v/>
      </c>
      <c r="E317" s="16">
        <f>IF($C317="","",IF(OR($C317="TUTAR_NEGATIF",$C317="TARIH_BOS"),"YUKSEK","ORTA"))</f>
        <v/>
      </c>
      <c r="F317" s="16">
        <f>IF($C317="","",IF(OR($C317="TARIH_BOS",$C317="VKN_UZUNLUK",$C317="TUTAR_NEGATIF",$C317="DONEM_EKSIK"),$C317,"TANIMSIZ"))</f>
        <v/>
      </c>
      <c r="G317" s="16">
        <f>IF($C317="","",1)</f>
        <v/>
      </c>
    </row>
    <row r="318">
      <c r="A318" s="16">
        <f>IF('VERI_A'!$A318="","",ROW()-ROW(tblVeriA[[#Headers]]))</f>
        <v/>
      </c>
      <c r="B318" s="23">
        <f>IF('VERI_A'!$A318="","",'VERI_A'!$A318)</f>
        <v/>
      </c>
      <c r="C318" s="16">
        <f>IF($B318="","",IF(OR('VERI_A'!$B318="",'VERI_A'!$B318=0),"TARIH_BOS",IF(LEN(TRIM('VERI_A'!$C318&amp;""))&lt;&gt;dbe_vknUzunluk,"VKN_UZUNLUK",IF('VERI_A'!$G318&lt;0,"TUTAR_NEGATIF",IF('VERI_A'!$I318="","DONEM_EKSIK",""))))</f>
        <v/>
      </c>
      <c r="D318" s="16">
        <f>IF($C318="","",IF($C318="TARIH_BOS","Belge tarihi zorunlu",IF($C318="VKN_UZUNLUK","VKN 10 hane olmalı",IF($C318="TUTAR_NEGATIF","Toplam negatif olamaz",IF($C318="DONEM_EKSIK","Dönem zorunlu","Elle incele"))))</f>
        <v/>
      </c>
      <c r="E318" s="16">
        <f>IF($C318="","",IF(OR($C318="TUTAR_NEGATIF",$C318="TARIH_BOS"),"YUKSEK","ORTA"))</f>
        <v/>
      </c>
      <c r="F318" s="16">
        <f>IF($C318="","",IF(OR($C318="TARIH_BOS",$C318="VKN_UZUNLUK",$C318="TUTAR_NEGATIF",$C318="DONEM_EKSIK"),$C318,"TANIMSIZ"))</f>
        <v/>
      </c>
      <c r="G318" s="16">
        <f>IF($C318="","",1)</f>
        <v/>
      </c>
    </row>
    <row r="319">
      <c r="A319" s="16">
        <f>IF('VERI_A'!$A319="","",ROW()-ROW(tblVeriA[[#Headers]]))</f>
        <v/>
      </c>
      <c r="B319" s="23">
        <f>IF('VERI_A'!$A319="","",'VERI_A'!$A319)</f>
        <v/>
      </c>
      <c r="C319" s="16">
        <f>IF($B319="","",IF(OR('VERI_A'!$B319="",'VERI_A'!$B319=0),"TARIH_BOS",IF(LEN(TRIM('VERI_A'!$C319&amp;""))&lt;&gt;dbe_vknUzunluk,"VKN_UZUNLUK",IF('VERI_A'!$G319&lt;0,"TUTAR_NEGATIF",IF('VERI_A'!$I319="","DONEM_EKSIK",""))))</f>
        <v/>
      </c>
      <c r="D319" s="16">
        <f>IF($C319="","",IF($C319="TARIH_BOS","Belge tarihi zorunlu",IF($C319="VKN_UZUNLUK","VKN 10 hane olmalı",IF($C319="TUTAR_NEGATIF","Toplam negatif olamaz",IF($C319="DONEM_EKSIK","Dönem zorunlu","Elle incele"))))</f>
        <v/>
      </c>
      <c r="E319" s="16">
        <f>IF($C319="","",IF(OR($C319="TUTAR_NEGATIF",$C319="TARIH_BOS"),"YUKSEK","ORTA"))</f>
        <v/>
      </c>
      <c r="F319" s="16">
        <f>IF($C319="","",IF(OR($C319="TARIH_BOS",$C319="VKN_UZUNLUK",$C319="TUTAR_NEGATIF",$C319="DONEM_EKSIK"),$C319,"TANIMSIZ"))</f>
        <v/>
      </c>
      <c r="G319" s="16">
        <f>IF($C319="","",1)</f>
        <v/>
      </c>
    </row>
    <row r="320">
      <c r="A320" s="16">
        <f>IF('VERI_A'!$A320="","",ROW()-ROW(tblVeriA[[#Headers]]))</f>
        <v/>
      </c>
      <c r="B320" s="23">
        <f>IF('VERI_A'!$A320="","",'VERI_A'!$A320)</f>
        <v/>
      </c>
      <c r="C320" s="16">
        <f>IF($B320="","",IF(OR('VERI_A'!$B320="",'VERI_A'!$B320=0),"TARIH_BOS",IF(LEN(TRIM('VERI_A'!$C320&amp;""))&lt;&gt;dbe_vknUzunluk,"VKN_UZUNLUK",IF('VERI_A'!$G320&lt;0,"TUTAR_NEGATIF",IF('VERI_A'!$I320="","DONEM_EKSIK",""))))</f>
        <v/>
      </c>
      <c r="D320" s="16">
        <f>IF($C320="","",IF($C320="TARIH_BOS","Belge tarihi zorunlu",IF($C320="VKN_UZUNLUK","VKN 10 hane olmalı",IF($C320="TUTAR_NEGATIF","Toplam negatif olamaz",IF($C320="DONEM_EKSIK","Dönem zorunlu","Elle incele"))))</f>
        <v/>
      </c>
      <c r="E320" s="16">
        <f>IF($C320="","",IF(OR($C320="TUTAR_NEGATIF",$C320="TARIH_BOS"),"YUKSEK","ORTA"))</f>
        <v/>
      </c>
      <c r="F320" s="16">
        <f>IF($C320="","",IF(OR($C320="TARIH_BOS",$C320="VKN_UZUNLUK",$C320="TUTAR_NEGATIF",$C320="DONEM_EKSIK"),$C320,"TANIMSIZ"))</f>
        <v/>
      </c>
      <c r="G320" s="16">
        <f>IF($C320="","",1)</f>
        <v/>
      </c>
    </row>
    <row r="321">
      <c r="A321" s="16">
        <f>IF('VERI_A'!$A321="","",ROW()-ROW(tblVeriA[[#Headers]]))</f>
        <v/>
      </c>
      <c r="B321" s="23">
        <f>IF('VERI_A'!$A321="","",'VERI_A'!$A321)</f>
        <v/>
      </c>
      <c r="C321" s="16">
        <f>IF($B321="","",IF(OR('VERI_A'!$B321="",'VERI_A'!$B321=0),"TARIH_BOS",IF(LEN(TRIM('VERI_A'!$C321&amp;""))&lt;&gt;dbe_vknUzunluk,"VKN_UZUNLUK",IF('VERI_A'!$G321&lt;0,"TUTAR_NEGATIF",IF('VERI_A'!$I321="","DONEM_EKSIK",""))))</f>
        <v/>
      </c>
      <c r="D321" s="16">
        <f>IF($C321="","",IF($C321="TARIH_BOS","Belge tarihi zorunlu",IF($C321="VKN_UZUNLUK","VKN 10 hane olmalı",IF($C321="TUTAR_NEGATIF","Toplam negatif olamaz",IF($C321="DONEM_EKSIK","Dönem zorunlu","Elle incele"))))</f>
        <v/>
      </c>
      <c r="E321" s="16">
        <f>IF($C321="","",IF(OR($C321="TUTAR_NEGATIF",$C321="TARIH_BOS"),"YUKSEK","ORTA"))</f>
        <v/>
      </c>
      <c r="F321" s="16">
        <f>IF($C321="","",IF(OR($C321="TARIH_BOS",$C321="VKN_UZUNLUK",$C321="TUTAR_NEGATIF",$C321="DONEM_EKSIK"),$C321,"TANIMSIZ"))</f>
        <v/>
      </c>
      <c r="G321" s="16">
        <f>IF($C321="","",1)</f>
        <v/>
      </c>
    </row>
    <row r="322">
      <c r="A322" s="16">
        <f>IF('VERI_A'!$A322="","",ROW()-ROW(tblVeriA[[#Headers]]))</f>
        <v/>
      </c>
      <c r="B322" s="23">
        <f>IF('VERI_A'!$A322="","",'VERI_A'!$A322)</f>
        <v/>
      </c>
      <c r="C322" s="16">
        <f>IF($B322="","",IF(OR('VERI_A'!$B322="",'VERI_A'!$B322=0),"TARIH_BOS",IF(LEN(TRIM('VERI_A'!$C322&amp;""))&lt;&gt;dbe_vknUzunluk,"VKN_UZUNLUK",IF('VERI_A'!$G322&lt;0,"TUTAR_NEGATIF",IF('VERI_A'!$I322="","DONEM_EKSIK",""))))</f>
        <v/>
      </c>
      <c r="D322" s="16">
        <f>IF($C322="","",IF($C322="TARIH_BOS","Belge tarihi zorunlu",IF($C322="VKN_UZUNLUK","VKN 10 hane olmalı",IF($C322="TUTAR_NEGATIF","Toplam negatif olamaz",IF($C322="DONEM_EKSIK","Dönem zorunlu","Elle incele"))))</f>
        <v/>
      </c>
      <c r="E322" s="16">
        <f>IF($C322="","",IF(OR($C322="TUTAR_NEGATIF",$C322="TARIH_BOS"),"YUKSEK","ORTA"))</f>
        <v/>
      </c>
      <c r="F322" s="16">
        <f>IF($C322="","",IF(OR($C322="TARIH_BOS",$C322="VKN_UZUNLUK",$C322="TUTAR_NEGATIF",$C322="DONEM_EKSIK"),$C322,"TANIMSIZ"))</f>
        <v/>
      </c>
      <c r="G322" s="16">
        <f>IF($C322="","",1)</f>
        <v/>
      </c>
    </row>
    <row r="323">
      <c r="A323" s="16">
        <f>IF('VERI_A'!$A323="","",ROW()-ROW(tblVeriA[[#Headers]]))</f>
        <v/>
      </c>
      <c r="B323" s="23">
        <f>IF('VERI_A'!$A323="","",'VERI_A'!$A323)</f>
        <v/>
      </c>
      <c r="C323" s="16">
        <f>IF($B323="","",IF(OR('VERI_A'!$B323="",'VERI_A'!$B323=0),"TARIH_BOS",IF(LEN(TRIM('VERI_A'!$C323&amp;""))&lt;&gt;dbe_vknUzunluk,"VKN_UZUNLUK",IF('VERI_A'!$G323&lt;0,"TUTAR_NEGATIF",IF('VERI_A'!$I323="","DONEM_EKSIK",""))))</f>
        <v/>
      </c>
      <c r="D323" s="16">
        <f>IF($C323="","",IF($C323="TARIH_BOS","Belge tarihi zorunlu",IF($C323="VKN_UZUNLUK","VKN 10 hane olmalı",IF($C323="TUTAR_NEGATIF","Toplam negatif olamaz",IF($C323="DONEM_EKSIK","Dönem zorunlu","Elle incele"))))</f>
        <v/>
      </c>
      <c r="E323" s="16">
        <f>IF($C323="","",IF(OR($C323="TUTAR_NEGATIF",$C323="TARIH_BOS"),"YUKSEK","ORTA"))</f>
        <v/>
      </c>
      <c r="F323" s="16">
        <f>IF($C323="","",IF(OR($C323="TARIH_BOS",$C323="VKN_UZUNLUK",$C323="TUTAR_NEGATIF",$C323="DONEM_EKSIK"),$C323,"TANIMSIZ"))</f>
        <v/>
      </c>
      <c r="G323" s="16">
        <f>IF($C323="","",1)</f>
        <v/>
      </c>
    </row>
    <row r="324">
      <c r="A324" s="16">
        <f>IF('VERI_A'!$A324="","",ROW()-ROW(tblVeriA[[#Headers]]))</f>
        <v/>
      </c>
      <c r="B324" s="23">
        <f>IF('VERI_A'!$A324="","",'VERI_A'!$A324)</f>
        <v/>
      </c>
      <c r="C324" s="16">
        <f>IF($B324="","",IF(OR('VERI_A'!$B324="",'VERI_A'!$B324=0),"TARIH_BOS",IF(LEN(TRIM('VERI_A'!$C324&amp;""))&lt;&gt;dbe_vknUzunluk,"VKN_UZUNLUK",IF('VERI_A'!$G324&lt;0,"TUTAR_NEGATIF",IF('VERI_A'!$I324="","DONEM_EKSIK",""))))</f>
        <v/>
      </c>
      <c r="D324" s="16">
        <f>IF($C324="","",IF($C324="TARIH_BOS","Belge tarihi zorunlu",IF($C324="VKN_UZUNLUK","VKN 10 hane olmalı",IF($C324="TUTAR_NEGATIF","Toplam negatif olamaz",IF($C324="DONEM_EKSIK","Dönem zorunlu","Elle incele"))))</f>
        <v/>
      </c>
      <c r="E324" s="16">
        <f>IF($C324="","",IF(OR($C324="TUTAR_NEGATIF",$C324="TARIH_BOS"),"YUKSEK","ORTA"))</f>
        <v/>
      </c>
      <c r="F324" s="16">
        <f>IF($C324="","",IF(OR($C324="TARIH_BOS",$C324="VKN_UZUNLUK",$C324="TUTAR_NEGATIF",$C324="DONEM_EKSIK"),$C324,"TANIMSIZ"))</f>
        <v/>
      </c>
      <c r="G324" s="16">
        <f>IF($C324="","",1)</f>
        <v/>
      </c>
    </row>
    <row r="325">
      <c r="A325" s="16">
        <f>IF('VERI_A'!$A325="","",ROW()-ROW(tblVeriA[[#Headers]]))</f>
        <v/>
      </c>
      <c r="B325" s="23">
        <f>IF('VERI_A'!$A325="","",'VERI_A'!$A325)</f>
        <v/>
      </c>
      <c r="C325" s="16">
        <f>IF($B325="","",IF(OR('VERI_A'!$B325="",'VERI_A'!$B325=0),"TARIH_BOS",IF(LEN(TRIM('VERI_A'!$C325&amp;""))&lt;&gt;dbe_vknUzunluk,"VKN_UZUNLUK",IF('VERI_A'!$G325&lt;0,"TUTAR_NEGATIF",IF('VERI_A'!$I325="","DONEM_EKSIK",""))))</f>
        <v/>
      </c>
      <c r="D325" s="16">
        <f>IF($C325="","",IF($C325="TARIH_BOS","Belge tarihi zorunlu",IF($C325="VKN_UZUNLUK","VKN 10 hane olmalı",IF($C325="TUTAR_NEGATIF","Toplam negatif olamaz",IF($C325="DONEM_EKSIK","Dönem zorunlu","Elle incele"))))</f>
        <v/>
      </c>
      <c r="E325" s="16">
        <f>IF($C325="","",IF(OR($C325="TUTAR_NEGATIF",$C325="TARIH_BOS"),"YUKSEK","ORTA"))</f>
        <v/>
      </c>
      <c r="F325" s="16">
        <f>IF($C325="","",IF(OR($C325="TARIH_BOS",$C325="VKN_UZUNLUK",$C325="TUTAR_NEGATIF",$C325="DONEM_EKSIK"),$C325,"TANIMSIZ"))</f>
        <v/>
      </c>
      <c r="G325" s="16">
        <f>IF($C325="","",1)</f>
        <v/>
      </c>
    </row>
    <row r="326">
      <c r="A326" s="16">
        <f>IF('VERI_A'!$A326="","",ROW()-ROW(tblVeriA[[#Headers]]))</f>
        <v/>
      </c>
      <c r="B326" s="23">
        <f>IF('VERI_A'!$A326="","",'VERI_A'!$A326)</f>
        <v/>
      </c>
      <c r="C326" s="16">
        <f>IF($B326="","",IF(OR('VERI_A'!$B326="",'VERI_A'!$B326=0),"TARIH_BOS",IF(LEN(TRIM('VERI_A'!$C326&amp;""))&lt;&gt;dbe_vknUzunluk,"VKN_UZUNLUK",IF('VERI_A'!$G326&lt;0,"TUTAR_NEGATIF",IF('VERI_A'!$I326="","DONEM_EKSIK",""))))</f>
        <v/>
      </c>
      <c r="D326" s="16">
        <f>IF($C326="","",IF($C326="TARIH_BOS","Belge tarihi zorunlu",IF($C326="VKN_UZUNLUK","VKN 10 hane olmalı",IF($C326="TUTAR_NEGATIF","Toplam negatif olamaz",IF($C326="DONEM_EKSIK","Dönem zorunlu","Elle incele"))))</f>
        <v/>
      </c>
      <c r="E326" s="16">
        <f>IF($C326="","",IF(OR($C326="TUTAR_NEGATIF",$C326="TARIH_BOS"),"YUKSEK","ORTA"))</f>
        <v/>
      </c>
      <c r="F326" s="16">
        <f>IF($C326="","",IF(OR($C326="TARIH_BOS",$C326="VKN_UZUNLUK",$C326="TUTAR_NEGATIF",$C326="DONEM_EKSIK"),$C326,"TANIMSIZ"))</f>
        <v/>
      </c>
      <c r="G326" s="16">
        <f>IF($C326="","",1)</f>
        <v/>
      </c>
    </row>
    <row r="327">
      <c r="A327" s="16">
        <f>IF('VERI_A'!$A327="","",ROW()-ROW(tblVeriA[[#Headers]]))</f>
        <v/>
      </c>
      <c r="B327" s="23">
        <f>IF('VERI_A'!$A327="","",'VERI_A'!$A327)</f>
        <v/>
      </c>
      <c r="C327" s="16">
        <f>IF($B327="","",IF(OR('VERI_A'!$B327="",'VERI_A'!$B327=0),"TARIH_BOS",IF(LEN(TRIM('VERI_A'!$C327&amp;""))&lt;&gt;dbe_vknUzunluk,"VKN_UZUNLUK",IF('VERI_A'!$G327&lt;0,"TUTAR_NEGATIF",IF('VERI_A'!$I327="","DONEM_EKSIK",""))))</f>
        <v/>
      </c>
      <c r="D327" s="16">
        <f>IF($C327="","",IF($C327="TARIH_BOS","Belge tarihi zorunlu",IF($C327="VKN_UZUNLUK","VKN 10 hane olmalı",IF($C327="TUTAR_NEGATIF","Toplam negatif olamaz",IF($C327="DONEM_EKSIK","Dönem zorunlu","Elle incele"))))</f>
        <v/>
      </c>
      <c r="E327" s="16">
        <f>IF($C327="","",IF(OR($C327="TUTAR_NEGATIF",$C327="TARIH_BOS"),"YUKSEK","ORTA"))</f>
        <v/>
      </c>
      <c r="F327" s="16">
        <f>IF($C327="","",IF(OR($C327="TARIH_BOS",$C327="VKN_UZUNLUK",$C327="TUTAR_NEGATIF",$C327="DONEM_EKSIK"),$C327,"TANIMSIZ"))</f>
        <v/>
      </c>
      <c r="G327" s="16">
        <f>IF($C327="","",1)</f>
        <v/>
      </c>
    </row>
    <row r="328">
      <c r="A328" s="16">
        <f>IF('VERI_A'!$A328="","",ROW()-ROW(tblVeriA[[#Headers]]))</f>
        <v/>
      </c>
      <c r="B328" s="23">
        <f>IF('VERI_A'!$A328="","",'VERI_A'!$A328)</f>
        <v/>
      </c>
      <c r="C328" s="16">
        <f>IF($B328="","",IF(OR('VERI_A'!$B328="",'VERI_A'!$B328=0),"TARIH_BOS",IF(LEN(TRIM('VERI_A'!$C328&amp;""))&lt;&gt;dbe_vknUzunluk,"VKN_UZUNLUK",IF('VERI_A'!$G328&lt;0,"TUTAR_NEGATIF",IF('VERI_A'!$I328="","DONEM_EKSIK",""))))</f>
        <v/>
      </c>
      <c r="D328" s="16">
        <f>IF($C328="","",IF($C328="TARIH_BOS","Belge tarihi zorunlu",IF($C328="VKN_UZUNLUK","VKN 10 hane olmalı",IF($C328="TUTAR_NEGATIF","Toplam negatif olamaz",IF($C328="DONEM_EKSIK","Dönem zorunlu","Elle incele"))))</f>
        <v/>
      </c>
      <c r="E328" s="16">
        <f>IF($C328="","",IF(OR($C328="TUTAR_NEGATIF",$C328="TARIH_BOS"),"YUKSEK","ORTA"))</f>
        <v/>
      </c>
      <c r="F328" s="16">
        <f>IF($C328="","",IF(OR($C328="TARIH_BOS",$C328="VKN_UZUNLUK",$C328="TUTAR_NEGATIF",$C328="DONEM_EKSIK"),$C328,"TANIMSIZ"))</f>
        <v/>
      </c>
      <c r="G328" s="16">
        <f>IF($C328="","",1)</f>
        <v/>
      </c>
    </row>
    <row r="329">
      <c r="A329" s="16">
        <f>IF('VERI_A'!$A329="","",ROW()-ROW(tblVeriA[[#Headers]]))</f>
        <v/>
      </c>
      <c r="B329" s="23">
        <f>IF('VERI_A'!$A329="","",'VERI_A'!$A329)</f>
        <v/>
      </c>
      <c r="C329" s="16">
        <f>IF($B329="","",IF(OR('VERI_A'!$B329="",'VERI_A'!$B329=0),"TARIH_BOS",IF(LEN(TRIM('VERI_A'!$C329&amp;""))&lt;&gt;dbe_vknUzunluk,"VKN_UZUNLUK",IF('VERI_A'!$G329&lt;0,"TUTAR_NEGATIF",IF('VERI_A'!$I329="","DONEM_EKSIK",""))))</f>
        <v/>
      </c>
      <c r="D329" s="16">
        <f>IF($C329="","",IF($C329="TARIH_BOS","Belge tarihi zorunlu",IF($C329="VKN_UZUNLUK","VKN 10 hane olmalı",IF($C329="TUTAR_NEGATIF","Toplam negatif olamaz",IF($C329="DONEM_EKSIK","Dönem zorunlu","Elle incele"))))</f>
        <v/>
      </c>
      <c r="E329" s="16">
        <f>IF($C329="","",IF(OR($C329="TUTAR_NEGATIF",$C329="TARIH_BOS"),"YUKSEK","ORTA"))</f>
        <v/>
      </c>
      <c r="F329" s="16">
        <f>IF($C329="","",IF(OR($C329="TARIH_BOS",$C329="VKN_UZUNLUK",$C329="TUTAR_NEGATIF",$C329="DONEM_EKSIK"),$C329,"TANIMSIZ"))</f>
        <v/>
      </c>
      <c r="G329" s="16">
        <f>IF($C329="","",1)</f>
        <v/>
      </c>
    </row>
    <row r="330">
      <c r="A330" s="16">
        <f>IF('VERI_A'!$A330="","",ROW()-ROW(tblVeriA[[#Headers]]))</f>
        <v/>
      </c>
      <c r="B330" s="23">
        <f>IF('VERI_A'!$A330="","",'VERI_A'!$A330)</f>
        <v/>
      </c>
      <c r="C330" s="16">
        <f>IF($B330="","",IF(OR('VERI_A'!$B330="",'VERI_A'!$B330=0),"TARIH_BOS",IF(LEN(TRIM('VERI_A'!$C330&amp;""))&lt;&gt;dbe_vknUzunluk,"VKN_UZUNLUK",IF('VERI_A'!$G330&lt;0,"TUTAR_NEGATIF",IF('VERI_A'!$I330="","DONEM_EKSIK",""))))</f>
        <v/>
      </c>
      <c r="D330" s="16">
        <f>IF($C330="","",IF($C330="TARIH_BOS","Belge tarihi zorunlu",IF($C330="VKN_UZUNLUK","VKN 10 hane olmalı",IF($C330="TUTAR_NEGATIF","Toplam negatif olamaz",IF($C330="DONEM_EKSIK","Dönem zorunlu","Elle incele"))))</f>
        <v/>
      </c>
      <c r="E330" s="16">
        <f>IF($C330="","",IF(OR($C330="TUTAR_NEGATIF",$C330="TARIH_BOS"),"YUKSEK","ORTA"))</f>
        <v/>
      </c>
      <c r="F330" s="16">
        <f>IF($C330="","",IF(OR($C330="TARIH_BOS",$C330="VKN_UZUNLUK",$C330="TUTAR_NEGATIF",$C330="DONEM_EKSIK"),$C330,"TANIMSIZ"))</f>
        <v/>
      </c>
      <c r="G330" s="16">
        <f>IF($C330="","",1)</f>
        <v/>
      </c>
    </row>
    <row r="331">
      <c r="A331" s="16">
        <f>IF('VERI_A'!$A331="","",ROW()-ROW(tblVeriA[[#Headers]]))</f>
        <v/>
      </c>
      <c r="B331" s="23">
        <f>IF('VERI_A'!$A331="","",'VERI_A'!$A331)</f>
        <v/>
      </c>
      <c r="C331" s="16">
        <f>IF($B331="","",IF(OR('VERI_A'!$B331="",'VERI_A'!$B331=0),"TARIH_BOS",IF(LEN(TRIM('VERI_A'!$C331&amp;""))&lt;&gt;dbe_vknUzunluk,"VKN_UZUNLUK",IF('VERI_A'!$G331&lt;0,"TUTAR_NEGATIF",IF('VERI_A'!$I331="","DONEM_EKSIK",""))))</f>
        <v/>
      </c>
      <c r="D331" s="16">
        <f>IF($C331="","",IF($C331="TARIH_BOS","Belge tarihi zorunlu",IF($C331="VKN_UZUNLUK","VKN 10 hane olmalı",IF($C331="TUTAR_NEGATIF","Toplam negatif olamaz",IF($C331="DONEM_EKSIK","Dönem zorunlu","Elle incele"))))</f>
        <v/>
      </c>
      <c r="E331" s="16">
        <f>IF($C331="","",IF(OR($C331="TUTAR_NEGATIF",$C331="TARIH_BOS"),"YUKSEK","ORTA"))</f>
        <v/>
      </c>
      <c r="F331" s="16">
        <f>IF($C331="","",IF(OR($C331="TARIH_BOS",$C331="VKN_UZUNLUK",$C331="TUTAR_NEGATIF",$C331="DONEM_EKSIK"),$C331,"TANIMSIZ"))</f>
        <v/>
      </c>
      <c r="G331" s="16">
        <f>IF($C331="","",1)</f>
        <v/>
      </c>
    </row>
    <row r="332">
      <c r="A332" s="16">
        <f>IF('VERI_A'!$A332="","",ROW()-ROW(tblVeriA[[#Headers]]))</f>
        <v/>
      </c>
      <c r="B332" s="23">
        <f>IF('VERI_A'!$A332="","",'VERI_A'!$A332)</f>
        <v/>
      </c>
      <c r="C332" s="16">
        <f>IF($B332="","",IF(OR('VERI_A'!$B332="",'VERI_A'!$B332=0),"TARIH_BOS",IF(LEN(TRIM('VERI_A'!$C332&amp;""))&lt;&gt;dbe_vknUzunluk,"VKN_UZUNLUK",IF('VERI_A'!$G332&lt;0,"TUTAR_NEGATIF",IF('VERI_A'!$I332="","DONEM_EKSIK",""))))</f>
        <v/>
      </c>
      <c r="D332" s="16">
        <f>IF($C332="","",IF($C332="TARIH_BOS","Belge tarihi zorunlu",IF($C332="VKN_UZUNLUK","VKN 10 hane olmalı",IF($C332="TUTAR_NEGATIF","Toplam negatif olamaz",IF($C332="DONEM_EKSIK","Dönem zorunlu","Elle incele"))))</f>
        <v/>
      </c>
      <c r="E332" s="16">
        <f>IF($C332="","",IF(OR($C332="TUTAR_NEGATIF",$C332="TARIH_BOS"),"YUKSEK","ORTA"))</f>
        <v/>
      </c>
      <c r="F332" s="16">
        <f>IF($C332="","",IF(OR($C332="TARIH_BOS",$C332="VKN_UZUNLUK",$C332="TUTAR_NEGATIF",$C332="DONEM_EKSIK"),$C332,"TANIMSIZ"))</f>
        <v/>
      </c>
      <c r="G332" s="16">
        <f>IF($C332="","",1)</f>
        <v/>
      </c>
    </row>
    <row r="333">
      <c r="A333" s="16">
        <f>IF('VERI_A'!$A333="","",ROW()-ROW(tblVeriA[[#Headers]]))</f>
        <v/>
      </c>
      <c r="B333" s="23">
        <f>IF('VERI_A'!$A333="","",'VERI_A'!$A333)</f>
        <v/>
      </c>
      <c r="C333" s="16">
        <f>IF($B333="","",IF(OR('VERI_A'!$B333="",'VERI_A'!$B333=0),"TARIH_BOS",IF(LEN(TRIM('VERI_A'!$C333&amp;""))&lt;&gt;dbe_vknUzunluk,"VKN_UZUNLUK",IF('VERI_A'!$G333&lt;0,"TUTAR_NEGATIF",IF('VERI_A'!$I333="","DONEM_EKSIK",""))))</f>
        <v/>
      </c>
      <c r="D333" s="16">
        <f>IF($C333="","",IF($C333="TARIH_BOS","Belge tarihi zorunlu",IF($C333="VKN_UZUNLUK","VKN 10 hane olmalı",IF($C333="TUTAR_NEGATIF","Toplam negatif olamaz",IF($C333="DONEM_EKSIK","Dönem zorunlu","Elle incele"))))</f>
        <v/>
      </c>
      <c r="E333" s="16">
        <f>IF($C333="","",IF(OR($C333="TUTAR_NEGATIF",$C333="TARIH_BOS"),"YUKSEK","ORTA"))</f>
        <v/>
      </c>
      <c r="F333" s="16">
        <f>IF($C333="","",IF(OR($C333="TARIH_BOS",$C333="VKN_UZUNLUK",$C333="TUTAR_NEGATIF",$C333="DONEM_EKSIK"),$C333,"TANIMSIZ"))</f>
        <v/>
      </c>
      <c r="G333" s="16">
        <f>IF($C333="","",1)</f>
        <v/>
      </c>
    </row>
    <row r="334">
      <c r="A334" s="16">
        <f>IF('VERI_A'!$A334="","",ROW()-ROW(tblVeriA[[#Headers]]))</f>
        <v/>
      </c>
      <c r="B334" s="23">
        <f>IF('VERI_A'!$A334="","",'VERI_A'!$A334)</f>
        <v/>
      </c>
      <c r="C334" s="16">
        <f>IF($B334="","",IF(OR('VERI_A'!$B334="",'VERI_A'!$B334=0),"TARIH_BOS",IF(LEN(TRIM('VERI_A'!$C334&amp;""))&lt;&gt;dbe_vknUzunluk,"VKN_UZUNLUK",IF('VERI_A'!$G334&lt;0,"TUTAR_NEGATIF",IF('VERI_A'!$I334="","DONEM_EKSIK",""))))</f>
        <v/>
      </c>
      <c r="D334" s="16">
        <f>IF($C334="","",IF($C334="TARIH_BOS","Belge tarihi zorunlu",IF($C334="VKN_UZUNLUK","VKN 10 hane olmalı",IF($C334="TUTAR_NEGATIF","Toplam negatif olamaz",IF($C334="DONEM_EKSIK","Dönem zorunlu","Elle incele"))))</f>
        <v/>
      </c>
      <c r="E334" s="16">
        <f>IF($C334="","",IF(OR($C334="TUTAR_NEGATIF",$C334="TARIH_BOS"),"YUKSEK","ORTA"))</f>
        <v/>
      </c>
      <c r="F334" s="16">
        <f>IF($C334="","",IF(OR($C334="TARIH_BOS",$C334="VKN_UZUNLUK",$C334="TUTAR_NEGATIF",$C334="DONEM_EKSIK"),$C334,"TANIMSIZ"))</f>
        <v/>
      </c>
      <c r="G334" s="16">
        <f>IF($C334="","",1)</f>
        <v/>
      </c>
    </row>
    <row r="335">
      <c r="A335" s="16">
        <f>IF('VERI_A'!$A335="","",ROW()-ROW(tblVeriA[[#Headers]]))</f>
        <v/>
      </c>
      <c r="B335" s="23">
        <f>IF('VERI_A'!$A335="","",'VERI_A'!$A335)</f>
        <v/>
      </c>
      <c r="C335" s="16">
        <f>IF($B335="","",IF(OR('VERI_A'!$B335="",'VERI_A'!$B335=0),"TARIH_BOS",IF(LEN(TRIM('VERI_A'!$C335&amp;""))&lt;&gt;dbe_vknUzunluk,"VKN_UZUNLUK",IF('VERI_A'!$G335&lt;0,"TUTAR_NEGATIF",IF('VERI_A'!$I335="","DONEM_EKSIK",""))))</f>
        <v/>
      </c>
      <c r="D335" s="16">
        <f>IF($C335="","",IF($C335="TARIH_BOS","Belge tarihi zorunlu",IF($C335="VKN_UZUNLUK","VKN 10 hane olmalı",IF($C335="TUTAR_NEGATIF","Toplam negatif olamaz",IF($C335="DONEM_EKSIK","Dönem zorunlu","Elle incele"))))</f>
        <v/>
      </c>
      <c r="E335" s="16">
        <f>IF($C335="","",IF(OR($C335="TUTAR_NEGATIF",$C335="TARIH_BOS"),"YUKSEK","ORTA"))</f>
        <v/>
      </c>
      <c r="F335" s="16">
        <f>IF($C335="","",IF(OR($C335="TARIH_BOS",$C335="VKN_UZUNLUK",$C335="TUTAR_NEGATIF",$C335="DONEM_EKSIK"),$C335,"TANIMSIZ"))</f>
        <v/>
      </c>
      <c r="G335" s="16">
        <f>IF($C335="","",1)</f>
        <v/>
      </c>
    </row>
    <row r="336">
      <c r="A336" s="16">
        <f>IF('VERI_A'!$A336="","",ROW()-ROW(tblVeriA[[#Headers]]))</f>
        <v/>
      </c>
      <c r="B336" s="23">
        <f>IF('VERI_A'!$A336="","",'VERI_A'!$A336)</f>
        <v/>
      </c>
      <c r="C336" s="16">
        <f>IF($B336="","",IF(OR('VERI_A'!$B336="",'VERI_A'!$B336=0),"TARIH_BOS",IF(LEN(TRIM('VERI_A'!$C336&amp;""))&lt;&gt;dbe_vknUzunluk,"VKN_UZUNLUK",IF('VERI_A'!$G336&lt;0,"TUTAR_NEGATIF",IF('VERI_A'!$I336="","DONEM_EKSIK",""))))</f>
        <v/>
      </c>
      <c r="D336" s="16">
        <f>IF($C336="","",IF($C336="TARIH_BOS","Belge tarihi zorunlu",IF($C336="VKN_UZUNLUK","VKN 10 hane olmalı",IF($C336="TUTAR_NEGATIF","Toplam negatif olamaz",IF($C336="DONEM_EKSIK","Dönem zorunlu","Elle incele"))))</f>
        <v/>
      </c>
      <c r="E336" s="16">
        <f>IF($C336="","",IF(OR($C336="TUTAR_NEGATIF",$C336="TARIH_BOS"),"YUKSEK","ORTA"))</f>
        <v/>
      </c>
      <c r="F336" s="16">
        <f>IF($C336="","",IF(OR($C336="TARIH_BOS",$C336="VKN_UZUNLUK",$C336="TUTAR_NEGATIF",$C336="DONEM_EKSIK"),$C336,"TANIMSIZ"))</f>
        <v/>
      </c>
      <c r="G336" s="16">
        <f>IF($C336="","",1)</f>
        <v/>
      </c>
    </row>
    <row r="337">
      <c r="A337" s="16">
        <f>IF('VERI_A'!$A337="","",ROW()-ROW(tblVeriA[[#Headers]]))</f>
        <v/>
      </c>
      <c r="B337" s="23">
        <f>IF('VERI_A'!$A337="","",'VERI_A'!$A337)</f>
        <v/>
      </c>
      <c r="C337" s="16">
        <f>IF($B337="","",IF(OR('VERI_A'!$B337="",'VERI_A'!$B337=0),"TARIH_BOS",IF(LEN(TRIM('VERI_A'!$C337&amp;""))&lt;&gt;dbe_vknUzunluk,"VKN_UZUNLUK",IF('VERI_A'!$G337&lt;0,"TUTAR_NEGATIF",IF('VERI_A'!$I337="","DONEM_EKSIK",""))))</f>
        <v/>
      </c>
      <c r="D337" s="16">
        <f>IF($C337="","",IF($C337="TARIH_BOS","Belge tarihi zorunlu",IF($C337="VKN_UZUNLUK","VKN 10 hane olmalı",IF($C337="TUTAR_NEGATIF","Toplam negatif olamaz",IF($C337="DONEM_EKSIK","Dönem zorunlu","Elle incele"))))</f>
        <v/>
      </c>
      <c r="E337" s="16">
        <f>IF($C337="","",IF(OR($C337="TUTAR_NEGATIF",$C337="TARIH_BOS"),"YUKSEK","ORTA"))</f>
        <v/>
      </c>
      <c r="F337" s="16">
        <f>IF($C337="","",IF(OR($C337="TARIH_BOS",$C337="VKN_UZUNLUK",$C337="TUTAR_NEGATIF",$C337="DONEM_EKSIK"),$C337,"TANIMSIZ"))</f>
        <v/>
      </c>
      <c r="G337" s="16">
        <f>IF($C337="","",1)</f>
        <v/>
      </c>
    </row>
    <row r="338">
      <c r="A338" s="16">
        <f>IF('VERI_A'!$A338="","",ROW()-ROW(tblVeriA[[#Headers]]))</f>
        <v/>
      </c>
      <c r="B338" s="23">
        <f>IF('VERI_A'!$A338="","",'VERI_A'!$A338)</f>
        <v/>
      </c>
      <c r="C338" s="16">
        <f>IF($B338="","",IF(OR('VERI_A'!$B338="",'VERI_A'!$B338=0),"TARIH_BOS",IF(LEN(TRIM('VERI_A'!$C338&amp;""))&lt;&gt;dbe_vknUzunluk,"VKN_UZUNLUK",IF('VERI_A'!$G338&lt;0,"TUTAR_NEGATIF",IF('VERI_A'!$I338="","DONEM_EKSIK",""))))</f>
        <v/>
      </c>
      <c r="D338" s="16">
        <f>IF($C338="","",IF($C338="TARIH_BOS","Belge tarihi zorunlu",IF($C338="VKN_UZUNLUK","VKN 10 hane olmalı",IF($C338="TUTAR_NEGATIF","Toplam negatif olamaz",IF($C338="DONEM_EKSIK","Dönem zorunlu","Elle incele"))))</f>
        <v/>
      </c>
      <c r="E338" s="16">
        <f>IF($C338="","",IF(OR($C338="TUTAR_NEGATIF",$C338="TARIH_BOS"),"YUKSEK","ORTA"))</f>
        <v/>
      </c>
      <c r="F338" s="16">
        <f>IF($C338="","",IF(OR($C338="TARIH_BOS",$C338="VKN_UZUNLUK",$C338="TUTAR_NEGATIF",$C338="DONEM_EKSIK"),$C338,"TANIMSIZ"))</f>
        <v/>
      </c>
      <c r="G338" s="16">
        <f>IF($C338="","",1)</f>
        <v/>
      </c>
    </row>
    <row r="339">
      <c r="A339" s="16">
        <f>IF('VERI_A'!$A339="","",ROW()-ROW(tblVeriA[[#Headers]]))</f>
        <v/>
      </c>
      <c r="B339" s="23">
        <f>IF('VERI_A'!$A339="","",'VERI_A'!$A339)</f>
        <v/>
      </c>
      <c r="C339" s="16">
        <f>IF($B339="","",IF(OR('VERI_A'!$B339="",'VERI_A'!$B339=0),"TARIH_BOS",IF(LEN(TRIM('VERI_A'!$C339&amp;""))&lt;&gt;dbe_vknUzunluk,"VKN_UZUNLUK",IF('VERI_A'!$G339&lt;0,"TUTAR_NEGATIF",IF('VERI_A'!$I339="","DONEM_EKSIK",""))))</f>
        <v/>
      </c>
      <c r="D339" s="16">
        <f>IF($C339="","",IF($C339="TARIH_BOS","Belge tarihi zorunlu",IF($C339="VKN_UZUNLUK","VKN 10 hane olmalı",IF($C339="TUTAR_NEGATIF","Toplam negatif olamaz",IF($C339="DONEM_EKSIK","Dönem zorunlu","Elle incele"))))</f>
        <v/>
      </c>
      <c r="E339" s="16">
        <f>IF($C339="","",IF(OR($C339="TUTAR_NEGATIF",$C339="TARIH_BOS"),"YUKSEK","ORTA"))</f>
        <v/>
      </c>
      <c r="F339" s="16">
        <f>IF($C339="","",IF(OR($C339="TARIH_BOS",$C339="VKN_UZUNLUK",$C339="TUTAR_NEGATIF",$C339="DONEM_EKSIK"),$C339,"TANIMSIZ"))</f>
        <v/>
      </c>
      <c r="G339" s="16">
        <f>IF($C339="","",1)</f>
        <v/>
      </c>
    </row>
    <row r="340">
      <c r="A340" s="16">
        <f>IF('VERI_A'!$A340="","",ROW()-ROW(tblVeriA[[#Headers]]))</f>
        <v/>
      </c>
      <c r="B340" s="23">
        <f>IF('VERI_A'!$A340="","",'VERI_A'!$A340)</f>
        <v/>
      </c>
      <c r="C340" s="16">
        <f>IF($B340="","",IF(OR('VERI_A'!$B340="",'VERI_A'!$B340=0),"TARIH_BOS",IF(LEN(TRIM('VERI_A'!$C340&amp;""))&lt;&gt;dbe_vknUzunluk,"VKN_UZUNLUK",IF('VERI_A'!$G340&lt;0,"TUTAR_NEGATIF",IF('VERI_A'!$I340="","DONEM_EKSIK",""))))</f>
        <v/>
      </c>
      <c r="D340" s="16">
        <f>IF($C340="","",IF($C340="TARIH_BOS","Belge tarihi zorunlu",IF($C340="VKN_UZUNLUK","VKN 10 hane olmalı",IF($C340="TUTAR_NEGATIF","Toplam negatif olamaz",IF($C340="DONEM_EKSIK","Dönem zorunlu","Elle incele"))))</f>
        <v/>
      </c>
      <c r="E340" s="16">
        <f>IF($C340="","",IF(OR($C340="TUTAR_NEGATIF",$C340="TARIH_BOS"),"YUKSEK","ORTA"))</f>
        <v/>
      </c>
      <c r="F340" s="16">
        <f>IF($C340="","",IF(OR($C340="TARIH_BOS",$C340="VKN_UZUNLUK",$C340="TUTAR_NEGATIF",$C340="DONEM_EKSIK"),$C340,"TANIMSIZ"))</f>
        <v/>
      </c>
      <c r="G340" s="16">
        <f>IF($C340="","",1)</f>
        <v/>
      </c>
    </row>
    <row r="341">
      <c r="A341" s="16">
        <f>IF('VERI_A'!$A341="","",ROW()-ROW(tblVeriA[[#Headers]]))</f>
        <v/>
      </c>
      <c r="B341" s="23">
        <f>IF('VERI_A'!$A341="","",'VERI_A'!$A341)</f>
        <v/>
      </c>
      <c r="C341" s="16">
        <f>IF($B341="","",IF(OR('VERI_A'!$B341="",'VERI_A'!$B341=0),"TARIH_BOS",IF(LEN(TRIM('VERI_A'!$C341&amp;""))&lt;&gt;dbe_vknUzunluk,"VKN_UZUNLUK",IF('VERI_A'!$G341&lt;0,"TUTAR_NEGATIF",IF('VERI_A'!$I341="","DONEM_EKSIK",""))))</f>
        <v/>
      </c>
      <c r="D341" s="16">
        <f>IF($C341="","",IF($C341="TARIH_BOS","Belge tarihi zorunlu",IF($C341="VKN_UZUNLUK","VKN 10 hane olmalı",IF($C341="TUTAR_NEGATIF","Toplam negatif olamaz",IF($C341="DONEM_EKSIK","Dönem zorunlu","Elle incele"))))</f>
        <v/>
      </c>
      <c r="E341" s="16">
        <f>IF($C341="","",IF(OR($C341="TUTAR_NEGATIF",$C341="TARIH_BOS"),"YUKSEK","ORTA"))</f>
        <v/>
      </c>
      <c r="F341" s="16">
        <f>IF($C341="","",IF(OR($C341="TARIH_BOS",$C341="VKN_UZUNLUK",$C341="TUTAR_NEGATIF",$C341="DONEM_EKSIK"),$C341,"TANIMSIZ"))</f>
        <v/>
      </c>
      <c r="G341" s="16">
        <f>IF($C341="","",1)</f>
        <v/>
      </c>
    </row>
    <row r="342">
      <c r="A342" s="16">
        <f>IF('VERI_A'!$A342="","",ROW()-ROW(tblVeriA[[#Headers]]))</f>
        <v/>
      </c>
      <c r="B342" s="23">
        <f>IF('VERI_A'!$A342="","",'VERI_A'!$A342)</f>
        <v/>
      </c>
      <c r="C342" s="16">
        <f>IF($B342="","",IF(OR('VERI_A'!$B342="",'VERI_A'!$B342=0),"TARIH_BOS",IF(LEN(TRIM('VERI_A'!$C342&amp;""))&lt;&gt;dbe_vknUzunluk,"VKN_UZUNLUK",IF('VERI_A'!$G342&lt;0,"TUTAR_NEGATIF",IF('VERI_A'!$I342="","DONEM_EKSIK",""))))</f>
        <v/>
      </c>
      <c r="D342" s="16">
        <f>IF($C342="","",IF($C342="TARIH_BOS","Belge tarihi zorunlu",IF($C342="VKN_UZUNLUK","VKN 10 hane olmalı",IF($C342="TUTAR_NEGATIF","Toplam negatif olamaz",IF($C342="DONEM_EKSIK","Dönem zorunlu","Elle incele"))))</f>
        <v/>
      </c>
      <c r="E342" s="16">
        <f>IF($C342="","",IF(OR($C342="TUTAR_NEGATIF",$C342="TARIH_BOS"),"YUKSEK","ORTA"))</f>
        <v/>
      </c>
      <c r="F342" s="16">
        <f>IF($C342="","",IF(OR($C342="TARIH_BOS",$C342="VKN_UZUNLUK",$C342="TUTAR_NEGATIF",$C342="DONEM_EKSIK"),$C342,"TANIMSIZ"))</f>
        <v/>
      </c>
      <c r="G342" s="16">
        <f>IF($C342="","",1)</f>
        <v/>
      </c>
    </row>
    <row r="343">
      <c r="A343" s="16">
        <f>IF('VERI_A'!$A343="","",ROW()-ROW(tblVeriA[[#Headers]]))</f>
        <v/>
      </c>
      <c r="B343" s="23">
        <f>IF('VERI_A'!$A343="","",'VERI_A'!$A343)</f>
        <v/>
      </c>
      <c r="C343" s="16">
        <f>IF($B343="","",IF(OR('VERI_A'!$B343="",'VERI_A'!$B343=0),"TARIH_BOS",IF(LEN(TRIM('VERI_A'!$C343&amp;""))&lt;&gt;dbe_vknUzunluk,"VKN_UZUNLUK",IF('VERI_A'!$G343&lt;0,"TUTAR_NEGATIF",IF('VERI_A'!$I343="","DONEM_EKSIK",""))))</f>
        <v/>
      </c>
      <c r="D343" s="16">
        <f>IF($C343="","",IF($C343="TARIH_BOS","Belge tarihi zorunlu",IF($C343="VKN_UZUNLUK","VKN 10 hane olmalı",IF($C343="TUTAR_NEGATIF","Toplam negatif olamaz",IF($C343="DONEM_EKSIK","Dönem zorunlu","Elle incele"))))</f>
        <v/>
      </c>
      <c r="E343" s="16">
        <f>IF($C343="","",IF(OR($C343="TUTAR_NEGATIF",$C343="TARIH_BOS"),"YUKSEK","ORTA"))</f>
        <v/>
      </c>
      <c r="F343" s="16">
        <f>IF($C343="","",IF(OR($C343="TARIH_BOS",$C343="VKN_UZUNLUK",$C343="TUTAR_NEGATIF",$C343="DONEM_EKSIK"),$C343,"TANIMSIZ"))</f>
        <v/>
      </c>
      <c r="G343" s="16">
        <f>IF($C343="","",1)</f>
        <v/>
      </c>
    </row>
    <row r="344">
      <c r="A344" s="16">
        <f>IF('VERI_A'!$A344="","",ROW()-ROW(tblVeriA[[#Headers]]))</f>
        <v/>
      </c>
      <c r="B344" s="23">
        <f>IF('VERI_A'!$A344="","",'VERI_A'!$A344)</f>
        <v/>
      </c>
      <c r="C344" s="16">
        <f>IF($B344="","",IF(OR('VERI_A'!$B344="",'VERI_A'!$B344=0),"TARIH_BOS",IF(LEN(TRIM('VERI_A'!$C344&amp;""))&lt;&gt;dbe_vknUzunluk,"VKN_UZUNLUK",IF('VERI_A'!$G344&lt;0,"TUTAR_NEGATIF",IF('VERI_A'!$I344="","DONEM_EKSIK",""))))</f>
        <v/>
      </c>
      <c r="D344" s="16">
        <f>IF($C344="","",IF($C344="TARIH_BOS","Belge tarihi zorunlu",IF($C344="VKN_UZUNLUK","VKN 10 hane olmalı",IF($C344="TUTAR_NEGATIF","Toplam negatif olamaz",IF($C344="DONEM_EKSIK","Dönem zorunlu","Elle incele"))))</f>
        <v/>
      </c>
      <c r="E344" s="16">
        <f>IF($C344="","",IF(OR($C344="TUTAR_NEGATIF",$C344="TARIH_BOS"),"YUKSEK","ORTA"))</f>
        <v/>
      </c>
      <c r="F344" s="16">
        <f>IF($C344="","",IF(OR($C344="TARIH_BOS",$C344="VKN_UZUNLUK",$C344="TUTAR_NEGATIF",$C344="DONEM_EKSIK"),$C344,"TANIMSIZ"))</f>
        <v/>
      </c>
      <c r="G344" s="16">
        <f>IF($C344="","",1)</f>
        <v/>
      </c>
    </row>
    <row r="345">
      <c r="A345" s="16">
        <f>IF('VERI_A'!$A345="","",ROW()-ROW(tblVeriA[[#Headers]]))</f>
        <v/>
      </c>
      <c r="B345" s="23">
        <f>IF('VERI_A'!$A345="","",'VERI_A'!$A345)</f>
        <v/>
      </c>
      <c r="C345" s="16">
        <f>IF($B345="","",IF(OR('VERI_A'!$B345="",'VERI_A'!$B345=0),"TARIH_BOS",IF(LEN(TRIM('VERI_A'!$C345&amp;""))&lt;&gt;dbe_vknUzunluk,"VKN_UZUNLUK",IF('VERI_A'!$G345&lt;0,"TUTAR_NEGATIF",IF('VERI_A'!$I345="","DONEM_EKSIK",""))))</f>
        <v/>
      </c>
      <c r="D345" s="16">
        <f>IF($C345="","",IF($C345="TARIH_BOS","Belge tarihi zorunlu",IF($C345="VKN_UZUNLUK","VKN 10 hane olmalı",IF($C345="TUTAR_NEGATIF","Toplam negatif olamaz",IF($C345="DONEM_EKSIK","Dönem zorunlu","Elle incele"))))</f>
        <v/>
      </c>
      <c r="E345" s="16">
        <f>IF($C345="","",IF(OR($C345="TUTAR_NEGATIF",$C345="TARIH_BOS"),"YUKSEK","ORTA"))</f>
        <v/>
      </c>
      <c r="F345" s="16">
        <f>IF($C345="","",IF(OR($C345="TARIH_BOS",$C345="VKN_UZUNLUK",$C345="TUTAR_NEGATIF",$C345="DONEM_EKSIK"),$C345,"TANIMSIZ"))</f>
        <v/>
      </c>
      <c r="G345" s="16">
        <f>IF($C345="","",1)</f>
        <v/>
      </c>
    </row>
    <row r="346">
      <c r="A346" s="16">
        <f>IF('VERI_A'!$A346="","",ROW()-ROW(tblVeriA[[#Headers]]))</f>
        <v/>
      </c>
      <c r="B346" s="23">
        <f>IF('VERI_A'!$A346="","",'VERI_A'!$A346)</f>
        <v/>
      </c>
      <c r="C346" s="16">
        <f>IF($B346="","",IF(OR('VERI_A'!$B346="",'VERI_A'!$B346=0),"TARIH_BOS",IF(LEN(TRIM('VERI_A'!$C346&amp;""))&lt;&gt;dbe_vknUzunluk,"VKN_UZUNLUK",IF('VERI_A'!$G346&lt;0,"TUTAR_NEGATIF",IF('VERI_A'!$I346="","DONEM_EKSIK",""))))</f>
        <v/>
      </c>
      <c r="D346" s="16">
        <f>IF($C346="","",IF($C346="TARIH_BOS","Belge tarihi zorunlu",IF($C346="VKN_UZUNLUK","VKN 10 hane olmalı",IF($C346="TUTAR_NEGATIF","Toplam negatif olamaz",IF($C346="DONEM_EKSIK","Dönem zorunlu","Elle incele"))))</f>
        <v/>
      </c>
      <c r="E346" s="16">
        <f>IF($C346="","",IF(OR($C346="TUTAR_NEGATIF",$C346="TARIH_BOS"),"YUKSEK","ORTA"))</f>
        <v/>
      </c>
      <c r="F346" s="16">
        <f>IF($C346="","",IF(OR($C346="TARIH_BOS",$C346="VKN_UZUNLUK",$C346="TUTAR_NEGATIF",$C346="DONEM_EKSIK"),$C346,"TANIMSIZ"))</f>
        <v/>
      </c>
      <c r="G346" s="16">
        <f>IF($C346="","",1)</f>
        <v/>
      </c>
    </row>
    <row r="347">
      <c r="A347" s="16">
        <f>IF('VERI_A'!$A347="","",ROW()-ROW(tblVeriA[[#Headers]]))</f>
        <v/>
      </c>
      <c r="B347" s="23">
        <f>IF('VERI_A'!$A347="","",'VERI_A'!$A347)</f>
        <v/>
      </c>
      <c r="C347" s="16">
        <f>IF($B347="","",IF(OR('VERI_A'!$B347="",'VERI_A'!$B347=0),"TARIH_BOS",IF(LEN(TRIM('VERI_A'!$C347&amp;""))&lt;&gt;dbe_vknUzunluk,"VKN_UZUNLUK",IF('VERI_A'!$G347&lt;0,"TUTAR_NEGATIF",IF('VERI_A'!$I347="","DONEM_EKSIK",""))))</f>
        <v/>
      </c>
      <c r="D347" s="16">
        <f>IF($C347="","",IF($C347="TARIH_BOS","Belge tarihi zorunlu",IF($C347="VKN_UZUNLUK","VKN 10 hane olmalı",IF($C347="TUTAR_NEGATIF","Toplam negatif olamaz",IF($C347="DONEM_EKSIK","Dönem zorunlu","Elle incele"))))</f>
        <v/>
      </c>
      <c r="E347" s="16">
        <f>IF($C347="","",IF(OR($C347="TUTAR_NEGATIF",$C347="TARIH_BOS"),"YUKSEK","ORTA"))</f>
        <v/>
      </c>
      <c r="F347" s="16">
        <f>IF($C347="","",IF(OR($C347="TARIH_BOS",$C347="VKN_UZUNLUK",$C347="TUTAR_NEGATIF",$C347="DONEM_EKSIK"),$C347,"TANIMSIZ"))</f>
        <v/>
      </c>
      <c r="G347" s="16">
        <f>IF($C347="","",1)</f>
        <v/>
      </c>
    </row>
    <row r="348">
      <c r="A348" s="16">
        <f>IF('VERI_A'!$A348="","",ROW()-ROW(tblVeriA[[#Headers]]))</f>
        <v/>
      </c>
      <c r="B348" s="23">
        <f>IF('VERI_A'!$A348="","",'VERI_A'!$A348)</f>
        <v/>
      </c>
      <c r="C348" s="16">
        <f>IF($B348="","",IF(OR('VERI_A'!$B348="",'VERI_A'!$B348=0),"TARIH_BOS",IF(LEN(TRIM('VERI_A'!$C348&amp;""))&lt;&gt;dbe_vknUzunluk,"VKN_UZUNLUK",IF('VERI_A'!$G348&lt;0,"TUTAR_NEGATIF",IF('VERI_A'!$I348="","DONEM_EKSIK",""))))</f>
        <v/>
      </c>
      <c r="D348" s="16">
        <f>IF($C348="","",IF($C348="TARIH_BOS","Belge tarihi zorunlu",IF($C348="VKN_UZUNLUK","VKN 10 hane olmalı",IF($C348="TUTAR_NEGATIF","Toplam negatif olamaz",IF($C348="DONEM_EKSIK","Dönem zorunlu","Elle incele"))))</f>
        <v/>
      </c>
      <c r="E348" s="16">
        <f>IF($C348="","",IF(OR($C348="TUTAR_NEGATIF",$C348="TARIH_BOS"),"YUKSEK","ORTA"))</f>
        <v/>
      </c>
      <c r="F348" s="16">
        <f>IF($C348="","",IF(OR($C348="TARIH_BOS",$C348="VKN_UZUNLUK",$C348="TUTAR_NEGATIF",$C348="DONEM_EKSIK"),$C348,"TANIMSIZ"))</f>
        <v/>
      </c>
      <c r="G348" s="16">
        <f>IF($C348="","",1)</f>
        <v/>
      </c>
    </row>
    <row r="349">
      <c r="A349" s="16">
        <f>IF('VERI_A'!$A349="","",ROW()-ROW(tblVeriA[[#Headers]]))</f>
        <v/>
      </c>
      <c r="B349" s="23">
        <f>IF('VERI_A'!$A349="","",'VERI_A'!$A349)</f>
        <v/>
      </c>
      <c r="C349" s="16">
        <f>IF($B349="","",IF(OR('VERI_A'!$B349="",'VERI_A'!$B349=0),"TARIH_BOS",IF(LEN(TRIM('VERI_A'!$C349&amp;""))&lt;&gt;dbe_vknUzunluk,"VKN_UZUNLUK",IF('VERI_A'!$G349&lt;0,"TUTAR_NEGATIF",IF('VERI_A'!$I349="","DONEM_EKSIK",""))))</f>
        <v/>
      </c>
      <c r="D349" s="16">
        <f>IF($C349="","",IF($C349="TARIH_BOS","Belge tarihi zorunlu",IF($C349="VKN_UZUNLUK","VKN 10 hane olmalı",IF($C349="TUTAR_NEGATIF","Toplam negatif olamaz",IF($C349="DONEM_EKSIK","Dönem zorunlu","Elle incele"))))</f>
        <v/>
      </c>
      <c r="E349" s="16">
        <f>IF($C349="","",IF(OR($C349="TUTAR_NEGATIF",$C349="TARIH_BOS"),"YUKSEK","ORTA"))</f>
        <v/>
      </c>
      <c r="F349" s="16">
        <f>IF($C349="","",IF(OR($C349="TARIH_BOS",$C349="VKN_UZUNLUK",$C349="TUTAR_NEGATIF",$C349="DONEM_EKSIK"),$C349,"TANIMSIZ"))</f>
        <v/>
      </c>
      <c r="G349" s="16">
        <f>IF($C349="","",1)</f>
        <v/>
      </c>
    </row>
    <row r="350">
      <c r="A350" s="16">
        <f>IF('VERI_A'!$A350="","",ROW()-ROW(tblVeriA[[#Headers]]))</f>
        <v/>
      </c>
      <c r="B350" s="23">
        <f>IF('VERI_A'!$A350="","",'VERI_A'!$A350)</f>
        <v/>
      </c>
      <c r="C350" s="16">
        <f>IF($B350="","",IF(OR('VERI_A'!$B350="",'VERI_A'!$B350=0),"TARIH_BOS",IF(LEN(TRIM('VERI_A'!$C350&amp;""))&lt;&gt;dbe_vknUzunluk,"VKN_UZUNLUK",IF('VERI_A'!$G350&lt;0,"TUTAR_NEGATIF",IF('VERI_A'!$I350="","DONEM_EKSIK",""))))</f>
        <v/>
      </c>
      <c r="D350" s="16">
        <f>IF($C350="","",IF($C350="TARIH_BOS","Belge tarihi zorunlu",IF($C350="VKN_UZUNLUK","VKN 10 hane olmalı",IF($C350="TUTAR_NEGATIF","Toplam negatif olamaz",IF($C350="DONEM_EKSIK","Dönem zorunlu","Elle incele"))))</f>
        <v/>
      </c>
      <c r="E350" s="16">
        <f>IF($C350="","",IF(OR($C350="TUTAR_NEGATIF",$C350="TARIH_BOS"),"YUKSEK","ORTA"))</f>
        <v/>
      </c>
      <c r="F350" s="16">
        <f>IF($C350="","",IF(OR($C350="TARIH_BOS",$C350="VKN_UZUNLUK",$C350="TUTAR_NEGATIF",$C350="DONEM_EKSIK"),$C350,"TANIMSIZ"))</f>
        <v/>
      </c>
      <c r="G350" s="16">
        <f>IF($C350="","",1)</f>
        <v/>
      </c>
    </row>
    <row r="351">
      <c r="A351" s="16">
        <f>IF('VERI_A'!$A351="","",ROW()-ROW(tblVeriA[[#Headers]]))</f>
        <v/>
      </c>
      <c r="B351" s="23">
        <f>IF('VERI_A'!$A351="","",'VERI_A'!$A351)</f>
        <v/>
      </c>
      <c r="C351" s="16">
        <f>IF($B351="","",IF(OR('VERI_A'!$B351="",'VERI_A'!$B351=0),"TARIH_BOS",IF(LEN(TRIM('VERI_A'!$C351&amp;""))&lt;&gt;dbe_vknUzunluk,"VKN_UZUNLUK",IF('VERI_A'!$G351&lt;0,"TUTAR_NEGATIF",IF('VERI_A'!$I351="","DONEM_EKSIK",""))))</f>
        <v/>
      </c>
      <c r="D351" s="16">
        <f>IF($C351="","",IF($C351="TARIH_BOS","Belge tarihi zorunlu",IF($C351="VKN_UZUNLUK","VKN 10 hane olmalı",IF($C351="TUTAR_NEGATIF","Toplam negatif olamaz",IF($C351="DONEM_EKSIK","Dönem zorunlu","Elle incele"))))</f>
        <v/>
      </c>
      <c r="E351" s="16">
        <f>IF($C351="","",IF(OR($C351="TUTAR_NEGATIF",$C351="TARIH_BOS"),"YUKSEK","ORTA"))</f>
        <v/>
      </c>
      <c r="F351" s="16">
        <f>IF($C351="","",IF(OR($C351="TARIH_BOS",$C351="VKN_UZUNLUK",$C351="TUTAR_NEGATIF",$C351="DONEM_EKSIK"),$C351,"TANIMSIZ"))</f>
        <v/>
      </c>
      <c r="G351" s="16">
        <f>IF($C351="","",1)</f>
        <v/>
      </c>
    </row>
    <row r="352">
      <c r="A352" s="16">
        <f>IF('VERI_A'!$A352="","",ROW()-ROW(tblVeriA[[#Headers]]))</f>
        <v/>
      </c>
      <c r="B352" s="23">
        <f>IF('VERI_A'!$A352="","",'VERI_A'!$A352)</f>
        <v/>
      </c>
      <c r="C352" s="16">
        <f>IF($B352="","",IF(OR('VERI_A'!$B352="",'VERI_A'!$B352=0),"TARIH_BOS",IF(LEN(TRIM('VERI_A'!$C352&amp;""))&lt;&gt;dbe_vknUzunluk,"VKN_UZUNLUK",IF('VERI_A'!$G352&lt;0,"TUTAR_NEGATIF",IF('VERI_A'!$I352="","DONEM_EKSIK",""))))</f>
        <v/>
      </c>
      <c r="D352" s="16">
        <f>IF($C352="","",IF($C352="TARIH_BOS","Belge tarihi zorunlu",IF($C352="VKN_UZUNLUK","VKN 10 hane olmalı",IF($C352="TUTAR_NEGATIF","Toplam negatif olamaz",IF($C352="DONEM_EKSIK","Dönem zorunlu","Elle incele"))))</f>
        <v/>
      </c>
      <c r="E352" s="16">
        <f>IF($C352="","",IF(OR($C352="TUTAR_NEGATIF",$C352="TARIH_BOS"),"YUKSEK","ORTA"))</f>
        <v/>
      </c>
      <c r="F352" s="16">
        <f>IF($C352="","",IF(OR($C352="TARIH_BOS",$C352="VKN_UZUNLUK",$C352="TUTAR_NEGATIF",$C352="DONEM_EKSIK"),$C352,"TANIMSIZ"))</f>
        <v/>
      </c>
      <c r="G352" s="16">
        <f>IF($C352="","",1)</f>
        <v/>
      </c>
    </row>
    <row r="353">
      <c r="A353" s="16">
        <f>IF('VERI_A'!$A353="","",ROW()-ROW(tblVeriA[[#Headers]]))</f>
        <v/>
      </c>
      <c r="B353" s="23">
        <f>IF('VERI_A'!$A353="","",'VERI_A'!$A353)</f>
        <v/>
      </c>
      <c r="C353" s="16">
        <f>IF($B353="","",IF(OR('VERI_A'!$B353="",'VERI_A'!$B353=0),"TARIH_BOS",IF(LEN(TRIM('VERI_A'!$C353&amp;""))&lt;&gt;dbe_vknUzunluk,"VKN_UZUNLUK",IF('VERI_A'!$G353&lt;0,"TUTAR_NEGATIF",IF('VERI_A'!$I353="","DONEM_EKSIK",""))))</f>
        <v/>
      </c>
      <c r="D353" s="16">
        <f>IF($C353="","",IF($C353="TARIH_BOS","Belge tarihi zorunlu",IF($C353="VKN_UZUNLUK","VKN 10 hane olmalı",IF($C353="TUTAR_NEGATIF","Toplam negatif olamaz",IF($C353="DONEM_EKSIK","Dönem zorunlu","Elle incele"))))</f>
        <v/>
      </c>
      <c r="E353" s="16">
        <f>IF($C353="","",IF(OR($C353="TUTAR_NEGATIF",$C353="TARIH_BOS"),"YUKSEK","ORTA"))</f>
        <v/>
      </c>
      <c r="F353" s="16">
        <f>IF($C353="","",IF(OR($C353="TARIH_BOS",$C353="VKN_UZUNLUK",$C353="TUTAR_NEGATIF",$C353="DONEM_EKSIK"),$C353,"TANIMSIZ"))</f>
        <v/>
      </c>
      <c r="G353" s="16">
        <f>IF($C353="","",1)</f>
        <v/>
      </c>
    </row>
    <row r="354">
      <c r="A354" s="16">
        <f>IF('VERI_A'!$A354="","",ROW()-ROW(tblVeriA[[#Headers]]))</f>
        <v/>
      </c>
      <c r="B354" s="23">
        <f>IF('VERI_A'!$A354="","",'VERI_A'!$A354)</f>
        <v/>
      </c>
      <c r="C354" s="16">
        <f>IF($B354="","",IF(OR('VERI_A'!$B354="",'VERI_A'!$B354=0),"TARIH_BOS",IF(LEN(TRIM('VERI_A'!$C354&amp;""))&lt;&gt;dbe_vknUzunluk,"VKN_UZUNLUK",IF('VERI_A'!$G354&lt;0,"TUTAR_NEGATIF",IF('VERI_A'!$I354="","DONEM_EKSIK",""))))</f>
        <v/>
      </c>
      <c r="D354" s="16">
        <f>IF($C354="","",IF($C354="TARIH_BOS","Belge tarihi zorunlu",IF($C354="VKN_UZUNLUK","VKN 10 hane olmalı",IF($C354="TUTAR_NEGATIF","Toplam negatif olamaz",IF($C354="DONEM_EKSIK","Dönem zorunlu","Elle incele"))))</f>
        <v/>
      </c>
      <c r="E354" s="16">
        <f>IF($C354="","",IF(OR($C354="TUTAR_NEGATIF",$C354="TARIH_BOS"),"YUKSEK","ORTA"))</f>
        <v/>
      </c>
      <c r="F354" s="16">
        <f>IF($C354="","",IF(OR($C354="TARIH_BOS",$C354="VKN_UZUNLUK",$C354="TUTAR_NEGATIF",$C354="DONEM_EKSIK"),$C354,"TANIMSIZ"))</f>
        <v/>
      </c>
      <c r="G354" s="16">
        <f>IF($C354="","",1)</f>
        <v/>
      </c>
    </row>
    <row r="355">
      <c r="A355" s="16">
        <f>IF('VERI_A'!$A355="","",ROW()-ROW(tblVeriA[[#Headers]]))</f>
        <v/>
      </c>
      <c r="B355" s="23">
        <f>IF('VERI_A'!$A355="","",'VERI_A'!$A355)</f>
        <v/>
      </c>
      <c r="C355" s="16">
        <f>IF($B355="","",IF(OR('VERI_A'!$B355="",'VERI_A'!$B355=0),"TARIH_BOS",IF(LEN(TRIM('VERI_A'!$C355&amp;""))&lt;&gt;dbe_vknUzunluk,"VKN_UZUNLUK",IF('VERI_A'!$G355&lt;0,"TUTAR_NEGATIF",IF('VERI_A'!$I355="","DONEM_EKSIK",""))))</f>
        <v/>
      </c>
      <c r="D355" s="16">
        <f>IF($C355="","",IF($C355="TARIH_BOS","Belge tarihi zorunlu",IF($C355="VKN_UZUNLUK","VKN 10 hane olmalı",IF($C355="TUTAR_NEGATIF","Toplam negatif olamaz",IF($C355="DONEM_EKSIK","Dönem zorunlu","Elle incele"))))</f>
        <v/>
      </c>
      <c r="E355" s="16">
        <f>IF($C355="","",IF(OR($C355="TUTAR_NEGATIF",$C355="TARIH_BOS"),"YUKSEK","ORTA"))</f>
        <v/>
      </c>
      <c r="F355" s="16">
        <f>IF($C355="","",IF(OR($C355="TARIH_BOS",$C355="VKN_UZUNLUK",$C355="TUTAR_NEGATIF",$C355="DONEM_EKSIK"),$C355,"TANIMSIZ"))</f>
        <v/>
      </c>
      <c r="G355" s="16">
        <f>IF($C355="","",1)</f>
        <v/>
      </c>
    </row>
    <row r="356">
      <c r="A356" s="16">
        <f>IF('VERI_A'!$A356="","",ROW()-ROW(tblVeriA[[#Headers]]))</f>
        <v/>
      </c>
      <c r="B356" s="23">
        <f>IF('VERI_A'!$A356="","",'VERI_A'!$A356)</f>
        <v/>
      </c>
      <c r="C356" s="16">
        <f>IF($B356="","",IF(OR('VERI_A'!$B356="",'VERI_A'!$B356=0),"TARIH_BOS",IF(LEN(TRIM('VERI_A'!$C356&amp;""))&lt;&gt;dbe_vknUzunluk,"VKN_UZUNLUK",IF('VERI_A'!$G356&lt;0,"TUTAR_NEGATIF",IF('VERI_A'!$I356="","DONEM_EKSIK",""))))</f>
        <v/>
      </c>
      <c r="D356" s="16">
        <f>IF($C356="","",IF($C356="TARIH_BOS","Belge tarihi zorunlu",IF($C356="VKN_UZUNLUK","VKN 10 hane olmalı",IF($C356="TUTAR_NEGATIF","Toplam negatif olamaz",IF($C356="DONEM_EKSIK","Dönem zorunlu","Elle incele"))))</f>
        <v/>
      </c>
      <c r="E356" s="16">
        <f>IF($C356="","",IF(OR($C356="TUTAR_NEGATIF",$C356="TARIH_BOS"),"YUKSEK","ORTA"))</f>
        <v/>
      </c>
      <c r="F356" s="16">
        <f>IF($C356="","",IF(OR($C356="TARIH_BOS",$C356="VKN_UZUNLUK",$C356="TUTAR_NEGATIF",$C356="DONEM_EKSIK"),$C356,"TANIMSIZ"))</f>
        <v/>
      </c>
      <c r="G356" s="16">
        <f>IF($C356="","",1)</f>
        <v/>
      </c>
    </row>
    <row r="357">
      <c r="A357" s="16">
        <f>IF('VERI_A'!$A357="","",ROW()-ROW(tblVeriA[[#Headers]]))</f>
        <v/>
      </c>
      <c r="B357" s="23">
        <f>IF('VERI_A'!$A357="","",'VERI_A'!$A357)</f>
        <v/>
      </c>
      <c r="C357" s="16">
        <f>IF($B357="","",IF(OR('VERI_A'!$B357="",'VERI_A'!$B357=0),"TARIH_BOS",IF(LEN(TRIM('VERI_A'!$C357&amp;""))&lt;&gt;dbe_vknUzunluk,"VKN_UZUNLUK",IF('VERI_A'!$G357&lt;0,"TUTAR_NEGATIF",IF('VERI_A'!$I357="","DONEM_EKSIK",""))))</f>
        <v/>
      </c>
      <c r="D357" s="16">
        <f>IF($C357="","",IF($C357="TARIH_BOS","Belge tarihi zorunlu",IF($C357="VKN_UZUNLUK","VKN 10 hane olmalı",IF($C357="TUTAR_NEGATIF","Toplam negatif olamaz",IF($C357="DONEM_EKSIK","Dönem zorunlu","Elle incele"))))</f>
        <v/>
      </c>
      <c r="E357" s="16">
        <f>IF($C357="","",IF(OR($C357="TUTAR_NEGATIF",$C357="TARIH_BOS"),"YUKSEK","ORTA"))</f>
        <v/>
      </c>
      <c r="F357" s="16">
        <f>IF($C357="","",IF(OR($C357="TARIH_BOS",$C357="VKN_UZUNLUK",$C357="TUTAR_NEGATIF",$C357="DONEM_EKSIK"),$C357,"TANIMSIZ"))</f>
        <v/>
      </c>
      <c r="G357" s="16">
        <f>IF($C357="","",1)</f>
        <v/>
      </c>
    </row>
    <row r="358">
      <c r="A358" s="16">
        <f>IF('VERI_A'!$A358="","",ROW()-ROW(tblVeriA[[#Headers]]))</f>
        <v/>
      </c>
      <c r="B358" s="23">
        <f>IF('VERI_A'!$A358="","",'VERI_A'!$A358)</f>
        <v/>
      </c>
      <c r="C358" s="16">
        <f>IF($B358="","",IF(OR('VERI_A'!$B358="",'VERI_A'!$B358=0),"TARIH_BOS",IF(LEN(TRIM('VERI_A'!$C358&amp;""))&lt;&gt;dbe_vknUzunluk,"VKN_UZUNLUK",IF('VERI_A'!$G358&lt;0,"TUTAR_NEGATIF",IF('VERI_A'!$I358="","DONEM_EKSIK",""))))</f>
        <v/>
      </c>
      <c r="D358" s="16">
        <f>IF($C358="","",IF($C358="TARIH_BOS","Belge tarihi zorunlu",IF($C358="VKN_UZUNLUK","VKN 10 hane olmalı",IF($C358="TUTAR_NEGATIF","Toplam negatif olamaz",IF($C358="DONEM_EKSIK","Dönem zorunlu","Elle incele"))))</f>
        <v/>
      </c>
      <c r="E358" s="16">
        <f>IF($C358="","",IF(OR($C358="TUTAR_NEGATIF",$C358="TARIH_BOS"),"YUKSEK","ORTA"))</f>
        <v/>
      </c>
      <c r="F358" s="16">
        <f>IF($C358="","",IF(OR($C358="TARIH_BOS",$C358="VKN_UZUNLUK",$C358="TUTAR_NEGATIF",$C358="DONEM_EKSIK"),$C358,"TANIMSIZ"))</f>
        <v/>
      </c>
      <c r="G358" s="16">
        <f>IF($C358="","",1)</f>
        <v/>
      </c>
    </row>
    <row r="359">
      <c r="A359" s="16">
        <f>IF('VERI_A'!$A359="","",ROW()-ROW(tblVeriA[[#Headers]]))</f>
        <v/>
      </c>
      <c r="B359" s="23">
        <f>IF('VERI_A'!$A359="","",'VERI_A'!$A359)</f>
        <v/>
      </c>
      <c r="C359" s="16">
        <f>IF($B359="","",IF(OR('VERI_A'!$B359="",'VERI_A'!$B359=0),"TARIH_BOS",IF(LEN(TRIM('VERI_A'!$C359&amp;""))&lt;&gt;dbe_vknUzunluk,"VKN_UZUNLUK",IF('VERI_A'!$G359&lt;0,"TUTAR_NEGATIF",IF('VERI_A'!$I359="","DONEM_EKSIK",""))))</f>
        <v/>
      </c>
      <c r="D359" s="16">
        <f>IF($C359="","",IF($C359="TARIH_BOS","Belge tarihi zorunlu",IF($C359="VKN_UZUNLUK","VKN 10 hane olmalı",IF($C359="TUTAR_NEGATIF","Toplam negatif olamaz",IF($C359="DONEM_EKSIK","Dönem zorunlu","Elle incele"))))</f>
        <v/>
      </c>
      <c r="E359" s="16">
        <f>IF($C359="","",IF(OR($C359="TUTAR_NEGATIF",$C359="TARIH_BOS"),"YUKSEK","ORTA"))</f>
        <v/>
      </c>
      <c r="F359" s="16">
        <f>IF($C359="","",IF(OR($C359="TARIH_BOS",$C359="VKN_UZUNLUK",$C359="TUTAR_NEGATIF",$C359="DONEM_EKSIK"),$C359,"TANIMSIZ"))</f>
        <v/>
      </c>
      <c r="G359" s="16">
        <f>IF($C359="","",1)</f>
        <v/>
      </c>
    </row>
    <row r="360">
      <c r="A360" s="16">
        <f>IF('VERI_A'!$A360="","",ROW()-ROW(tblVeriA[[#Headers]]))</f>
        <v/>
      </c>
      <c r="B360" s="23">
        <f>IF('VERI_A'!$A360="","",'VERI_A'!$A360)</f>
        <v/>
      </c>
      <c r="C360" s="16">
        <f>IF($B360="","",IF(OR('VERI_A'!$B360="",'VERI_A'!$B360=0),"TARIH_BOS",IF(LEN(TRIM('VERI_A'!$C360&amp;""))&lt;&gt;dbe_vknUzunluk,"VKN_UZUNLUK",IF('VERI_A'!$G360&lt;0,"TUTAR_NEGATIF",IF('VERI_A'!$I360="","DONEM_EKSIK",""))))</f>
        <v/>
      </c>
      <c r="D360" s="16">
        <f>IF($C360="","",IF($C360="TARIH_BOS","Belge tarihi zorunlu",IF($C360="VKN_UZUNLUK","VKN 10 hane olmalı",IF($C360="TUTAR_NEGATIF","Toplam negatif olamaz",IF($C360="DONEM_EKSIK","Dönem zorunlu","Elle incele"))))</f>
        <v/>
      </c>
      <c r="E360" s="16">
        <f>IF($C360="","",IF(OR($C360="TUTAR_NEGATIF",$C360="TARIH_BOS"),"YUKSEK","ORTA"))</f>
        <v/>
      </c>
      <c r="F360" s="16">
        <f>IF($C360="","",IF(OR($C360="TARIH_BOS",$C360="VKN_UZUNLUK",$C360="TUTAR_NEGATIF",$C360="DONEM_EKSIK"),$C360,"TANIMSIZ"))</f>
        <v/>
      </c>
      <c r="G360" s="16">
        <f>IF($C360="","",1)</f>
        <v/>
      </c>
    </row>
    <row r="361">
      <c r="A361" s="16">
        <f>IF('VERI_A'!$A361="","",ROW()-ROW(tblVeriA[[#Headers]]))</f>
        <v/>
      </c>
      <c r="B361" s="23">
        <f>IF('VERI_A'!$A361="","",'VERI_A'!$A361)</f>
        <v/>
      </c>
      <c r="C361" s="16">
        <f>IF($B361="","",IF(OR('VERI_A'!$B361="",'VERI_A'!$B361=0),"TARIH_BOS",IF(LEN(TRIM('VERI_A'!$C361&amp;""))&lt;&gt;dbe_vknUzunluk,"VKN_UZUNLUK",IF('VERI_A'!$G361&lt;0,"TUTAR_NEGATIF",IF('VERI_A'!$I361="","DONEM_EKSIK",""))))</f>
        <v/>
      </c>
      <c r="D361" s="16">
        <f>IF($C361="","",IF($C361="TARIH_BOS","Belge tarihi zorunlu",IF($C361="VKN_UZUNLUK","VKN 10 hane olmalı",IF($C361="TUTAR_NEGATIF","Toplam negatif olamaz",IF($C361="DONEM_EKSIK","Dönem zorunlu","Elle incele"))))</f>
        <v/>
      </c>
      <c r="E361" s="16">
        <f>IF($C361="","",IF(OR($C361="TUTAR_NEGATIF",$C361="TARIH_BOS"),"YUKSEK","ORTA"))</f>
        <v/>
      </c>
      <c r="F361" s="16">
        <f>IF($C361="","",IF(OR($C361="TARIH_BOS",$C361="VKN_UZUNLUK",$C361="TUTAR_NEGATIF",$C361="DONEM_EKSIK"),$C361,"TANIMSIZ"))</f>
        <v/>
      </c>
      <c r="G361" s="16">
        <f>IF($C361="","",1)</f>
        <v/>
      </c>
    </row>
    <row r="362">
      <c r="A362" s="16">
        <f>IF('VERI_A'!$A362="","",ROW()-ROW(tblVeriA[[#Headers]]))</f>
        <v/>
      </c>
      <c r="B362" s="23">
        <f>IF('VERI_A'!$A362="","",'VERI_A'!$A362)</f>
        <v/>
      </c>
      <c r="C362" s="16">
        <f>IF($B362="","",IF(OR('VERI_A'!$B362="",'VERI_A'!$B362=0),"TARIH_BOS",IF(LEN(TRIM('VERI_A'!$C362&amp;""))&lt;&gt;dbe_vknUzunluk,"VKN_UZUNLUK",IF('VERI_A'!$G362&lt;0,"TUTAR_NEGATIF",IF('VERI_A'!$I362="","DONEM_EKSIK",""))))</f>
        <v/>
      </c>
      <c r="D362" s="16">
        <f>IF($C362="","",IF($C362="TARIH_BOS","Belge tarihi zorunlu",IF($C362="VKN_UZUNLUK","VKN 10 hane olmalı",IF($C362="TUTAR_NEGATIF","Toplam negatif olamaz",IF($C362="DONEM_EKSIK","Dönem zorunlu","Elle incele"))))</f>
        <v/>
      </c>
      <c r="E362" s="16">
        <f>IF($C362="","",IF(OR($C362="TUTAR_NEGATIF",$C362="TARIH_BOS"),"YUKSEK","ORTA"))</f>
        <v/>
      </c>
      <c r="F362" s="16">
        <f>IF($C362="","",IF(OR($C362="TARIH_BOS",$C362="VKN_UZUNLUK",$C362="TUTAR_NEGATIF",$C362="DONEM_EKSIK"),$C362,"TANIMSIZ"))</f>
        <v/>
      </c>
      <c r="G362" s="16">
        <f>IF($C362="","",1)</f>
        <v/>
      </c>
    </row>
    <row r="363">
      <c r="A363" s="16">
        <f>IF('VERI_A'!$A363="","",ROW()-ROW(tblVeriA[[#Headers]]))</f>
        <v/>
      </c>
      <c r="B363" s="23">
        <f>IF('VERI_A'!$A363="","",'VERI_A'!$A363)</f>
        <v/>
      </c>
      <c r="C363" s="16">
        <f>IF($B363="","",IF(OR('VERI_A'!$B363="",'VERI_A'!$B363=0),"TARIH_BOS",IF(LEN(TRIM('VERI_A'!$C363&amp;""))&lt;&gt;dbe_vknUzunluk,"VKN_UZUNLUK",IF('VERI_A'!$G363&lt;0,"TUTAR_NEGATIF",IF('VERI_A'!$I363="","DONEM_EKSIK",""))))</f>
        <v/>
      </c>
      <c r="D363" s="16">
        <f>IF($C363="","",IF($C363="TARIH_BOS","Belge tarihi zorunlu",IF($C363="VKN_UZUNLUK","VKN 10 hane olmalı",IF($C363="TUTAR_NEGATIF","Toplam negatif olamaz",IF($C363="DONEM_EKSIK","Dönem zorunlu","Elle incele"))))</f>
        <v/>
      </c>
      <c r="E363" s="16">
        <f>IF($C363="","",IF(OR($C363="TUTAR_NEGATIF",$C363="TARIH_BOS"),"YUKSEK","ORTA"))</f>
        <v/>
      </c>
      <c r="F363" s="16">
        <f>IF($C363="","",IF(OR($C363="TARIH_BOS",$C363="VKN_UZUNLUK",$C363="TUTAR_NEGATIF",$C363="DONEM_EKSIK"),$C363,"TANIMSIZ"))</f>
        <v/>
      </c>
      <c r="G363" s="16">
        <f>IF($C363="","",1)</f>
        <v/>
      </c>
    </row>
    <row r="364">
      <c r="A364" s="16">
        <f>IF('VERI_A'!$A364="","",ROW()-ROW(tblVeriA[[#Headers]]))</f>
        <v/>
      </c>
      <c r="B364" s="23">
        <f>IF('VERI_A'!$A364="","",'VERI_A'!$A364)</f>
        <v/>
      </c>
      <c r="C364" s="16">
        <f>IF($B364="","",IF(OR('VERI_A'!$B364="",'VERI_A'!$B364=0),"TARIH_BOS",IF(LEN(TRIM('VERI_A'!$C364&amp;""))&lt;&gt;dbe_vknUzunluk,"VKN_UZUNLUK",IF('VERI_A'!$G364&lt;0,"TUTAR_NEGATIF",IF('VERI_A'!$I364="","DONEM_EKSIK",""))))</f>
        <v/>
      </c>
      <c r="D364" s="16">
        <f>IF($C364="","",IF($C364="TARIH_BOS","Belge tarihi zorunlu",IF($C364="VKN_UZUNLUK","VKN 10 hane olmalı",IF($C364="TUTAR_NEGATIF","Toplam negatif olamaz",IF($C364="DONEM_EKSIK","Dönem zorunlu","Elle incele"))))</f>
        <v/>
      </c>
      <c r="E364" s="16">
        <f>IF($C364="","",IF(OR($C364="TUTAR_NEGATIF",$C364="TARIH_BOS"),"YUKSEK","ORTA"))</f>
        <v/>
      </c>
      <c r="F364" s="16">
        <f>IF($C364="","",IF(OR($C364="TARIH_BOS",$C364="VKN_UZUNLUK",$C364="TUTAR_NEGATIF",$C364="DONEM_EKSIK"),$C364,"TANIMSIZ"))</f>
        <v/>
      </c>
      <c r="G364" s="16">
        <f>IF($C364="","",1)</f>
        <v/>
      </c>
    </row>
    <row r="365">
      <c r="A365" s="16">
        <f>IF('VERI_A'!$A365="","",ROW()-ROW(tblVeriA[[#Headers]]))</f>
        <v/>
      </c>
      <c r="B365" s="23">
        <f>IF('VERI_A'!$A365="","",'VERI_A'!$A365)</f>
        <v/>
      </c>
      <c r="C365" s="16">
        <f>IF($B365="","",IF(OR('VERI_A'!$B365="",'VERI_A'!$B365=0),"TARIH_BOS",IF(LEN(TRIM('VERI_A'!$C365&amp;""))&lt;&gt;dbe_vknUzunluk,"VKN_UZUNLUK",IF('VERI_A'!$G365&lt;0,"TUTAR_NEGATIF",IF('VERI_A'!$I365="","DONEM_EKSIK",""))))</f>
        <v/>
      </c>
      <c r="D365" s="16">
        <f>IF($C365="","",IF($C365="TARIH_BOS","Belge tarihi zorunlu",IF($C365="VKN_UZUNLUK","VKN 10 hane olmalı",IF($C365="TUTAR_NEGATIF","Toplam negatif olamaz",IF($C365="DONEM_EKSIK","Dönem zorunlu","Elle incele"))))</f>
        <v/>
      </c>
      <c r="E365" s="16">
        <f>IF($C365="","",IF(OR($C365="TUTAR_NEGATIF",$C365="TARIH_BOS"),"YUKSEK","ORTA"))</f>
        <v/>
      </c>
      <c r="F365" s="16">
        <f>IF($C365="","",IF(OR($C365="TARIH_BOS",$C365="VKN_UZUNLUK",$C365="TUTAR_NEGATIF",$C365="DONEM_EKSIK"),$C365,"TANIMSIZ"))</f>
        <v/>
      </c>
      <c r="G365" s="16">
        <f>IF($C365="","",1)</f>
        <v/>
      </c>
    </row>
    <row r="366">
      <c r="A366" s="16">
        <f>IF('VERI_A'!$A366="","",ROW()-ROW(tblVeriA[[#Headers]]))</f>
        <v/>
      </c>
      <c r="B366" s="23">
        <f>IF('VERI_A'!$A366="","",'VERI_A'!$A366)</f>
        <v/>
      </c>
      <c r="C366" s="16">
        <f>IF($B366="","",IF(OR('VERI_A'!$B366="",'VERI_A'!$B366=0),"TARIH_BOS",IF(LEN(TRIM('VERI_A'!$C366&amp;""))&lt;&gt;dbe_vknUzunluk,"VKN_UZUNLUK",IF('VERI_A'!$G366&lt;0,"TUTAR_NEGATIF",IF('VERI_A'!$I366="","DONEM_EKSIK",""))))</f>
        <v/>
      </c>
      <c r="D366" s="16">
        <f>IF($C366="","",IF($C366="TARIH_BOS","Belge tarihi zorunlu",IF($C366="VKN_UZUNLUK","VKN 10 hane olmalı",IF($C366="TUTAR_NEGATIF","Toplam negatif olamaz",IF($C366="DONEM_EKSIK","Dönem zorunlu","Elle incele"))))</f>
        <v/>
      </c>
      <c r="E366" s="16">
        <f>IF($C366="","",IF(OR($C366="TUTAR_NEGATIF",$C366="TARIH_BOS"),"YUKSEK","ORTA"))</f>
        <v/>
      </c>
      <c r="F366" s="16">
        <f>IF($C366="","",IF(OR($C366="TARIH_BOS",$C366="VKN_UZUNLUK",$C366="TUTAR_NEGATIF",$C366="DONEM_EKSIK"),$C366,"TANIMSIZ"))</f>
        <v/>
      </c>
      <c r="G366" s="16">
        <f>IF($C366="","",1)</f>
        <v/>
      </c>
    </row>
    <row r="367">
      <c r="A367" s="16">
        <f>IF('VERI_A'!$A367="","",ROW()-ROW(tblVeriA[[#Headers]]))</f>
        <v/>
      </c>
      <c r="B367" s="23">
        <f>IF('VERI_A'!$A367="","",'VERI_A'!$A367)</f>
        <v/>
      </c>
      <c r="C367" s="16">
        <f>IF($B367="","",IF(OR('VERI_A'!$B367="",'VERI_A'!$B367=0),"TARIH_BOS",IF(LEN(TRIM('VERI_A'!$C367&amp;""))&lt;&gt;dbe_vknUzunluk,"VKN_UZUNLUK",IF('VERI_A'!$G367&lt;0,"TUTAR_NEGATIF",IF('VERI_A'!$I367="","DONEM_EKSIK",""))))</f>
        <v/>
      </c>
      <c r="D367" s="16">
        <f>IF($C367="","",IF($C367="TARIH_BOS","Belge tarihi zorunlu",IF($C367="VKN_UZUNLUK","VKN 10 hane olmalı",IF($C367="TUTAR_NEGATIF","Toplam negatif olamaz",IF($C367="DONEM_EKSIK","Dönem zorunlu","Elle incele"))))</f>
        <v/>
      </c>
      <c r="E367" s="16">
        <f>IF($C367="","",IF(OR($C367="TUTAR_NEGATIF",$C367="TARIH_BOS"),"YUKSEK","ORTA"))</f>
        <v/>
      </c>
      <c r="F367" s="16">
        <f>IF($C367="","",IF(OR($C367="TARIH_BOS",$C367="VKN_UZUNLUK",$C367="TUTAR_NEGATIF",$C367="DONEM_EKSIK"),$C367,"TANIMSIZ"))</f>
        <v/>
      </c>
      <c r="G367" s="16">
        <f>IF($C367="","",1)</f>
        <v/>
      </c>
    </row>
    <row r="368">
      <c r="A368" s="16">
        <f>IF('VERI_A'!$A368="","",ROW()-ROW(tblVeriA[[#Headers]]))</f>
        <v/>
      </c>
      <c r="B368" s="23">
        <f>IF('VERI_A'!$A368="","",'VERI_A'!$A368)</f>
        <v/>
      </c>
      <c r="C368" s="16">
        <f>IF($B368="","",IF(OR('VERI_A'!$B368="",'VERI_A'!$B368=0),"TARIH_BOS",IF(LEN(TRIM('VERI_A'!$C368&amp;""))&lt;&gt;dbe_vknUzunluk,"VKN_UZUNLUK",IF('VERI_A'!$G368&lt;0,"TUTAR_NEGATIF",IF('VERI_A'!$I368="","DONEM_EKSIK",""))))</f>
        <v/>
      </c>
      <c r="D368" s="16">
        <f>IF($C368="","",IF($C368="TARIH_BOS","Belge tarihi zorunlu",IF($C368="VKN_UZUNLUK","VKN 10 hane olmalı",IF($C368="TUTAR_NEGATIF","Toplam negatif olamaz",IF($C368="DONEM_EKSIK","Dönem zorunlu","Elle incele"))))</f>
        <v/>
      </c>
      <c r="E368" s="16">
        <f>IF($C368="","",IF(OR($C368="TUTAR_NEGATIF",$C368="TARIH_BOS"),"YUKSEK","ORTA"))</f>
        <v/>
      </c>
      <c r="F368" s="16">
        <f>IF($C368="","",IF(OR($C368="TARIH_BOS",$C368="VKN_UZUNLUK",$C368="TUTAR_NEGATIF",$C368="DONEM_EKSIK"),$C368,"TANIMSIZ"))</f>
        <v/>
      </c>
      <c r="G368" s="16">
        <f>IF($C368="","",1)</f>
        <v/>
      </c>
    </row>
    <row r="369">
      <c r="A369" s="16">
        <f>IF('VERI_A'!$A369="","",ROW()-ROW(tblVeriA[[#Headers]]))</f>
        <v/>
      </c>
      <c r="B369" s="23">
        <f>IF('VERI_A'!$A369="","",'VERI_A'!$A369)</f>
        <v/>
      </c>
      <c r="C369" s="16">
        <f>IF($B369="","",IF(OR('VERI_A'!$B369="",'VERI_A'!$B369=0),"TARIH_BOS",IF(LEN(TRIM('VERI_A'!$C369&amp;""))&lt;&gt;dbe_vknUzunluk,"VKN_UZUNLUK",IF('VERI_A'!$G369&lt;0,"TUTAR_NEGATIF",IF('VERI_A'!$I369="","DONEM_EKSIK",""))))</f>
        <v/>
      </c>
      <c r="D369" s="16">
        <f>IF($C369="","",IF($C369="TARIH_BOS","Belge tarihi zorunlu",IF($C369="VKN_UZUNLUK","VKN 10 hane olmalı",IF($C369="TUTAR_NEGATIF","Toplam negatif olamaz",IF($C369="DONEM_EKSIK","Dönem zorunlu","Elle incele"))))</f>
        <v/>
      </c>
      <c r="E369" s="16">
        <f>IF($C369="","",IF(OR($C369="TUTAR_NEGATIF",$C369="TARIH_BOS"),"YUKSEK","ORTA"))</f>
        <v/>
      </c>
      <c r="F369" s="16">
        <f>IF($C369="","",IF(OR($C369="TARIH_BOS",$C369="VKN_UZUNLUK",$C369="TUTAR_NEGATIF",$C369="DONEM_EKSIK"),$C369,"TANIMSIZ"))</f>
        <v/>
      </c>
      <c r="G369" s="16">
        <f>IF($C369="","",1)</f>
        <v/>
      </c>
    </row>
    <row r="370">
      <c r="A370" s="16">
        <f>IF('VERI_A'!$A370="","",ROW()-ROW(tblVeriA[[#Headers]]))</f>
        <v/>
      </c>
      <c r="B370" s="23">
        <f>IF('VERI_A'!$A370="","",'VERI_A'!$A370)</f>
        <v/>
      </c>
      <c r="C370" s="16">
        <f>IF($B370="","",IF(OR('VERI_A'!$B370="",'VERI_A'!$B370=0),"TARIH_BOS",IF(LEN(TRIM('VERI_A'!$C370&amp;""))&lt;&gt;dbe_vknUzunluk,"VKN_UZUNLUK",IF('VERI_A'!$G370&lt;0,"TUTAR_NEGATIF",IF('VERI_A'!$I370="","DONEM_EKSIK",""))))</f>
        <v/>
      </c>
      <c r="D370" s="16">
        <f>IF($C370="","",IF($C370="TARIH_BOS","Belge tarihi zorunlu",IF($C370="VKN_UZUNLUK","VKN 10 hane olmalı",IF($C370="TUTAR_NEGATIF","Toplam negatif olamaz",IF($C370="DONEM_EKSIK","Dönem zorunlu","Elle incele"))))</f>
        <v/>
      </c>
      <c r="E370" s="16">
        <f>IF($C370="","",IF(OR($C370="TUTAR_NEGATIF",$C370="TARIH_BOS"),"YUKSEK","ORTA"))</f>
        <v/>
      </c>
      <c r="F370" s="16">
        <f>IF($C370="","",IF(OR($C370="TARIH_BOS",$C370="VKN_UZUNLUK",$C370="TUTAR_NEGATIF",$C370="DONEM_EKSIK"),$C370,"TANIMSIZ"))</f>
        <v/>
      </c>
      <c r="G370" s="16">
        <f>IF($C370="","",1)</f>
        <v/>
      </c>
    </row>
    <row r="371">
      <c r="A371" s="16">
        <f>IF('VERI_A'!$A371="","",ROW()-ROW(tblVeriA[[#Headers]]))</f>
        <v/>
      </c>
      <c r="B371" s="23">
        <f>IF('VERI_A'!$A371="","",'VERI_A'!$A371)</f>
        <v/>
      </c>
      <c r="C371" s="16">
        <f>IF($B371="","",IF(OR('VERI_A'!$B371="",'VERI_A'!$B371=0),"TARIH_BOS",IF(LEN(TRIM('VERI_A'!$C371&amp;""))&lt;&gt;dbe_vknUzunluk,"VKN_UZUNLUK",IF('VERI_A'!$G371&lt;0,"TUTAR_NEGATIF",IF('VERI_A'!$I371="","DONEM_EKSIK",""))))</f>
        <v/>
      </c>
      <c r="D371" s="16">
        <f>IF($C371="","",IF($C371="TARIH_BOS","Belge tarihi zorunlu",IF($C371="VKN_UZUNLUK","VKN 10 hane olmalı",IF($C371="TUTAR_NEGATIF","Toplam negatif olamaz",IF($C371="DONEM_EKSIK","Dönem zorunlu","Elle incele"))))</f>
        <v/>
      </c>
      <c r="E371" s="16">
        <f>IF($C371="","",IF(OR($C371="TUTAR_NEGATIF",$C371="TARIH_BOS"),"YUKSEK","ORTA"))</f>
        <v/>
      </c>
      <c r="F371" s="16">
        <f>IF($C371="","",IF(OR($C371="TARIH_BOS",$C371="VKN_UZUNLUK",$C371="TUTAR_NEGATIF",$C371="DONEM_EKSIK"),$C371,"TANIMSIZ"))</f>
        <v/>
      </c>
      <c r="G371" s="16">
        <f>IF($C371="","",1)</f>
        <v/>
      </c>
    </row>
    <row r="372">
      <c r="A372" s="16">
        <f>IF('VERI_A'!$A372="","",ROW()-ROW(tblVeriA[[#Headers]]))</f>
        <v/>
      </c>
      <c r="B372" s="23">
        <f>IF('VERI_A'!$A372="","",'VERI_A'!$A372)</f>
        <v/>
      </c>
      <c r="C372" s="16">
        <f>IF($B372="","",IF(OR('VERI_A'!$B372="",'VERI_A'!$B372=0),"TARIH_BOS",IF(LEN(TRIM('VERI_A'!$C372&amp;""))&lt;&gt;dbe_vknUzunluk,"VKN_UZUNLUK",IF('VERI_A'!$G372&lt;0,"TUTAR_NEGATIF",IF('VERI_A'!$I372="","DONEM_EKSIK",""))))</f>
        <v/>
      </c>
      <c r="D372" s="16">
        <f>IF($C372="","",IF($C372="TARIH_BOS","Belge tarihi zorunlu",IF($C372="VKN_UZUNLUK","VKN 10 hane olmalı",IF($C372="TUTAR_NEGATIF","Toplam negatif olamaz",IF($C372="DONEM_EKSIK","Dönem zorunlu","Elle incele"))))</f>
        <v/>
      </c>
      <c r="E372" s="16">
        <f>IF($C372="","",IF(OR($C372="TUTAR_NEGATIF",$C372="TARIH_BOS"),"YUKSEK","ORTA"))</f>
        <v/>
      </c>
      <c r="F372" s="16">
        <f>IF($C372="","",IF(OR($C372="TARIH_BOS",$C372="VKN_UZUNLUK",$C372="TUTAR_NEGATIF",$C372="DONEM_EKSIK"),$C372,"TANIMSIZ"))</f>
        <v/>
      </c>
      <c r="G372" s="16">
        <f>IF($C372="","",1)</f>
        <v/>
      </c>
    </row>
    <row r="373">
      <c r="A373" s="16">
        <f>IF('VERI_A'!$A373="","",ROW()-ROW(tblVeriA[[#Headers]]))</f>
        <v/>
      </c>
      <c r="B373" s="23">
        <f>IF('VERI_A'!$A373="","",'VERI_A'!$A373)</f>
        <v/>
      </c>
      <c r="C373" s="16">
        <f>IF($B373="","",IF(OR('VERI_A'!$B373="",'VERI_A'!$B373=0),"TARIH_BOS",IF(LEN(TRIM('VERI_A'!$C373&amp;""))&lt;&gt;dbe_vknUzunluk,"VKN_UZUNLUK",IF('VERI_A'!$G373&lt;0,"TUTAR_NEGATIF",IF('VERI_A'!$I373="","DONEM_EKSIK",""))))</f>
        <v/>
      </c>
      <c r="D373" s="16">
        <f>IF($C373="","",IF($C373="TARIH_BOS","Belge tarihi zorunlu",IF($C373="VKN_UZUNLUK","VKN 10 hane olmalı",IF($C373="TUTAR_NEGATIF","Toplam negatif olamaz",IF($C373="DONEM_EKSIK","Dönem zorunlu","Elle incele"))))</f>
        <v/>
      </c>
      <c r="E373" s="16">
        <f>IF($C373="","",IF(OR($C373="TUTAR_NEGATIF",$C373="TARIH_BOS"),"YUKSEK","ORTA"))</f>
        <v/>
      </c>
      <c r="F373" s="16">
        <f>IF($C373="","",IF(OR($C373="TARIH_BOS",$C373="VKN_UZUNLUK",$C373="TUTAR_NEGATIF",$C373="DONEM_EKSIK"),$C373,"TANIMSIZ"))</f>
        <v/>
      </c>
      <c r="G373" s="16">
        <f>IF($C373="","",1)</f>
        <v/>
      </c>
    </row>
    <row r="374">
      <c r="A374" s="16">
        <f>IF('VERI_A'!$A374="","",ROW()-ROW(tblVeriA[[#Headers]]))</f>
        <v/>
      </c>
      <c r="B374" s="23">
        <f>IF('VERI_A'!$A374="","",'VERI_A'!$A374)</f>
        <v/>
      </c>
      <c r="C374" s="16">
        <f>IF($B374="","",IF(OR('VERI_A'!$B374="",'VERI_A'!$B374=0),"TARIH_BOS",IF(LEN(TRIM('VERI_A'!$C374&amp;""))&lt;&gt;dbe_vknUzunluk,"VKN_UZUNLUK",IF('VERI_A'!$G374&lt;0,"TUTAR_NEGATIF",IF('VERI_A'!$I374="","DONEM_EKSIK",""))))</f>
        <v/>
      </c>
      <c r="D374" s="16">
        <f>IF($C374="","",IF($C374="TARIH_BOS","Belge tarihi zorunlu",IF($C374="VKN_UZUNLUK","VKN 10 hane olmalı",IF($C374="TUTAR_NEGATIF","Toplam negatif olamaz",IF($C374="DONEM_EKSIK","Dönem zorunlu","Elle incele"))))</f>
        <v/>
      </c>
      <c r="E374" s="16">
        <f>IF($C374="","",IF(OR($C374="TUTAR_NEGATIF",$C374="TARIH_BOS"),"YUKSEK","ORTA"))</f>
        <v/>
      </c>
      <c r="F374" s="16">
        <f>IF($C374="","",IF(OR($C374="TARIH_BOS",$C374="VKN_UZUNLUK",$C374="TUTAR_NEGATIF",$C374="DONEM_EKSIK"),$C374,"TANIMSIZ"))</f>
        <v/>
      </c>
      <c r="G374" s="16">
        <f>IF($C374="","",1)</f>
        <v/>
      </c>
    </row>
    <row r="375">
      <c r="A375" s="16">
        <f>IF('VERI_A'!$A375="","",ROW()-ROW(tblVeriA[[#Headers]]))</f>
        <v/>
      </c>
      <c r="B375" s="23">
        <f>IF('VERI_A'!$A375="","",'VERI_A'!$A375)</f>
        <v/>
      </c>
      <c r="C375" s="16">
        <f>IF($B375="","",IF(OR('VERI_A'!$B375="",'VERI_A'!$B375=0),"TARIH_BOS",IF(LEN(TRIM('VERI_A'!$C375&amp;""))&lt;&gt;dbe_vknUzunluk,"VKN_UZUNLUK",IF('VERI_A'!$G375&lt;0,"TUTAR_NEGATIF",IF('VERI_A'!$I375="","DONEM_EKSIK",""))))</f>
        <v/>
      </c>
      <c r="D375" s="16">
        <f>IF($C375="","",IF($C375="TARIH_BOS","Belge tarihi zorunlu",IF($C375="VKN_UZUNLUK","VKN 10 hane olmalı",IF($C375="TUTAR_NEGATIF","Toplam negatif olamaz",IF($C375="DONEM_EKSIK","Dönem zorunlu","Elle incele"))))</f>
        <v/>
      </c>
      <c r="E375" s="16">
        <f>IF($C375="","",IF(OR($C375="TUTAR_NEGATIF",$C375="TARIH_BOS"),"YUKSEK","ORTA"))</f>
        <v/>
      </c>
      <c r="F375" s="16">
        <f>IF($C375="","",IF(OR($C375="TARIH_BOS",$C375="VKN_UZUNLUK",$C375="TUTAR_NEGATIF",$C375="DONEM_EKSIK"),$C375,"TANIMSIZ"))</f>
        <v/>
      </c>
      <c r="G375" s="16">
        <f>IF($C375="","",1)</f>
        <v/>
      </c>
    </row>
    <row r="376">
      <c r="A376" s="16">
        <f>IF('VERI_A'!$A376="","",ROW()-ROW(tblVeriA[[#Headers]]))</f>
        <v/>
      </c>
      <c r="B376" s="23">
        <f>IF('VERI_A'!$A376="","",'VERI_A'!$A376)</f>
        <v/>
      </c>
      <c r="C376" s="16">
        <f>IF($B376="","",IF(OR('VERI_A'!$B376="",'VERI_A'!$B376=0),"TARIH_BOS",IF(LEN(TRIM('VERI_A'!$C376&amp;""))&lt;&gt;dbe_vknUzunluk,"VKN_UZUNLUK",IF('VERI_A'!$G376&lt;0,"TUTAR_NEGATIF",IF('VERI_A'!$I376="","DONEM_EKSIK",""))))</f>
        <v/>
      </c>
      <c r="D376" s="16">
        <f>IF($C376="","",IF($C376="TARIH_BOS","Belge tarihi zorunlu",IF($C376="VKN_UZUNLUK","VKN 10 hane olmalı",IF($C376="TUTAR_NEGATIF","Toplam negatif olamaz",IF($C376="DONEM_EKSIK","Dönem zorunlu","Elle incele"))))</f>
        <v/>
      </c>
      <c r="E376" s="16">
        <f>IF($C376="","",IF(OR($C376="TUTAR_NEGATIF",$C376="TARIH_BOS"),"YUKSEK","ORTA"))</f>
        <v/>
      </c>
      <c r="F376" s="16">
        <f>IF($C376="","",IF(OR($C376="TARIH_BOS",$C376="VKN_UZUNLUK",$C376="TUTAR_NEGATIF",$C376="DONEM_EKSIK"),$C376,"TANIMSIZ"))</f>
        <v/>
      </c>
      <c r="G376" s="16">
        <f>IF($C376="","",1)</f>
        <v/>
      </c>
    </row>
    <row r="377">
      <c r="A377" s="16">
        <f>IF('VERI_A'!$A377="","",ROW()-ROW(tblVeriA[[#Headers]]))</f>
        <v/>
      </c>
      <c r="B377" s="23">
        <f>IF('VERI_A'!$A377="","",'VERI_A'!$A377)</f>
        <v/>
      </c>
      <c r="C377" s="16">
        <f>IF($B377="","",IF(OR('VERI_A'!$B377="",'VERI_A'!$B377=0),"TARIH_BOS",IF(LEN(TRIM('VERI_A'!$C377&amp;""))&lt;&gt;dbe_vknUzunluk,"VKN_UZUNLUK",IF('VERI_A'!$G377&lt;0,"TUTAR_NEGATIF",IF('VERI_A'!$I377="","DONEM_EKSIK",""))))</f>
        <v/>
      </c>
      <c r="D377" s="16">
        <f>IF($C377="","",IF($C377="TARIH_BOS","Belge tarihi zorunlu",IF($C377="VKN_UZUNLUK","VKN 10 hane olmalı",IF($C377="TUTAR_NEGATIF","Toplam negatif olamaz",IF($C377="DONEM_EKSIK","Dönem zorunlu","Elle incele"))))</f>
        <v/>
      </c>
      <c r="E377" s="16">
        <f>IF($C377="","",IF(OR($C377="TUTAR_NEGATIF",$C377="TARIH_BOS"),"YUKSEK","ORTA"))</f>
        <v/>
      </c>
      <c r="F377" s="16">
        <f>IF($C377="","",IF(OR($C377="TARIH_BOS",$C377="VKN_UZUNLUK",$C377="TUTAR_NEGATIF",$C377="DONEM_EKSIK"),$C377,"TANIMSIZ"))</f>
        <v/>
      </c>
      <c r="G377" s="16">
        <f>IF($C377="","",1)</f>
        <v/>
      </c>
    </row>
    <row r="378">
      <c r="A378" s="16">
        <f>IF('VERI_A'!$A378="","",ROW()-ROW(tblVeriA[[#Headers]]))</f>
        <v/>
      </c>
      <c r="B378" s="23">
        <f>IF('VERI_A'!$A378="","",'VERI_A'!$A378)</f>
        <v/>
      </c>
      <c r="C378" s="16">
        <f>IF($B378="","",IF(OR('VERI_A'!$B378="",'VERI_A'!$B378=0),"TARIH_BOS",IF(LEN(TRIM('VERI_A'!$C378&amp;""))&lt;&gt;dbe_vknUzunluk,"VKN_UZUNLUK",IF('VERI_A'!$G378&lt;0,"TUTAR_NEGATIF",IF('VERI_A'!$I378="","DONEM_EKSIK",""))))</f>
        <v/>
      </c>
      <c r="D378" s="16">
        <f>IF($C378="","",IF($C378="TARIH_BOS","Belge tarihi zorunlu",IF($C378="VKN_UZUNLUK","VKN 10 hane olmalı",IF($C378="TUTAR_NEGATIF","Toplam negatif olamaz",IF($C378="DONEM_EKSIK","Dönem zorunlu","Elle incele"))))</f>
        <v/>
      </c>
      <c r="E378" s="16">
        <f>IF($C378="","",IF(OR($C378="TUTAR_NEGATIF",$C378="TARIH_BOS"),"YUKSEK","ORTA"))</f>
        <v/>
      </c>
      <c r="F378" s="16">
        <f>IF($C378="","",IF(OR($C378="TARIH_BOS",$C378="VKN_UZUNLUK",$C378="TUTAR_NEGATIF",$C378="DONEM_EKSIK"),$C378,"TANIMSIZ"))</f>
        <v/>
      </c>
      <c r="G378" s="16">
        <f>IF($C378="","",1)</f>
        <v/>
      </c>
    </row>
    <row r="379">
      <c r="A379" s="16">
        <f>IF('VERI_A'!$A379="","",ROW()-ROW(tblVeriA[[#Headers]]))</f>
        <v/>
      </c>
      <c r="B379" s="23">
        <f>IF('VERI_A'!$A379="","",'VERI_A'!$A379)</f>
        <v/>
      </c>
      <c r="C379" s="16">
        <f>IF($B379="","",IF(OR('VERI_A'!$B379="",'VERI_A'!$B379=0),"TARIH_BOS",IF(LEN(TRIM('VERI_A'!$C379&amp;""))&lt;&gt;dbe_vknUzunluk,"VKN_UZUNLUK",IF('VERI_A'!$G379&lt;0,"TUTAR_NEGATIF",IF('VERI_A'!$I379="","DONEM_EKSIK",""))))</f>
        <v/>
      </c>
      <c r="D379" s="16">
        <f>IF($C379="","",IF($C379="TARIH_BOS","Belge tarihi zorunlu",IF($C379="VKN_UZUNLUK","VKN 10 hane olmalı",IF($C379="TUTAR_NEGATIF","Toplam negatif olamaz",IF($C379="DONEM_EKSIK","Dönem zorunlu","Elle incele"))))</f>
        <v/>
      </c>
      <c r="E379" s="16">
        <f>IF($C379="","",IF(OR($C379="TUTAR_NEGATIF",$C379="TARIH_BOS"),"YUKSEK","ORTA"))</f>
        <v/>
      </c>
      <c r="F379" s="16">
        <f>IF($C379="","",IF(OR($C379="TARIH_BOS",$C379="VKN_UZUNLUK",$C379="TUTAR_NEGATIF",$C379="DONEM_EKSIK"),$C379,"TANIMSIZ"))</f>
        <v/>
      </c>
      <c r="G379" s="16">
        <f>IF($C379="","",1)</f>
        <v/>
      </c>
    </row>
    <row r="380">
      <c r="A380" s="16">
        <f>IF('VERI_A'!$A380="","",ROW()-ROW(tblVeriA[[#Headers]]))</f>
        <v/>
      </c>
      <c r="B380" s="23">
        <f>IF('VERI_A'!$A380="","",'VERI_A'!$A380)</f>
        <v/>
      </c>
      <c r="C380" s="16">
        <f>IF($B380="","",IF(OR('VERI_A'!$B380="",'VERI_A'!$B380=0),"TARIH_BOS",IF(LEN(TRIM('VERI_A'!$C380&amp;""))&lt;&gt;dbe_vknUzunluk,"VKN_UZUNLUK",IF('VERI_A'!$G380&lt;0,"TUTAR_NEGATIF",IF('VERI_A'!$I380="","DONEM_EKSIK",""))))</f>
        <v/>
      </c>
      <c r="D380" s="16">
        <f>IF($C380="","",IF($C380="TARIH_BOS","Belge tarihi zorunlu",IF($C380="VKN_UZUNLUK","VKN 10 hane olmalı",IF($C380="TUTAR_NEGATIF","Toplam negatif olamaz",IF($C380="DONEM_EKSIK","Dönem zorunlu","Elle incele"))))</f>
        <v/>
      </c>
      <c r="E380" s="16">
        <f>IF($C380="","",IF(OR($C380="TUTAR_NEGATIF",$C380="TARIH_BOS"),"YUKSEK","ORTA"))</f>
        <v/>
      </c>
      <c r="F380" s="16">
        <f>IF($C380="","",IF(OR($C380="TARIH_BOS",$C380="VKN_UZUNLUK",$C380="TUTAR_NEGATIF",$C380="DONEM_EKSIK"),$C380,"TANIMSIZ"))</f>
        <v/>
      </c>
      <c r="G380" s="16">
        <f>IF($C380="","",1)</f>
        <v/>
      </c>
    </row>
    <row r="381">
      <c r="A381" s="16">
        <f>IF('VERI_A'!$A381="","",ROW()-ROW(tblVeriA[[#Headers]]))</f>
        <v/>
      </c>
      <c r="B381" s="23">
        <f>IF('VERI_A'!$A381="","",'VERI_A'!$A381)</f>
        <v/>
      </c>
      <c r="C381" s="16">
        <f>IF($B381="","",IF(OR('VERI_A'!$B381="",'VERI_A'!$B381=0),"TARIH_BOS",IF(LEN(TRIM('VERI_A'!$C381&amp;""))&lt;&gt;dbe_vknUzunluk,"VKN_UZUNLUK",IF('VERI_A'!$G381&lt;0,"TUTAR_NEGATIF",IF('VERI_A'!$I381="","DONEM_EKSIK",""))))</f>
        <v/>
      </c>
      <c r="D381" s="16">
        <f>IF($C381="","",IF($C381="TARIH_BOS","Belge tarihi zorunlu",IF($C381="VKN_UZUNLUK","VKN 10 hane olmalı",IF($C381="TUTAR_NEGATIF","Toplam negatif olamaz",IF($C381="DONEM_EKSIK","Dönem zorunlu","Elle incele"))))</f>
        <v/>
      </c>
      <c r="E381" s="16">
        <f>IF($C381="","",IF(OR($C381="TUTAR_NEGATIF",$C381="TARIH_BOS"),"YUKSEK","ORTA"))</f>
        <v/>
      </c>
      <c r="F381" s="16">
        <f>IF($C381="","",IF(OR($C381="TARIH_BOS",$C381="VKN_UZUNLUK",$C381="TUTAR_NEGATIF",$C381="DONEM_EKSIK"),$C381,"TANIMSIZ"))</f>
        <v/>
      </c>
      <c r="G381" s="16">
        <f>IF($C381="","",1)</f>
        <v/>
      </c>
    </row>
    <row r="382">
      <c r="A382" s="16">
        <f>IF('VERI_A'!$A382="","",ROW()-ROW(tblVeriA[[#Headers]]))</f>
        <v/>
      </c>
      <c r="B382" s="23">
        <f>IF('VERI_A'!$A382="","",'VERI_A'!$A382)</f>
        <v/>
      </c>
      <c r="C382" s="16">
        <f>IF($B382="","",IF(OR('VERI_A'!$B382="",'VERI_A'!$B382=0),"TARIH_BOS",IF(LEN(TRIM('VERI_A'!$C382&amp;""))&lt;&gt;dbe_vknUzunluk,"VKN_UZUNLUK",IF('VERI_A'!$G382&lt;0,"TUTAR_NEGATIF",IF('VERI_A'!$I382="","DONEM_EKSIK",""))))</f>
        <v/>
      </c>
      <c r="D382" s="16">
        <f>IF($C382="","",IF($C382="TARIH_BOS","Belge tarihi zorunlu",IF($C382="VKN_UZUNLUK","VKN 10 hane olmalı",IF($C382="TUTAR_NEGATIF","Toplam negatif olamaz",IF($C382="DONEM_EKSIK","Dönem zorunlu","Elle incele"))))</f>
        <v/>
      </c>
      <c r="E382" s="16">
        <f>IF($C382="","",IF(OR($C382="TUTAR_NEGATIF",$C382="TARIH_BOS"),"YUKSEK","ORTA"))</f>
        <v/>
      </c>
      <c r="F382" s="16">
        <f>IF($C382="","",IF(OR($C382="TARIH_BOS",$C382="VKN_UZUNLUK",$C382="TUTAR_NEGATIF",$C382="DONEM_EKSIK"),$C382,"TANIMSIZ"))</f>
        <v/>
      </c>
      <c r="G382" s="16">
        <f>IF($C382="","",1)</f>
        <v/>
      </c>
    </row>
    <row r="383">
      <c r="A383" s="16">
        <f>IF('VERI_A'!$A383="","",ROW()-ROW(tblVeriA[[#Headers]]))</f>
        <v/>
      </c>
      <c r="B383" s="23">
        <f>IF('VERI_A'!$A383="","",'VERI_A'!$A383)</f>
        <v/>
      </c>
      <c r="C383" s="16">
        <f>IF($B383="","",IF(OR('VERI_A'!$B383="",'VERI_A'!$B383=0),"TARIH_BOS",IF(LEN(TRIM('VERI_A'!$C383&amp;""))&lt;&gt;dbe_vknUzunluk,"VKN_UZUNLUK",IF('VERI_A'!$G383&lt;0,"TUTAR_NEGATIF",IF('VERI_A'!$I383="","DONEM_EKSIK",""))))</f>
        <v/>
      </c>
      <c r="D383" s="16">
        <f>IF($C383="","",IF($C383="TARIH_BOS","Belge tarihi zorunlu",IF($C383="VKN_UZUNLUK","VKN 10 hane olmalı",IF($C383="TUTAR_NEGATIF","Toplam negatif olamaz",IF($C383="DONEM_EKSIK","Dönem zorunlu","Elle incele"))))</f>
        <v/>
      </c>
      <c r="E383" s="16">
        <f>IF($C383="","",IF(OR($C383="TUTAR_NEGATIF",$C383="TARIH_BOS"),"YUKSEK","ORTA"))</f>
        <v/>
      </c>
      <c r="F383" s="16">
        <f>IF($C383="","",IF(OR($C383="TARIH_BOS",$C383="VKN_UZUNLUK",$C383="TUTAR_NEGATIF",$C383="DONEM_EKSIK"),$C383,"TANIMSIZ"))</f>
        <v/>
      </c>
      <c r="G383" s="16">
        <f>IF($C383="","",1)</f>
        <v/>
      </c>
    </row>
    <row r="384">
      <c r="A384" s="16">
        <f>IF('VERI_A'!$A384="","",ROW()-ROW(tblVeriA[[#Headers]]))</f>
        <v/>
      </c>
      <c r="B384" s="23">
        <f>IF('VERI_A'!$A384="","",'VERI_A'!$A384)</f>
        <v/>
      </c>
      <c r="C384" s="16">
        <f>IF($B384="","",IF(OR('VERI_A'!$B384="",'VERI_A'!$B384=0),"TARIH_BOS",IF(LEN(TRIM('VERI_A'!$C384&amp;""))&lt;&gt;dbe_vknUzunluk,"VKN_UZUNLUK",IF('VERI_A'!$G384&lt;0,"TUTAR_NEGATIF",IF('VERI_A'!$I384="","DONEM_EKSIK",""))))</f>
        <v/>
      </c>
      <c r="D384" s="16">
        <f>IF($C384="","",IF($C384="TARIH_BOS","Belge tarihi zorunlu",IF($C384="VKN_UZUNLUK","VKN 10 hane olmalı",IF($C384="TUTAR_NEGATIF","Toplam negatif olamaz",IF($C384="DONEM_EKSIK","Dönem zorunlu","Elle incele"))))</f>
        <v/>
      </c>
      <c r="E384" s="16">
        <f>IF($C384="","",IF(OR($C384="TUTAR_NEGATIF",$C384="TARIH_BOS"),"YUKSEK","ORTA"))</f>
        <v/>
      </c>
      <c r="F384" s="16">
        <f>IF($C384="","",IF(OR($C384="TARIH_BOS",$C384="VKN_UZUNLUK",$C384="TUTAR_NEGATIF",$C384="DONEM_EKSIK"),$C384,"TANIMSIZ"))</f>
        <v/>
      </c>
      <c r="G384" s="16">
        <f>IF($C384="","",1)</f>
        <v/>
      </c>
    </row>
    <row r="385">
      <c r="A385" s="16">
        <f>IF('VERI_A'!$A385="","",ROW()-ROW(tblVeriA[[#Headers]]))</f>
        <v/>
      </c>
      <c r="B385" s="23">
        <f>IF('VERI_A'!$A385="","",'VERI_A'!$A385)</f>
        <v/>
      </c>
      <c r="C385" s="16">
        <f>IF($B385="","",IF(OR('VERI_A'!$B385="",'VERI_A'!$B385=0),"TARIH_BOS",IF(LEN(TRIM('VERI_A'!$C385&amp;""))&lt;&gt;dbe_vknUzunluk,"VKN_UZUNLUK",IF('VERI_A'!$G385&lt;0,"TUTAR_NEGATIF",IF('VERI_A'!$I385="","DONEM_EKSIK",""))))</f>
        <v/>
      </c>
      <c r="D385" s="16">
        <f>IF($C385="","",IF($C385="TARIH_BOS","Belge tarihi zorunlu",IF($C385="VKN_UZUNLUK","VKN 10 hane olmalı",IF($C385="TUTAR_NEGATIF","Toplam negatif olamaz",IF($C385="DONEM_EKSIK","Dönem zorunlu","Elle incele"))))</f>
        <v/>
      </c>
      <c r="E385" s="16">
        <f>IF($C385="","",IF(OR($C385="TUTAR_NEGATIF",$C385="TARIH_BOS"),"YUKSEK","ORTA"))</f>
        <v/>
      </c>
      <c r="F385" s="16">
        <f>IF($C385="","",IF(OR($C385="TARIH_BOS",$C385="VKN_UZUNLUK",$C385="TUTAR_NEGATIF",$C385="DONEM_EKSIK"),$C385,"TANIMSIZ"))</f>
        <v/>
      </c>
      <c r="G385" s="16">
        <f>IF($C385="","",1)</f>
        <v/>
      </c>
    </row>
    <row r="386">
      <c r="A386" s="16">
        <f>IF('VERI_A'!$A386="","",ROW()-ROW(tblVeriA[[#Headers]]))</f>
        <v/>
      </c>
      <c r="B386" s="23">
        <f>IF('VERI_A'!$A386="","",'VERI_A'!$A386)</f>
        <v/>
      </c>
      <c r="C386" s="16">
        <f>IF($B386="","",IF(OR('VERI_A'!$B386="",'VERI_A'!$B386=0),"TARIH_BOS",IF(LEN(TRIM('VERI_A'!$C386&amp;""))&lt;&gt;dbe_vknUzunluk,"VKN_UZUNLUK",IF('VERI_A'!$G386&lt;0,"TUTAR_NEGATIF",IF('VERI_A'!$I386="","DONEM_EKSIK",""))))</f>
        <v/>
      </c>
      <c r="D386" s="16">
        <f>IF($C386="","",IF($C386="TARIH_BOS","Belge tarihi zorunlu",IF($C386="VKN_UZUNLUK","VKN 10 hane olmalı",IF($C386="TUTAR_NEGATIF","Toplam negatif olamaz",IF($C386="DONEM_EKSIK","Dönem zorunlu","Elle incele"))))</f>
        <v/>
      </c>
      <c r="E386" s="16">
        <f>IF($C386="","",IF(OR($C386="TUTAR_NEGATIF",$C386="TARIH_BOS"),"YUKSEK","ORTA"))</f>
        <v/>
      </c>
      <c r="F386" s="16">
        <f>IF($C386="","",IF(OR($C386="TARIH_BOS",$C386="VKN_UZUNLUK",$C386="TUTAR_NEGATIF",$C386="DONEM_EKSIK"),$C386,"TANIMSIZ"))</f>
        <v/>
      </c>
      <c r="G386" s="16">
        <f>IF($C386="","",1)</f>
        <v/>
      </c>
    </row>
    <row r="387">
      <c r="A387" s="16">
        <f>IF('VERI_A'!$A387="","",ROW()-ROW(tblVeriA[[#Headers]]))</f>
        <v/>
      </c>
      <c r="B387" s="23">
        <f>IF('VERI_A'!$A387="","",'VERI_A'!$A387)</f>
        <v/>
      </c>
      <c r="C387" s="16">
        <f>IF($B387="","",IF(OR('VERI_A'!$B387="",'VERI_A'!$B387=0),"TARIH_BOS",IF(LEN(TRIM('VERI_A'!$C387&amp;""))&lt;&gt;dbe_vknUzunluk,"VKN_UZUNLUK",IF('VERI_A'!$G387&lt;0,"TUTAR_NEGATIF",IF('VERI_A'!$I387="","DONEM_EKSIK",""))))</f>
        <v/>
      </c>
      <c r="D387" s="16">
        <f>IF($C387="","",IF($C387="TARIH_BOS","Belge tarihi zorunlu",IF($C387="VKN_UZUNLUK","VKN 10 hane olmalı",IF($C387="TUTAR_NEGATIF","Toplam negatif olamaz",IF($C387="DONEM_EKSIK","Dönem zorunlu","Elle incele"))))</f>
        <v/>
      </c>
      <c r="E387" s="16">
        <f>IF($C387="","",IF(OR($C387="TUTAR_NEGATIF",$C387="TARIH_BOS"),"YUKSEK","ORTA"))</f>
        <v/>
      </c>
      <c r="F387" s="16">
        <f>IF($C387="","",IF(OR($C387="TARIH_BOS",$C387="VKN_UZUNLUK",$C387="TUTAR_NEGATIF",$C387="DONEM_EKSIK"),$C387,"TANIMSIZ"))</f>
        <v/>
      </c>
      <c r="G387" s="16">
        <f>IF($C387="","",1)</f>
        <v/>
      </c>
    </row>
    <row r="388">
      <c r="A388" s="16">
        <f>IF('VERI_A'!$A388="","",ROW()-ROW(tblVeriA[[#Headers]]))</f>
        <v/>
      </c>
      <c r="B388" s="23">
        <f>IF('VERI_A'!$A388="","",'VERI_A'!$A388)</f>
        <v/>
      </c>
      <c r="C388" s="16">
        <f>IF($B388="","",IF(OR('VERI_A'!$B388="",'VERI_A'!$B388=0),"TARIH_BOS",IF(LEN(TRIM('VERI_A'!$C388&amp;""))&lt;&gt;dbe_vknUzunluk,"VKN_UZUNLUK",IF('VERI_A'!$G388&lt;0,"TUTAR_NEGATIF",IF('VERI_A'!$I388="","DONEM_EKSIK",""))))</f>
        <v/>
      </c>
      <c r="D388" s="16">
        <f>IF($C388="","",IF($C388="TARIH_BOS","Belge tarihi zorunlu",IF($C388="VKN_UZUNLUK","VKN 10 hane olmalı",IF($C388="TUTAR_NEGATIF","Toplam negatif olamaz",IF($C388="DONEM_EKSIK","Dönem zorunlu","Elle incele"))))</f>
        <v/>
      </c>
      <c r="E388" s="16">
        <f>IF($C388="","",IF(OR($C388="TUTAR_NEGATIF",$C388="TARIH_BOS"),"YUKSEK","ORTA"))</f>
        <v/>
      </c>
      <c r="F388" s="16">
        <f>IF($C388="","",IF(OR($C388="TARIH_BOS",$C388="VKN_UZUNLUK",$C388="TUTAR_NEGATIF",$C388="DONEM_EKSIK"),$C388,"TANIMSIZ"))</f>
        <v/>
      </c>
      <c r="G388" s="16">
        <f>IF($C388="","",1)</f>
        <v/>
      </c>
    </row>
    <row r="389">
      <c r="A389" s="16">
        <f>IF('VERI_A'!$A389="","",ROW()-ROW(tblVeriA[[#Headers]]))</f>
        <v/>
      </c>
      <c r="B389" s="23">
        <f>IF('VERI_A'!$A389="","",'VERI_A'!$A389)</f>
        <v/>
      </c>
      <c r="C389" s="16">
        <f>IF($B389="","",IF(OR('VERI_A'!$B389="",'VERI_A'!$B389=0),"TARIH_BOS",IF(LEN(TRIM('VERI_A'!$C389&amp;""))&lt;&gt;dbe_vknUzunluk,"VKN_UZUNLUK",IF('VERI_A'!$G389&lt;0,"TUTAR_NEGATIF",IF('VERI_A'!$I389="","DONEM_EKSIK",""))))</f>
        <v/>
      </c>
      <c r="D389" s="16">
        <f>IF($C389="","",IF($C389="TARIH_BOS","Belge tarihi zorunlu",IF($C389="VKN_UZUNLUK","VKN 10 hane olmalı",IF($C389="TUTAR_NEGATIF","Toplam negatif olamaz",IF($C389="DONEM_EKSIK","Dönem zorunlu","Elle incele"))))</f>
        <v/>
      </c>
      <c r="E389" s="16">
        <f>IF($C389="","",IF(OR($C389="TUTAR_NEGATIF",$C389="TARIH_BOS"),"YUKSEK","ORTA"))</f>
        <v/>
      </c>
      <c r="F389" s="16">
        <f>IF($C389="","",IF(OR($C389="TARIH_BOS",$C389="VKN_UZUNLUK",$C389="TUTAR_NEGATIF",$C389="DONEM_EKSIK"),$C389,"TANIMSIZ"))</f>
        <v/>
      </c>
      <c r="G389" s="16">
        <f>IF($C389="","",1)</f>
        <v/>
      </c>
    </row>
    <row r="390">
      <c r="A390" s="16">
        <f>IF('VERI_A'!$A390="","",ROW()-ROW(tblVeriA[[#Headers]]))</f>
        <v/>
      </c>
      <c r="B390" s="23">
        <f>IF('VERI_A'!$A390="","",'VERI_A'!$A390)</f>
        <v/>
      </c>
      <c r="C390" s="16">
        <f>IF($B390="","",IF(OR('VERI_A'!$B390="",'VERI_A'!$B390=0),"TARIH_BOS",IF(LEN(TRIM('VERI_A'!$C390&amp;""))&lt;&gt;dbe_vknUzunluk,"VKN_UZUNLUK",IF('VERI_A'!$G390&lt;0,"TUTAR_NEGATIF",IF('VERI_A'!$I390="","DONEM_EKSIK",""))))</f>
        <v/>
      </c>
      <c r="D390" s="16">
        <f>IF($C390="","",IF($C390="TARIH_BOS","Belge tarihi zorunlu",IF($C390="VKN_UZUNLUK","VKN 10 hane olmalı",IF($C390="TUTAR_NEGATIF","Toplam negatif olamaz",IF($C390="DONEM_EKSIK","Dönem zorunlu","Elle incele"))))</f>
        <v/>
      </c>
      <c r="E390" s="16">
        <f>IF($C390="","",IF(OR($C390="TUTAR_NEGATIF",$C390="TARIH_BOS"),"YUKSEK","ORTA"))</f>
        <v/>
      </c>
      <c r="F390" s="16">
        <f>IF($C390="","",IF(OR($C390="TARIH_BOS",$C390="VKN_UZUNLUK",$C390="TUTAR_NEGATIF",$C390="DONEM_EKSIK"),$C390,"TANIMSIZ"))</f>
        <v/>
      </c>
      <c r="G390" s="16">
        <f>IF($C390="","",1)</f>
        <v/>
      </c>
    </row>
    <row r="391">
      <c r="A391" s="16">
        <f>IF('VERI_A'!$A391="","",ROW()-ROW(tblVeriA[[#Headers]]))</f>
        <v/>
      </c>
      <c r="B391" s="23">
        <f>IF('VERI_A'!$A391="","",'VERI_A'!$A391)</f>
        <v/>
      </c>
      <c r="C391" s="16">
        <f>IF($B391="","",IF(OR('VERI_A'!$B391="",'VERI_A'!$B391=0),"TARIH_BOS",IF(LEN(TRIM('VERI_A'!$C391&amp;""))&lt;&gt;dbe_vknUzunluk,"VKN_UZUNLUK",IF('VERI_A'!$G391&lt;0,"TUTAR_NEGATIF",IF('VERI_A'!$I391="","DONEM_EKSIK",""))))</f>
        <v/>
      </c>
      <c r="D391" s="16">
        <f>IF($C391="","",IF($C391="TARIH_BOS","Belge tarihi zorunlu",IF($C391="VKN_UZUNLUK","VKN 10 hane olmalı",IF($C391="TUTAR_NEGATIF","Toplam negatif olamaz",IF($C391="DONEM_EKSIK","Dönem zorunlu","Elle incele"))))</f>
        <v/>
      </c>
      <c r="E391" s="16">
        <f>IF($C391="","",IF(OR($C391="TUTAR_NEGATIF",$C391="TARIH_BOS"),"YUKSEK","ORTA"))</f>
        <v/>
      </c>
      <c r="F391" s="16">
        <f>IF($C391="","",IF(OR($C391="TARIH_BOS",$C391="VKN_UZUNLUK",$C391="TUTAR_NEGATIF",$C391="DONEM_EKSIK"),$C391,"TANIMSIZ"))</f>
        <v/>
      </c>
      <c r="G391" s="16">
        <f>IF($C391="","",1)</f>
        <v/>
      </c>
    </row>
    <row r="392">
      <c r="A392" s="16">
        <f>IF('VERI_A'!$A392="","",ROW()-ROW(tblVeriA[[#Headers]]))</f>
        <v/>
      </c>
      <c r="B392" s="23">
        <f>IF('VERI_A'!$A392="","",'VERI_A'!$A392)</f>
        <v/>
      </c>
      <c r="C392" s="16">
        <f>IF($B392="","",IF(OR('VERI_A'!$B392="",'VERI_A'!$B392=0),"TARIH_BOS",IF(LEN(TRIM('VERI_A'!$C392&amp;""))&lt;&gt;dbe_vknUzunluk,"VKN_UZUNLUK",IF('VERI_A'!$G392&lt;0,"TUTAR_NEGATIF",IF('VERI_A'!$I392="","DONEM_EKSIK",""))))</f>
        <v/>
      </c>
      <c r="D392" s="16">
        <f>IF($C392="","",IF($C392="TARIH_BOS","Belge tarihi zorunlu",IF($C392="VKN_UZUNLUK","VKN 10 hane olmalı",IF($C392="TUTAR_NEGATIF","Toplam negatif olamaz",IF($C392="DONEM_EKSIK","Dönem zorunlu","Elle incele"))))</f>
        <v/>
      </c>
      <c r="E392" s="16">
        <f>IF($C392="","",IF(OR($C392="TUTAR_NEGATIF",$C392="TARIH_BOS"),"YUKSEK","ORTA"))</f>
        <v/>
      </c>
      <c r="F392" s="16">
        <f>IF($C392="","",IF(OR($C392="TARIH_BOS",$C392="VKN_UZUNLUK",$C392="TUTAR_NEGATIF",$C392="DONEM_EKSIK"),$C392,"TANIMSIZ"))</f>
        <v/>
      </c>
      <c r="G392" s="16">
        <f>IF($C392="","",1)</f>
        <v/>
      </c>
    </row>
    <row r="393">
      <c r="A393" s="16">
        <f>IF('VERI_A'!$A393="","",ROW()-ROW(tblVeriA[[#Headers]]))</f>
        <v/>
      </c>
      <c r="B393" s="23">
        <f>IF('VERI_A'!$A393="","",'VERI_A'!$A393)</f>
        <v/>
      </c>
      <c r="C393" s="16">
        <f>IF($B393="","",IF(OR('VERI_A'!$B393="",'VERI_A'!$B393=0),"TARIH_BOS",IF(LEN(TRIM('VERI_A'!$C393&amp;""))&lt;&gt;dbe_vknUzunluk,"VKN_UZUNLUK",IF('VERI_A'!$G393&lt;0,"TUTAR_NEGATIF",IF('VERI_A'!$I393="","DONEM_EKSIK",""))))</f>
        <v/>
      </c>
      <c r="D393" s="16">
        <f>IF($C393="","",IF($C393="TARIH_BOS","Belge tarihi zorunlu",IF($C393="VKN_UZUNLUK","VKN 10 hane olmalı",IF($C393="TUTAR_NEGATIF","Toplam negatif olamaz",IF($C393="DONEM_EKSIK","Dönem zorunlu","Elle incele"))))</f>
        <v/>
      </c>
      <c r="E393" s="16">
        <f>IF($C393="","",IF(OR($C393="TUTAR_NEGATIF",$C393="TARIH_BOS"),"YUKSEK","ORTA"))</f>
        <v/>
      </c>
      <c r="F393" s="16">
        <f>IF($C393="","",IF(OR($C393="TARIH_BOS",$C393="VKN_UZUNLUK",$C393="TUTAR_NEGATIF",$C393="DONEM_EKSIK"),$C393,"TANIMSIZ"))</f>
        <v/>
      </c>
      <c r="G393" s="16">
        <f>IF($C393="","",1)</f>
        <v/>
      </c>
    </row>
    <row r="394">
      <c r="A394" s="16">
        <f>IF('VERI_A'!$A394="","",ROW()-ROW(tblVeriA[[#Headers]]))</f>
        <v/>
      </c>
      <c r="B394" s="23">
        <f>IF('VERI_A'!$A394="","",'VERI_A'!$A394)</f>
        <v/>
      </c>
      <c r="C394" s="16">
        <f>IF($B394="","",IF(OR('VERI_A'!$B394="",'VERI_A'!$B394=0),"TARIH_BOS",IF(LEN(TRIM('VERI_A'!$C394&amp;""))&lt;&gt;dbe_vknUzunluk,"VKN_UZUNLUK",IF('VERI_A'!$G394&lt;0,"TUTAR_NEGATIF",IF('VERI_A'!$I394="","DONEM_EKSIK",""))))</f>
        <v/>
      </c>
      <c r="D394" s="16">
        <f>IF($C394="","",IF($C394="TARIH_BOS","Belge tarihi zorunlu",IF($C394="VKN_UZUNLUK","VKN 10 hane olmalı",IF($C394="TUTAR_NEGATIF","Toplam negatif olamaz",IF($C394="DONEM_EKSIK","Dönem zorunlu","Elle incele"))))</f>
        <v/>
      </c>
      <c r="E394" s="16">
        <f>IF($C394="","",IF(OR($C394="TUTAR_NEGATIF",$C394="TARIH_BOS"),"YUKSEK","ORTA"))</f>
        <v/>
      </c>
      <c r="F394" s="16">
        <f>IF($C394="","",IF(OR($C394="TARIH_BOS",$C394="VKN_UZUNLUK",$C394="TUTAR_NEGATIF",$C394="DONEM_EKSIK"),$C394,"TANIMSIZ"))</f>
        <v/>
      </c>
      <c r="G394" s="16">
        <f>IF($C394="","",1)</f>
        <v/>
      </c>
    </row>
    <row r="395">
      <c r="A395" s="16">
        <f>IF('VERI_A'!$A395="","",ROW()-ROW(tblVeriA[[#Headers]]))</f>
        <v/>
      </c>
      <c r="B395" s="23">
        <f>IF('VERI_A'!$A395="","",'VERI_A'!$A395)</f>
        <v/>
      </c>
      <c r="C395" s="16">
        <f>IF($B395="","",IF(OR('VERI_A'!$B395="",'VERI_A'!$B395=0),"TARIH_BOS",IF(LEN(TRIM('VERI_A'!$C395&amp;""))&lt;&gt;dbe_vknUzunluk,"VKN_UZUNLUK",IF('VERI_A'!$G395&lt;0,"TUTAR_NEGATIF",IF('VERI_A'!$I395="","DONEM_EKSIK",""))))</f>
        <v/>
      </c>
      <c r="D395" s="16">
        <f>IF($C395="","",IF($C395="TARIH_BOS","Belge tarihi zorunlu",IF($C395="VKN_UZUNLUK","VKN 10 hane olmalı",IF($C395="TUTAR_NEGATIF","Toplam negatif olamaz",IF($C395="DONEM_EKSIK","Dönem zorunlu","Elle incele"))))</f>
        <v/>
      </c>
      <c r="E395" s="16">
        <f>IF($C395="","",IF(OR($C395="TUTAR_NEGATIF",$C395="TARIH_BOS"),"YUKSEK","ORTA"))</f>
        <v/>
      </c>
      <c r="F395" s="16">
        <f>IF($C395="","",IF(OR($C395="TARIH_BOS",$C395="VKN_UZUNLUK",$C395="TUTAR_NEGATIF",$C395="DONEM_EKSIK"),$C395,"TANIMSIZ"))</f>
        <v/>
      </c>
      <c r="G395" s="16">
        <f>IF($C395="","",1)</f>
        <v/>
      </c>
    </row>
    <row r="396">
      <c r="A396" s="16">
        <f>IF('VERI_A'!$A396="","",ROW()-ROW(tblVeriA[[#Headers]]))</f>
        <v/>
      </c>
      <c r="B396" s="23">
        <f>IF('VERI_A'!$A396="","",'VERI_A'!$A396)</f>
        <v/>
      </c>
      <c r="C396" s="16">
        <f>IF($B396="","",IF(OR('VERI_A'!$B396="",'VERI_A'!$B396=0),"TARIH_BOS",IF(LEN(TRIM('VERI_A'!$C396&amp;""))&lt;&gt;dbe_vknUzunluk,"VKN_UZUNLUK",IF('VERI_A'!$G396&lt;0,"TUTAR_NEGATIF",IF('VERI_A'!$I396="","DONEM_EKSIK",""))))</f>
        <v/>
      </c>
      <c r="D396" s="16">
        <f>IF($C396="","",IF($C396="TARIH_BOS","Belge tarihi zorunlu",IF($C396="VKN_UZUNLUK","VKN 10 hane olmalı",IF($C396="TUTAR_NEGATIF","Toplam negatif olamaz",IF($C396="DONEM_EKSIK","Dönem zorunlu","Elle incele"))))</f>
        <v/>
      </c>
      <c r="E396" s="16">
        <f>IF($C396="","",IF(OR($C396="TUTAR_NEGATIF",$C396="TARIH_BOS"),"YUKSEK","ORTA"))</f>
        <v/>
      </c>
      <c r="F396" s="16">
        <f>IF($C396="","",IF(OR($C396="TARIH_BOS",$C396="VKN_UZUNLUK",$C396="TUTAR_NEGATIF",$C396="DONEM_EKSIK"),$C396,"TANIMSIZ"))</f>
        <v/>
      </c>
      <c r="G396" s="16">
        <f>IF($C396="","",1)</f>
        <v/>
      </c>
    </row>
    <row r="397">
      <c r="A397" s="16">
        <f>IF('VERI_A'!$A397="","",ROW()-ROW(tblVeriA[[#Headers]]))</f>
        <v/>
      </c>
      <c r="B397" s="23">
        <f>IF('VERI_A'!$A397="","",'VERI_A'!$A397)</f>
        <v/>
      </c>
      <c r="C397" s="16">
        <f>IF($B397="","",IF(OR('VERI_A'!$B397="",'VERI_A'!$B397=0),"TARIH_BOS",IF(LEN(TRIM('VERI_A'!$C397&amp;""))&lt;&gt;dbe_vknUzunluk,"VKN_UZUNLUK",IF('VERI_A'!$G397&lt;0,"TUTAR_NEGATIF",IF('VERI_A'!$I397="","DONEM_EKSIK",""))))</f>
        <v/>
      </c>
      <c r="D397" s="16">
        <f>IF($C397="","",IF($C397="TARIH_BOS","Belge tarihi zorunlu",IF($C397="VKN_UZUNLUK","VKN 10 hane olmalı",IF($C397="TUTAR_NEGATIF","Toplam negatif olamaz",IF($C397="DONEM_EKSIK","Dönem zorunlu","Elle incele"))))</f>
        <v/>
      </c>
      <c r="E397" s="16">
        <f>IF($C397="","",IF(OR($C397="TUTAR_NEGATIF",$C397="TARIH_BOS"),"YUKSEK","ORTA"))</f>
        <v/>
      </c>
      <c r="F397" s="16">
        <f>IF($C397="","",IF(OR($C397="TARIH_BOS",$C397="VKN_UZUNLUK",$C397="TUTAR_NEGATIF",$C397="DONEM_EKSIK"),$C397,"TANIMSIZ"))</f>
        <v/>
      </c>
      <c r="G397" s="16">
        <f>IF($C397="","",1)</f>
        <v/>
      </c>
    </row>
    <row r="398">
      <c r="A398" s="16">
        <f>IF('VERI_A'!$A398="","",ROW()-ROW(tblVeriA[[#Headers]]))</f>
        <v/>
      </c>
      <c r="B398" s="23">
        <f>IF('VERI_A'!$A398="","",'VERI_A'!$A398)</f>
        <v/>
      </c>
      <c r="C398" s="16">
        <f>IF($B398="","",IF(OR('VERI_A'!$B398="",'VERI_A'!$B398=0),"TARIH_BOS",IF(LEN(TRIM('VERI_A'!$C398&amp;""))&lt;&gt;dbe_vknUzunluk,"VKN_UZUNLUK",IF('VERI_A'!$G398&lt;0,"TUTAR_NEGATIF",IF('VERI_A'!$I398="","DONEM_EKSIK",""))))</f>
        <v/>
      </c>
      <c r="D398" s="16">
        <f>IF($C398="","",IF($C398="TARIH_BOS","Belge tarihi zorunlu",IF($C398="VKN_UZUNLUK","VKN 10 hane olmalı",IF($C398="TUTAR_NEGATIF","Toplam negatif olamaz",IF($C398="DONEM_EKSIK","Dönem zorunlu","Elle incele"))))</f>
        <v/>
      </c>
      <c r="E398" s="16">
        <f>IF($C398="","",IF(OR($C398="TUTAR_NEGATIF",$C398="TARIH_BOS"),"YUKSEK","ORTA"))</f>
        <v/>
      </c>
      <c r="F398" s="16">
        <f>IF($C398="","",IF(OR($C398="TARIH_BOS",$C398="VKN_UZUNLUK",$C398="TUTAR_NEGATIF",$C398="DONEM_EKSIK"),$C398,"TANIMSIZ"))</f>
        <v/>
      </c>
      <c r="G398" s="16">
        <f>IF($C398="","",1)</f>
        <v/>
      </c>
    </row>
    <row r="399">
      <c r="A399" s="16">
        <f>IF('VERI_A'!$A399="","",ROW()-ROW(tblVeriA[[#Headers]]))</f>
        <v/>
      </c>
      <c r="B399" s="23">
        <f>IF('VERI_A'!$A399="","",'VERI_A'!$A399)</f>
        <v/>
      </c>
      <c r="C399" s="16">
        <f>IF($B399="","",IF(OR('VERI_A'!$B399="",'VERI_A'!$B399=0),"TARIH_BOS",IF(LEN(TRIM('VERI_A'!$C399&amp;""))&lt;&gt;dbe_vknUzunluk,"VKN_UZUNLUK",IF('VERI_A'!$G399&lt;0,"TUTAR_NEGATIF",IF('VERI_A'!$I399="","DONEM_EKSIK",""))))</f>
        <v/>
      </c>
      <c r="D399" s="16">
        <f>IF($C399="","",IF($C399="TARIH_BOS","Belge tarihi zorunlu",IF($C399="VKN_UZUNLUK","VKN 10 hane olmalı",IF($C399="TUTAR_NEGATIF","Toplam negatif olamaz",IF($C399="DONEM_EKSIK","Dönem zorunlu","Elle incele"))))</f>
        <v/>
      </c>
      <c r="E399" s="16">
        <f>IF($C399="","",IF(OR($C399="TUTAR_NEGATIF",$C399="TARIH_BOS"),"YUKSEK","ORTA"))</f>
        <v/>
      </c>
      <c r="F399" s="16">
        <f>IF($C399="","",IF(OR($C399="TARIH_BOS",$C399="VKN_UZUNLUK",$C399="TUTAR_NEGATIF",$C399="DONEM_EKSIK"),$C399,"TANIMSIZ"))</f>
        <v/>
      </c>
      <c r="G399" s="16">
        <f>IF($C399="","",1)</f>
        <v/>
      </c>
    </row>
    <row r="400">
      <c r="A400" s="16">
        <f>IF('VERI_A'!$A400="","",ROW()-ROW(tblVeriA[[#Headers]]))</f>
        <v/>
      </c>
      <c r="B400" s="23">
        <f>IF('VERI_A'!$A400="","",'VERI_A'!$A400)</f>
        <v/>
      </c>
      <c r="C400" s="16">
        <f>IF($B400="","",IF(OR('VERI_A'!$B400="",'VERI_A'!$B400=0),"TARIH_BOS",IF(LEN(TRIM('VERI_A'!$C400&amp;""))&lt;&gt;dbe_vknUzunluk,"VKN_UZUNLUK",IF('VERI_A'!$G400&lt;0,"TUTAR_NEGATIF",IF('VERI_A'!$I400="","DONEM_EKSIK",""))))</f>
        <v/>
      </c>
      <c r="D400" s="16">
        <f>IF($C400="","",IF($C400="TARIH_BOS","Belge tarihi zorunlu",IF($C400="VKN_UZUNLUK","VKN 10 hane olmalı",IF($C400="TUTAR_NEGATIF","Toplam negatif olamaz",IF($C400="DONEM_EKSIK","Dönem zorunlu","Elle incele"))))</f>
        <v/>
      </c>
      <c r="E400" s="16">
        <f>IF($C400="","",IF(OR($C400="TUTAR_NEGATIF",$C400="TARIH_BOS"),"YUKSEK","ORTA"))</f>
        <v/>
      </c>
      <c r="F400" s="16">
        <f>IF($C400="","",IF(OR($C400="TARIH_BOS",$C400="VKN_UZUNLUK",$C400="TUTAR_NEGATIF",$C400="DONEM_EKSIK"),$C400,"TANIMSIZ"))</f>
        <v/>
      </c>
      <c r="G400" s="16">
        <f>IF($C400="","",1)</f>
        <v/>
      </c>
    </row>
    <row r="401">
      <c r="A401" s="16">
        <f>IF('VERI_A'!$A401="","",ROW()-ROW(tblVeriA[[#Headers]]))</f>
        <v/>
      </c>
      <c r="B401" s="23">
        <f>IF('VERI_A'!$A401="","",'VERI_A'!$A401)</f>
        <v/>
      </c>
      <c r="C401" s="16">
        <f>IF($B401="","",IF(OR('VERI_A'!$B401="",'VERI_A'!$B401=0),"TARIH_BOS",IF(LEN(TRIM('VERI_A'!$C401&amp;""))&lt;&gt;dbe_vknUzunluk,"VKN_UZUNLUK",IF('VERI_A'!$G401&lt;0,"TUTAR_NEGATIF",IF('VERI_A'!$I401="","DONEM_EKSIK",""))))</f>
        <v/>
      </c>
      <c r="D401" s="16">
        <f>IF($C401="","",IF($C401="TARIH_BOS","Belge tarihi zorunlu",IF($C401="VKN_UZUNLUK","VKN 10 hane olmalı",IF($C401="TUTAR_NEGATIF","Toplam negatif olamaz",IF($C401="DONEM_EKSIK","Dönem zorunlu","Elle incele"))))</f>
        <v/>
      </c>
      <c r="E401" s="16">
        <f>IF($C401="","",IF(OR($C401="TUTAR_NEGATIF",$C401="TARIH_BOS"),"YUKSEK","ORTA"))</f>
        <v/>
      </c>
      <c r="F401" s="16">
        <f>IF($C401="","",IF(OR($C401="TARIH_BOS",$C401="VKN_UZUNLUK",$C401="TUTAR_NEGATIF",$C401="DONEM_EKSIK"),$C401,"TANIMSIZ"))</f>
        <v/>
      </c>
      <c r="G401" s="16">
        <f>IF($C401="","",1)</f>
        <v/>
      </c>
    </row>
    <row r="402">
      <c r="A402" s="16">
        <f>IF('VERI_A'!$A402="","",ROW()-ROW(tblVeriA[[#Headers]]))</f>
        <v/>
      </c>
      <c r="B402" s="23">
        <f>IF('VERI_A'!$A402="","",'VERI_A'!$A402)</f>
        <v/>
      </c>
      <c r="C402" s="16">
        <f>IF($B402="","",IF(OR('VERI_A'!$B402="",'VERI_A'!$B402=0),"TARIH_BOS",IF(LEN(TRIM('VERI_A'!$C402&amp;""))&lt;&gt;dbe_vknUzunluk,"VKN_UZUNLUK",IF('VERI_A'!$G402&lt;0,"TUTAR_NEGATIF",IF('VERI_A'!$I402="","DONEM_EKSIK",""))))</f>
        <v/>
      </c>
      <c r="D402" s="16">
        <f>IF($C402="","",IF($C402="TARIH_BOS","Belge tarihi zorunlu",IF($C402="VKN_UZUNLUK","VKN 10 hane olmalı",IF($C402="TUTAR_NEGATIF","Toplam negatif olamaz",IF($C402="DONEM_EKSIK","Dönem zorunlu","Elle incele"))))</f>
        <v/>
      </c>
      <c r="E402" s="16">
        <f>IF($C402="","",IF(OR($C402="TUTAR_NEGATIF",$C402="TARIH_BOS"),"YUKSEK","ORTA"))</f>
        <v/>
      </c>
      <c r="F402" s="16">
        <f>IF($C402="","",IF(OR($C402="TARIH_BOS",$C402="VKN_UZUNLUK",$C402="TUTAR_NEGATIF",$C402="DONEM_EKSIK"),$C402,"TANIMSIZ"))</f>
        <v/>
      </c>
      <c r="G402" s="16">
        <f>IF($C402="","",1)</f>
        <v/>
      </c>
    </row>
    <row r="403">
      <c r="A403" s="16">
        <f>IF('VERI_A'!$A403="","",ROW()-ROW(tblVeriA[[#Headers]]))</f>
        <v/>
      </c>
      <c r="B403" s="23">
        <f>IF('VERI_A'!$A403="","",'VERI_A'!$A403)</f>
        <v/>
      </c>
      <c r="C403" s="16">
        <f>IF($B403="","",IF(OR('VERI_A'!$B403="",'VERI_A'!$B403=0),"TARIH_BOS",IF(LEN(TRIM('VERI_A'!$C403&amp;""))&lt;&gt;dbe_vknUzunluk,"VKN_UZUNLUK",IF('VERI_A'!$G403&lt;0,"TUTAR_NEGATIF",IF('VERI_A'!$I403="","DONEM_EKSIK",""))))</f>
        <v/>
      </c>
      <c r="D403" s="16">
        <f>IF($C403="","",IF($C403="TARIH_BOS","Belge tarihi zorunlu",IF($C403="VKN_UZUNLUK","VKN 10 hane olmalı",IF($C403="TUTAR_NEGATIF","Toplam negatif olamaz",IF($C403="DONEM_EKSIK","Dönem zorunlu","Elle incele"))))</f>
        <v/>
      </c>
      <c r="E403" s="16">
        <f>IF($C403="","",IF(OR($C403="TUTAR_NEGATIF",$C403="TARIH_BOS"),"YUKSEK","ORTA"))</f>
        <v/>
      </c>
      <c r="F403" s="16">
        <f>IF($C403="","",IF(OR($C403="TARIH_BOS",$C403="VKN_UZUNLUK",$C403="TUTAR_NEGATIF",$C403="DONEM_EKSIK"),$C403,"TANIMSIZ"))</f>
        <v/>
      </c>
      <c r="G403" s="16">
        <f>IF($C403="","",1)</f>
        <v/>
      </c>
    </row>
    <row r="404">
      <c r="A404" s="16">
        <f>IF('VERI_A'!$A404="","",ROW()-ROW(tblVeriA[[#Headers]]))</f>
        <v/>
      </c>
      <c r="B404" s="23">
        <f>IF('VERI_A'!$A404="","",'VERI_A'!$A404)</f>
        <v/>
      </c>
      <c r="C404" s="16">
        <f>IF($B404="","",IF(OR('VERI_A'!$B404="",'VERI_A'!$B404=0),"TARIH_BOS",IF(LEN(TRIM('VERI_A'!$C404&amp;""))&lt;&gt;dbe_vknUzunluk,"VKN_UZUNLUK",IF('VERI_A'!$G404&lt;0,"TUTAR_NEGATIF",IF('VERI_A'!$I404="","DONEM_EKSIK",""))))</f>
        <v/>
      </c>
      <c r="D404" s="16">
        <f>IF($C404="","",IF($C404="TARIH_BOS","Belge tarihi zorunlu",IF($C404="VKN_UZUNLUK","VKN 10 hane olmalı",IF($C404="TUTAR_NEGATIF","Toplam negatif olamaz",IF($C404="DONEM_EKSIK","Dönem zorunlu","Elle incele"))))</f>
        <v/>
      </c>
      <c r="E404" s="16">
        <f>IF($C404="","",IF(OR($C404="TUTAR_NEGATIF",$C404="TARIH_BOS"),"YUKSEK","ORTA"))</f>
        <v/>
      </c>
      <c r="F404" s="16">
        <f>IF($C404="","",IF(OR($C404="TARIH_BOS",$C404="VKN_UZUNLUK",$C404="TUTAR_NEGATIF",$C404="DONEM_EKSIK"),$C404,"TANIMSIZ"))</f>
        <v/>
      </c>
      <c r="G404" s="16">
        <f>IF($C404="","",1)</f>
        <v/>
      </c>
    </row>
    <row r="405">
      <c r="A405" s="16">
        <f>IF('VERI_A'!$A405="","",ROW()-ROW(tblVeriA[[#Headers]]))</f>
        <v/>
      </c>
      <c r="B405" s="23">
        <f>IF('VERI_A'!$A405="","",'VERI_A'!$A405)</f>
        <v/>
      </c>
      <c r="C405" s="16">
        <f>IF($B405="","",IF(OR('VERI_A'!$B405="",'VERI_A'!$B405=0),"TARIH_BOS",IF(LEN(TRIM('VERI_A'!$C405&amp;""))&lt;&gt;dbe_vknUzunluk,"VKN_UZUNLUK",IF('VERI_A'!$G405&lt;0,"TUTAR_NEGATIF",IF('VERI_A'!$I405="","DONEM_EKSIK",""))))</f>
        <v/>
      </c>
      <c r="D405" s="16">
        <f>IF($C405="","",IF($C405="TARIH_BOS","Belge tarihi zorunlu",IF($C405="VKN_UZUNLUK","VKN 10 hane olmalı",IF($C405="TUTAR_NEGATIF","Toplam negatif olamaz",IF($C405="DONEM_EKSIK","Dönem zorunlu","Elle incele"))))</f>
        <v/>
      </c>
      <c r="E405" s="16">
        <f>IF($C405="","",IF(OR($C405="TUTAR_NEGATIF",$C405="TARIH_BOS"),"YUKSEK","ORTA"))</f>
        <v/>
      </c>
      <c r="F405" s="16">
        <f>IF($C405="","",IF(OR($C405="TARIH_BOS",$C405="VKN_UZUNLUK",$C405="TUTAR_NEGATIF",$C405="DONEM_EKSIK"),$C405,"TANIMSIZ"))</f>
        <v/>
      </c>
      <c r="G405" s="16">
        <f>IF($C405="","",1)</f>
        <v/>
      </c>
    </row>
    <row r="406">
      <c r="A406" s="16">
        <f>IF('VERI_A'!$A406="","",ROW()-ROW(tblVeriA[[#Headers]]))</f>
        <v/>
      </c>
      <c r="B406" s="23">
        <f>IF('VERI_A'!$A406="","",'VERI_A'!$A406)</f>
        <v/>
      </c>
      <c r="C406" s="16">
        <f>IF($B406="","",IF(OR('VERI_A'!$B406="",'VERI_A'!$B406=0),"TARIH_BOS",IF(LEN(TRIM('VERI_A'!$C406&amp;""))&lt;&gt;dbe_vknUzunluk,"VKN_UZUNLUK",IF('VERI_A'!$G406&lt;0,"TUTAR_NEGATIF",IF('VERI_A'!$I406="","DONEM_EKSIK",""))))</f>
        <v/>
      </c>
      <c r="D406" s="16">
        <f>IF($C406="","",IF($C406="TARIH_BOS","Belge tarihi zorunlu",IF($C406="VKN_UZUNLUK","VKN 10 hane olmalı",IF($C406="TUTAR_NEGATIF","Toplam negatif olamaz",IF($C406="DONEM_EKSIK","Dönem zorunlu","Elle incele"))))</f>
        <v/>
      </c>
      <c r="E406" s="16">
        <f>IF($C406="","",IF(OR($C406="TUTAR_NEGATIF",$C406="TARIH_BOS"),"YUKSEK","ORTA"))</f>
        <v/>
      </c>
      <c r="F406" s="16">
        <f>IF($C406="","",IF(OR($C406="TARIH_BOS",$C406="VKN_UZUNLUK",$C406="TUTAR_NEGATIF",$C406="DONEM_EKSIK"),$C406,"TANIMSIZ"))</f>
        <v/>
      </c>
      <c r="G406" s="16">
        <f>IF($C406="","",1)</f>
        <v/>
      </c>
    </row>
    <row r="407">
      <c r="A407" s="16">
        <f>IF('VERI_A'!$A407="","",ROW()-ROW(tblVeriA[[#Headers]]))</f>
        <v/>
      </c>
      <c r="B407" s="23">
        <f>IF('VERI_A'!$A407="","",'VERI_A'!$A407)</f>
        <v/>
      </c>
      <c r="C407" s="16">
        <f>IF($B407="","",IF(OR('VERI_A'!$B407="",'VERI_A'!$B407=0),"TARIH_BOS",IF(LEN(TRIM('VERI_A'!$C407&amp;""))&lt;&gt;dbe_vknUzunluk,"VKN_UZUNLUK",IF('VERI_A'!$G407&lt;0,"TUTAR_NEGATIF",IF('VERI_A'!$I407="","DONEM_EKSIK",""))))</f>
        <v/>
      </c>
      <c r="D407" s="16">
        <f>IF($C407="","",IF($C407="TARIH_BOS","Belge tarihi zorunlu",IF($C407="VKN_UZUNLUK","VKN 10 hane olmalı",IF($C407="TUTAR_NEGATIF","Toplam negatif olamaz",IF($C407="DONEM_EKSIK","Dönem zorunlu","Elle incele"))))</f>
        <v/>
      </c>
      <c r="E407" s="16">
        <f>IF($C407="","",IF(OR($C407="TUTAR_NEGATIF",$C407="TARIH_BOS"),"YUKSEK","ORTA"))</f>
        <v/>
      </c>
      <c r="F407" s="16">
        <f>IF($C407="","",IF(OR($C407="TARIH_BOS",$C407="VKN_UZUNLUK",$C407="TUTAR_NEGATIF",$C407="DONEM_EKSIK"),$C407,"TANIMSIZ"))</f>
        <v/>
      </c>
      <c r="G407" s="16">
        <f>IF($C407="","",1)</f>
        <v/>
      </c>
    </row>
    <row r="408">
      <c r="A408" s="16">
        <f>IF('VERI_A'!$A408="","",ROW()-ROW(tblVeriA[[#Headers]]))</f>
        <v/>
      </c>
      <c r="B408" s="23">
        <f>IF('VERI_A'!$A408="","",'VERI_A'!$A408)</f>
        <v/>
      </c>
      <c r="C408" s="16">
        <f>IF($B408="","",IF(OR('VERI_A'!$B408="",'VERI_A'!$B408=0),"TARIH_BOS",IF(LEN(TRIM('VERI_A'!$C408&amp;""))&lt;&gt;dbe_vknUzunluk,"VKN_UZUNLUK",IF('VERI_A'!$G408&lt;0,"TUTAR_NEGATIF",IF('VERI_A'!$I408="","DONEM_EKSIK",""))))</f>
        <v/>
      </c>
      <c r="D408" s="16">
        <f>IF($C408="","",IF($C408="TARIH_BOS","Belge tarihi zorunlu",IF($C408="VKN_UZUNLUK","VKN 10 hane olmalı",IF($C408="TUTAR_NEGATIF","Toplam negatif olamaz",IF($C408="DONEM_EKSIK","Dönem zorunlu","Elle incele"))))</f>
        <v/>
      </c>
      <c r="E408" s="16">
        <f>IF($C408="","",IF(OR($C408="TUTAR_NEGATIF",$C408="TARIH_BOS"),"YUKSEK","ORTA"))</f>
        <v/>
      </c>
      <c r="F408" s="16">
        <f>IF($C408="","",IF(OR($C408="TARIH_BOS",$C408="VKN_UZUNLUK",$C408="TUTAR_NEGATIF",$C408="DONEM_EKSIK"),$C408,"TANIMSIZ"))</f>
        <v/>
      </c>
      <c r="G408" s="16">
        <f>IF($C408="","",1)</f>
        <v/>
      </c>
    </row>
    <row r="409">
      <c r="A409" s="16">
        <f>IF('VERI_A'!$A409="","",ROW()-ROW(tblVeriA[[#Headers]]))</f>
        <v/>
      </c>
      <c r="B409" s="23">
        <f>IF('VERI_A'!$A409="","",'VERI_A'!$A409)</f>
        <v/>
      </c>
      <c r="C409" s="16">
        <f>IF($B409="","",IF(OR('VERI_A'!$B409="",'VERI_A'!$B409=0),"TARIH_BOS",IF(LEN(TRIM('VERI_A'!$C409&amp;""))&lt;&gt;dbe_vknUzunluk,"VKN_UZUNLUK",IF('VERI_A'!$G409&lt;0,"TUTAR_NEGATIF",IF('VERI_A'!$I409="","DONEM_EKSIK",""))))</f>
        <v/>
      </c>
      <c r="D409" s="16">
        <f>IF($C409="","",IF($C409="TARIH_BOS","Belge tarihi zorunlu",IF($C409="VKN_UZUNLUK","VKN 10 hane olmalı",IF($C409="TUTAR_NEGATIF","Toplam negatif olamaz",IF($C409="DONEM_EKSIK","Dönem zorunlu","Elle incele"))))</f>
        <v/>
      </c>
      <c r="E409" s="16">
        <f>IF($C409="","",IF(OR($C409="TUTAR_NEGATIF",$C409="TARIH_BOS"),"YUKSEK","ORTA"))</f>
        <v/>
      </c>
      <c r="F409" s="16">
        <f>IF($C409="","",IF(OR($C409="TARIH_BOS",$C409="VKN_UZUNLUK",$C409="TUTAR_NEGATIF",$C409="DONEM_EKSIK"),$C409,"TANIMSIZ"))</f>
        <v/>
      </c>
      <c r="G409" s="16">
        <f>IF($C409="","",1)</f>
        <v/>
      </c>
    </row>
    <row r="410">
      <c r="A410" s="16">
        <f>IF('VERI_A'!$A410="","",ROW()-ROW(tblVeriA[[#Headers]]))</f>
        <v/>
      </c>
      <c r="B410" s="23">
        <f>IF('VERI_A'!$A410="","",'VERI_A'!$A410)</f>
        <v/>
      </c>
      <c r="C410" s="16">
        <f>IF($B410="","",IF(OR('VERI_A'!$B410="",'VERI_A'!$B410=0),"TARIH_BOS",IF(LEN(TRIM('VERI_A'!$C410&amp;""))&lt;&gt;dbe_vknUzunluk,"VKN_UZUNLUK",IF('VERI_A'!$G410&lt;0,"TUTAR_NEGATIF",IF('VERI_A'!$I410="","DONEM_EKSIK",""))))</f>
        <v/>
      </c>
      <c r="D410" s="16">
        <f>IF($C410="","",IF($C410="TARIH_BOS","Belge tarihi zorunlu",IF($C410="VKN_UZUNLUK","VKN 10 hane olmalı",IF($C410="TUTAR_NEGATIF","Toplam negatif olamaz",IF($C410="DONEM_EKSIK","Dönem zorunlu","Elle incele"))))</f>
        <v/>
      </c>
      <c r="E410" s="16">
        <f>IF($C410="","",IF(OR($C410="TUTAR_NEGATIF",$C410="TARIH_BOS"),"YUKSEK","ORTA"))</f>
        <v/>
      </c>
      <c r="F410" s="16">
        <f>IF($C410="","",IF(OR($C410="TARIH_BOS",$C410="VKN_UZUNLUK",$C410="TUTAR_NEGATIF",$C410="DONEM_EKSIK"),$C410,"TANIMSIZ"))</f>
        <v/>
      </c>
      <c r="G410" s="16">
        <f>IF($C410="","",1)</f>
        <v/>
      </c>
    </row>
    <row r="411">
      <c r="A411" s="16">
        <f>IF('VERI_A'!$A411="","",ROW()-ROW(tblVeriA[[#Headers]]))</f>
        <v/>
      </c>
      <c r="B411" s="23">
        <f>IF('VERI_A'!$A411="","",'VERI_A'!$A411)</f>
        <v/>
      </c>
      <c r="C411" s="16">
        <f>IF($B411="","",IF(OR('VERI_A'!$B411="",'VERI_A'!$B411=0),"TARIH_BOS",IF(LEN(TRIM('VERI_A'!$C411&amp;""))&lt;&gt;dbe_vknUzunluk,"VKN_UZUNLUK",IF('VERI_A'!$G411&lt;0,"TUTAR_NEGATIF",IF('VERI_A'!$I411="","DONEM_EKSIK",""))))</f>
        <v/>
      </c>
      <c r="D411" s="16">
        <f>IF($C411="","",IF($C411="TARIH_BOS","Belge tarihi zorunlu",IF($C411="VKN_UZUNLUK","VKN 10 hane olmalı",IF($C411="TUTAR_NEGATIF","Toplam negatif olamaz",IF($C411="DONEM_EKSIK","Dönem zorunlu","Elle incele"))))</f>
        <v/>
      </c>
      <c r="E411" s="16">
        <f>IF($C411="","",IF(OR($C411="TUTAR_NEGATIF",$C411="TARIH_BOS"),"YUKSEK","ORTA"))</f>
        <v/>
      </c>
      <c r="F411" s="16">
        <f>IF($C411="","",IF(OR($C411="TARIH_BOS",$C411="VKN_UZUNLUK",$C411="TUTAR_NEGATIF",$C411="DONEM_EKSIK"),$C411,"TANIMSIZ"))</f>
        <v/>
      </c>
      <c r="G411" s="16">
        <f>IF($C411="","",1)</f>
        <v/>
      </c>
    </row>
    <row r="412">
      <c r="A412" s="16">
        <f>IF('VERI_A'!$A412="","",ROW()-ROW(tblVeriA[[#Headers]]))</f>
        <v/>
      </c>
      <c r="B412" s="23">
        <f>IF('VERI_A'!$A412="","",'VERI_A'!$A412)</f>
        <v/>
      </c>
      <c r="C412" s="16">
        <f>IF($B412="","",IF(OR('VERI_A'!$B412="",'VERI_A'!$B412=0),"TARIH_BOS",IF(LEN(TRIM('VERI_A'!$C412&amp;""))&lt;&gt;dbe_vknUzunluk,"VKN_UZUNLUK",IF('VERI_A'!$G412&lt;0,"TUTAR_NEGATIF",IF('VERI_A'!$I412="","DONEM_EKSIK",""))))</f>
        <v/>
      </c>
      <c r="D412" s="16">
        <f>IF($C412="","",IF($C412="TARIH_BOS","Belge tarihi zorunlu",IF($C412="VKN_UZUNLUK","VKN 10 hane olmalı",IF($C412="TUTAR_NEGATIF","Toplam negatif olamaz",IF($C412="DONEM_EKSIK","Dönem zorunlu","Elle incele"))))</f>
        <v/>
      </c>
      <c r="E412" s="16">
        <f>IF($C412="","",IF(OR($C412="TUTAR_NEGATIF",$C412="TARIH_BOS"),"YUKSEK","ORTA"))</f>
        <v/>
      </c>
      <c r="F412" s="16">
        <f>IF($C412="","",IF(OR($C412="TARIH_BOS",$C412="VKN_UZUNLUK",$C412="TUTAR_NEGATIF",$C412="DONEM_EKSIK"),$C412,"TANIMSIZ"))</f>
        <v/>
      </c>
      <c r="G412" s="16">
        <f>IF($C412="","",1)</f>
        <v/>
      </c>
    </row>
    <row r="413">
      <c r="A413" s="16">
        <f>IF('VERI_A'!$A413="","",ROW()-ROW(tblVeriA[[#Headers]]))</f>
        <v/>
      </c>
      <c r="B413" s="23">
        <f>IF('VERI_A'!$A413="","",'VERI_A'!$A413)</f>
        <v/>
      </c>
      <c r="C413" s="16">
        <f>IF($B413="","",IF(OR('VERI_A'!$B413="",'VERI_A'!$B413=0),"TARIH_BOS",IF(LEN(TRIM('VERI_A'!$C413&amp;""))&lt;&gt;dbe_vknUzunluk,"VKN_UZUNLUK",IF('VERI_A'!$G413&lt;0,"TUTAR_NEGATIF",IF('VERI_A'!$I413="","DONEM_EKSIK",""))))</f>
        <v/>
      </c>
      <c r="D413" s="16">
        <f>IF($C413="","",IF($C413="TARIH_BOS","Belge tarihi zorunlu",IF($C413="VKN_UZUNLUK","VKN 10 hane olmalı",IF($C413="TUTAR_NEGATIF","Toplam negatif olamaz",IF($C413="DONEM_EKSIK","Dönem zorunlu","Elle incele"))))</f>
        <v/>
      </c>
      <c r="E413" s="16">
        <f>IF($C413="","",IF(OR($C413="TUTAR_NEGATIF",$C413="TARIH_BOS"),"YUKSEK","ORTA"))</f>
        <v/>
      </c>
      <c r="F413" s="16">
        <f>IF($C413="","",IF(OR($C413="TARIH_BOS",$C413="VKN_UZUNLUK",$C413="TUTAR_NEGATIF",$C413="DONEM_EKSIK"),$C413,"TANIMSIZ"))</f>
        <v/>
      </c>
      <c r="G413" s="16">
        <f>IF($C413="","",1)</f>
        <v/>
      </c>
    </row>
    <row r="414">
      <c r="A414" s="16">
        <f>IF('VERI_A'!$A414="","",ROW()-ROW(tblVeriA[[#Headers]]))</f>
        <v/>
      </c>
      <c r="B414" s="23">
        <f>IF('VERI_A'!$A414="","",'VERI_A'!$A414)</f>
        <v/>
      </c>
      <c r="C414" s="16">
        <f>IF($B414="","",IF(OR('VERI_A'!$B414="",'VERI_A'!$B414=0),"TARIH_BOS",IF(LEN(TRIM('VERI_A'!$C414&amp;""))&lt;&gt;dbe_vknUzunluk,"VKN_UZUNLUK",IF('VERI_A'!$G414&lt;0,"TUTAR_NEGATIF",IF('VERI_A'!$I414="","DONEM_EKSIK",""))))</f>
        <v/>
      </c>
      <c r="D414" s="16">
        <f>IF($C414="","",IF($C414="TARIH_BOS","Belge tarihi zorunlu",IF($C414="VKN_UZUNLUK","VKN 10 hane olmalı",IF($C414="TUTAR_NEGATIF","Toplam negatif olamaz",IF($C414="DONEM_EKSIK","Dönem zorunlu","Elle incele"))))</f>
        <v/>
      </c>
      <c r="E414" s="16">
        <f>IF($C414="","",IF(OR($C414="TUTAR_NEGATIF",$C414="TARIH_BOS"),"YUKSEK","ORTA"))</f>
        <v/>
      </c>
      <c r="F414" s="16">
        <f>IF($C414="","",IF(OR($C414="TARIH_BOS",$C414="VKN_UZUNLUK",$C414="TUTAR_NEGATIF",$C414="DONEM_EKSIK"),$C414,"TANIMSIZ"))</f>
        <v/>
      </c>
      <c r="G414" s="16">
        <f>IF($C414="","",1)</f>
        <v/>
      </c>
    </row>
    <row r="415">
      <c r="A415" s="16">
        <f>IF('VERI_A'!$A415="","",ROW()-ROW(tblVeriA[[#Headers]]))</f>
        <v/>
      </c>
      <c r="B415" s="23">
        <f>IF('VERI_A'!$A415="","",'VERI_A'!$A415)</f>
        <v/>
      </c>
      <c r="C415" s="16">
        <f>IF($B415="","",IF(OR('VERI_A'!$B415="",'VERI_A'!$B415=0),"TARIH_BOS",IF(LEN(TRIM('VERI_A'!$C415&amp;""))&lt;&gt;dbe_vknUzunluk,"VKN_UZUNLUK",IF('VERI_A'!$G415&lt;0,"TUTAR_NEGATIF",IF('VERI_A'!$I415="","DONEM_EKSIK",""))))</f>
        <v/>
      </c>
      <c r="D415" s="16">
        <f>IF($C415="","",IF($C415="TARIH_BOS","Belge tarihi zorunlu",IF($C415="VKN_UZUNLUK","VKN 10 hane olmalı",IF($C415="TUTAR_NEGATIF","Toplam negatif olamaz",IF($C415="DONEM_EKSIK","Dönem zorunlu","Elle incele"))))</f>
        <v/>
      </c>
      <c r="E415" s="16">
        <f>IF($C415="","",IF(OR($C415="TUTAR_NEGATIF",$C415="TARIH_BOS"),"YUKSEK","ORTA"))</f>
        <v/>
      </c>
      <c r="F415" s="16">
        <f>IF($C415="","",IF(OR($C415="TARIH_BOS",$C415="VKN_UZUNLUK",$C415="TUTAR_NEGATIF",$C415="DONEM_EKSIK"),$C415,"TANIMSIZ"))</f>
        <v/>
      </c>
      <c r="G415" s="16">
        <f>IF($C415="","",1)</f>
        <v/>
      </c>
    </row>
    <row r="416">
      <c r="A416" s="16">
        <f>IF('VERI_A'!$A416="","",ROW()-ROW(tblVeriA[[#Headers]]))</f>
        <v/>
      </c>
      <c r="B416" s="23">
        <f>IF('VERI_A'!$A416="","",'VERI_A'!$A416)</f>
        <v/>
      </c>
      <c r="C416" s="16">
        <f>IF($B416="","",IF(OR('VERI_A'!$B416="",'VERI_A'!$B416=0),"TARIH_BOS",IF(LEN(TRIM('VERI_A'!$C416&amp;""))&lt;&gt;dbe_vknUzunluk,"VKN_UZUNLUK",IF('VERI_A'!$G416&lt;0,"TUTAR_NEGATIF",IF('VERI_A'!$I416="","DONEM_EKSIK",""))))</f>
        <v/>
      </c>
      <c r="D416" s="16">
        <f>IF($C416="","",IF($C416="TARIH_BOS","Belge tarihi zorunlu",IF($C416="VKN_UZUNLUK","VKN 10 hane olmalı",IF($C416="TUTAR_NEGATIF","Toplam negatif olamaz",IF($C416="DONEM_EKSIK","Dönem zorunlu","Elle incele"))))</f>
        <v/>
      </c>
      <c r="E416" s="16">
        <f>IF($C416="","",IF(OR($C416="TUTAR_NEGATIF",$C416="TARIH_BOS"),"YUKSEK","ORTA"))</f>
        <v/>
      </c>
      <c r="F416" s="16">
        <f>IF($C416="","",IF(OR($C416="TARIH_BOS",$C416="VKN_UZUNLUK",$C416="TUTAR_NEGATIF",$C416="DONEM_EKSIK"),$C416,"TANIMSIZ"))</f>
        <v/>
      </c>
      <c r="G416" s="16">
        <f>IF($C416="","",1)</f>
        <v/>
      </c>
    </row>
    <row r="417">
      <c r="A417" s="16">
        <f>IF('VERI_A'!$A417="","",ROW()-ROW(tblVeriA[[#Headers]]))</f>
        <v/>
      </c>
      <c r="B417" s="23">
        <f>IF('VERI_A'!$A417="","",'VERI_A'!$A417)</f>
        <v/>
      </c>
      <c r="C417" s="16">
        <f>IF($B417="","",IF(OR('VERI_A'!$B417="",'VERI_A'!$B417=0),"TARIH_BOS",IF(LEN(TRIM('VERI_A'!$C417&amp;""))&lt;&gt;dbe_vknUzunluk,"VKN_UZUNLUK",IF('VERI_A'!$G417&lt;0,"TUTAR_NEGATIF",IF('VERI_A'!$I417="","DONEM_EKSIK",""))))</f>
        <v/>
      </c>
      <c r="D417" s="16">
        <f>IF($C417="","",IF($C417="TARIH_BOS","Belge tarihi zorunlu",IF($C417="VKN_UZUNLUK","VKN 10 hane olmalı",IF($C417="TUTAR_NEGATIF","Toplam negatif olamaz",IF($C417="DONEM_EKSIK","Dönem zorunlu","Elle incele"))))</f>
        <v/>
      </c>
      <c r="E417" s="16">
        <f>IF($C417="","",IF(OR($C417="TUTAR_NEGATIF",$C417="TARIH_BOS"),"YUKSEK","ORTA"))</f>
        <v/>
      </c>
      <c r="F417" s="16">
        <f>IF($C417="","",IF(OR($C417="TARIH_BOS",$C417="VKN_UZUNLUK",$C417="TUTAR_NEGATIF",$C417="DONEM_EKSIK"),$C417,"TANIMSIZ"))</f>
        <v/>
      </c>
      <c r="G417" s="16">
        <f>IF($C417="","",1)</f>
        <v/>
      </c>
    </row>
    <row r="418">
      <c r="A418" s="16">
        <f>IF('VERI_A'!$A418="","",ROW()-ROW(tblVeriA[[#Headers]]))</f>
        <v/>
      </c>
      <c r="B418" s="23">
        <f>IF('VERI_A'!$A418="","",'VERI_A'!$A418)</f>
        <v/>
      </c>
      <c r="C418" s="16">
        <f>IF($B418="","",IF(OR('VERI_A'!$B418="",'VERI_A'!$B418=0),"TARIH_BOS",IF(LEN(TRIM('VERI_A'!$C418&amp;""))&lt;&gt;dbe_vknUzunluk,"VKN_UZUNLUK",IF('VERI_A'!$G418&lt;0,"TUTAR_NEGATIF",IF('VERI_A'!$I418="","DONEM_EKSIK",""))))</f>
        <v/>
      </c>
      <c r="D418" s="16">
        <f>IF($C418="","",IF($C418="TARIH_BOS","Belge tarihi zorunlu",IF($C418="VKN_UZUNLUK","VKN 10 hane olmalı",IF($C418="TUTAR_NEGATIF","Toplam negatif olamaz",IF($C418="DONEM_EKSIK","Dönem zorunlu","Elle incele"))))</f>
        <v/>
      </c>
      <c r="E418" s="16">
        <f>IF($C418="","",IF(OR($C418="TUTAR_NEGATIF",$C418="TARIH_BOS"),"YUKSEK","ORTA"))</f>
        <v/>
      </c>
      <c r="F418" s="16">
        <f>IF($C418="","",IF(OR($C418="TARIH_BOS",$C418="VKN_UZUNLUK",$C418="TUTAR_NEGATIF",$C418="DONEM_EKSIK"),$C418,"TANIMSIZ"))</f>
        <v/>
      </c>
      <c r="G418" s="16">
        <f>IF($C418="","",1)</f>
        <v/>
      </c>
    </row>
    <row r="419">
      <c r="A419" s="16">
        <f>IF('VERI_A'!$A419="","",ROW()-ROW(tblVeriA[[#Headers]]))</f>
        <v/>
      </c>
      <c r="B419" s="23">
        <f>IF('VERI_A'!$A419="","",'VERI_A'!$A419)</f>
        <v/>
      </c>
      <c r="C419" s="16">
        <f>IF($B419="","",IF(OR('VERI_A'!$B419="",'VERI_A'!$B419=0),"TARIH_BOS",IF(LEN(TRIM('VERI_A'!$C419&amp;""))&lt;&gt;dbe_vknUzunluk,"VKN_UZUNLUK",IF('VERI_A'!$G419&lt;0,"TUTAR_NEGATIF",IF('VERI_A'!$I419="","DONEM_EKSIK",""))))</f>
        <v/>
      </c>
      <c r="D419" s="16">
        <f>IF($C419="","",IF($C419="TARIH_BOS","Belge tarihi zorunlu",IF($C419="VKN_UZUNLUK","VKN 10 hane olmalı",IF($C419="TUTAR_NEGATIF","Toplam negatif olamaz",IF($C419="DONEM_EKSIK","Dönem zorunlu","Elle incele"))))</f>
        <v/>
      </c>
      <c r="E419" s="16">
        <f>IF($C419="","",IF(OR($C419="TUTAR_NEGATIF",$C419="TARIH_BOS"),"YUKSEK","ORTA"))</f>
        <v/>
      </c>
      <c r="F419" s="16">
        <f>IF($C419="","",IF(OR($C419="TARIH_BOS",$C419="VKN_UZUNLUK",$C419="TUTAR_NEGATIF",$C419="DONEM_EKSIK"),$C419,"TANIMSIZ"))</f>
        <v/>
      </c>
      <c r="G419" s="16">
        <f>IF($C419="","",1)</f>
        <v/>
      </c>
    </row>
    <row r="420">
      <c r="A420" s="16">
        <f>IF('VERI_A'!$A420="","",ROW()-ROW(tblVeriA[[#Headers]]))</f>
        <v/>
      </c>
      <c r="B420" s="23">
        <f>IF('VERI_A'!$A420="","",'VERI_A'!$A420)</f>
        <v/>
      </c>
      <c r="C420" s="16">
        <f>IF($B420="","",IF(OR('VERI_A'!$B420="",'VERI_A'!$B420=0),"TARIH_BOS",IF(LEN(TRIM('VERI_A'!$C420&amp;""))&lt;&gt;dbe_vknUzunluk,"VKN_UZUNLUK",IF('VERI_A'!$G420&lt;0,"TUTAR_NEGATIF",IF('VERI_A'!$I420="","DONEM_EKSIK",""))))</f>
        <v/>
      </c>
      <c r="D420" s="16">
        <f>IF($C420="","",IF($C420="TARIH_BOS","Belge tarihi zorunlu",IF($C420="VKN_UZUNLUK","VKN 10 hane olmalı",IF($C420="TUTAR_NEGATIF","Toplam negatif olamaz",IF($C420="DONEM_EKSIK","Dönem zorunlu","Elle incele"))))</f>
        <v/>
      </c>
      <c r="E420" s="16">
        <f>IF($C420="","",IF(OR($C420="TUTAR_NEGATIF",$C420="TARIH_BOS"),"YUKSEK","ORTA"))</f>
        <v/>
      </c>
      <c r="F420" s="16">
        <f>IF($C420="","",IF(OR($C420="TARIH_BOS",$C420="VKN_UZUNLUK",$C420="TUTAR_NEGATIF",$C420="DONEM_EKSIK"),$C420,"TANIMSIZ"))</f>
        <v/>
      </c>
      <c r="G420" s="16">
        <f>IF($C420="","",1)</f>
        <v/>
      </c>
    </row>
    <row r="421">
      <c r="A421" s="16">
        <f>IF('VERI_A'!$A421="","",ROW()-ROW(tblVeriA[[#Headers]]))</f>
        <v/>
      </c>
      <c r="B421" s="23">
        <f>IF('VERI_A'!$A421="","",'VERI_A'!$A421)</f>
        <v/>
      </c>
      <c r="C421" s="16">
        <f>IF($B421="","",IF(OR('VERI_A'!$B421="",'VERI_A'!$B421=0),"TARIH_BOS",IF(LEN(TRIM('VERI_A'!$C421&amp;""))&lt;&gt;dbe_vknUzunluk,"VKN_UZUNLUK",IF('VERI_A'!$G421&lt;0,"TUTAR_NEGATIF",IF('VERI_A'!$I421="","DONEM_EKSIK",""))))</f>
        <v/>
      </c>
      <c r="D421" s="16">
        <f>IF($C421="","",IF($C421="TARIH_BOS","Belge tarihi zorunlu",IF($C421="VKN_UZUNLUK","VKN 10 hane olmalı",IF($C421="TUTAR_NEGATIF","Toplam negatif olamaz",IF($C421="DONEM_EKSIK","Dönem zorunlu","Elle incele"))))</f>
        <v/>
      </c>
      <c r="E421" s="16">
        <f>IF($C421="","",IF(OR($C421="TUTAR_NEGATIF",$C421="TARIH_BOS"),"YUKSEK","ORTA"))</f>
        <v/>
      </c>
      <c r="F421" s="16">
        <f>IF($C421="","",IF(OR($C421="TARIH_BOS",$C421="VKN_UZUNLUK",$C421="TUTAR_NEGATIF",$C421="DONEM_EKSIK"),$C421,"TANIMSIZ"))</f>
        <v/>
      </c>
      <c r="G421" s="16">
        <f>IF($C421="","",1)</f>
        <v/>
      </c>
    </row>
    <row r="422">
      <c r="A422" s="16">
        <f>IF('VERI_A'!$A422="","",ROW()-ROW(tblVeriA[[#Headers]]))</f>
        <v/>
      </c>
      <c r="B422" s="23">
        <f>IF('VERI_A'!$A422="","",'VERI_A'!$A422)</f>
        <v/>
      </c>
      <c r="C422" s="16">
        <f>IF($B422="","",IF(OR('VERI_A'!$B422="",'VERI_A'!$B422=0),"TARIH_BOS",IF(LEN(TRIM('VERI_A'!$C422&amp;""))&lt;&gt;dbe_vknUzunluk,"VKN_UZUNLUK",IF('VERI_A'!$G422&lt;0,"TUTAR_NEGATIF",IF('VERI_A'!$I422="","DONEM_EKSIK",""))))</f>
        <v/>
      </c>
      <c r="D422" s="16">
        <f>IF($C422="","",IF($C422="TARIH_BOS","Belge tarihi zorunlu",IF($C422="VKN_UZUNLUK","VKN 10 hane olmalı",IF($C422="TUTAR_NEGATIF","Toplam negatif olamaz",IF($C422="DONEM_EKSIK","Dönem zorunlu","Elle incele"))))</f>
        <v/>
      </c>
      <c r="E422" s="16">
        <f>IF($C422="","",IF(OR($C422="TUTAR_NEGATIF",$C422="TARIH_BOS"),"YUKSEK","ORTA"))</f>
        <v/>
      </c>
      <c r="F422" s="16">
        <f>IF($C422="","",IF(OR($C422="TARIH_BOS",$C422="VKN_UZUNLUK",$C422="TUTAR_NEGATIF",$C422="DONEM_EKSIK"),$C422,"TANIMSIZ"))</f>
        <v/>
      </c>
      <c r="G422" s="16">
        <f>IF($C422="","",1)</f>
        <v/>
      </c>
    </row>
    <row r="423">
      <c r="A423" s="16">
        <f>IF('VERI_A'!$A423="","",ROW()-ROW(tblVeriA[[#Headers]]))</f>
        <v/>
      </c>
      <c r="B423" s="23">
        <f>IF('VERI_A'!$A423="","",'VERI_A'!$A423)</f>
        <v/>
      </c>
      <c r="C423" s="16">
        <f>IF($B423="","",IF(OR('VERI_A'!$B423="",'VERI_A'!$B423=0),"TARIH_BOS",IF(LEN(TRIM('VERI_A'!$C423&amp;""))&lt;&gt;dbe_vknUzunluk,"VKN_UZUNLUK",IF('VERI_A'!$G423&lt;0,"TUTAR_NEGATIF",IF('VERI_A'!$I423="","DONEM_EKSIK",""))))</f>
        <v/>
      </c>
      <c r="D423" s="16">
        <f>IF($C423="","",IF($C423="TARIH_BOS","Belge tarihi zorunlu",IF($C423="VKN_UZUNLUK","VKN 10 hane olmalı",IF($C423="TUTAR_NEGATIF","Toplam negatif olamaz",IF($C423="DONEM_EKSIK","Dönem zorunlu","Elle incele"))))</f>
        <v/>
      </c>
      <c r="E423" s="16">
        <f>IF($C423="","",IF(OR($C423="TUTAR_NEGATIF",$C423="TARIH_BOS"),"YUKSEK","ORTA"))</f>
        <v/>
      </c>
      <c r="F423" s="16">
        <f>IF($C423="","",IF(OR($C423="TARIH_BOS",$C423="VKN_UZUNLUK",$C423="TUTAR_NEGATIF",$C423="DONEM_EKSIK"),$C423,"TANIMSIZ"))</f>
        <v/>
      </c>
      <c r="G423" s="16">
        <f>IF($C423="","",1)</f>
        <v/>
      </c>
    </row>
    <row r="424">
      <c r="A424" s="16">
        <f>IF('VERI_A'!$A424="","",ROW()-ROW(tblVeriA[[#Headers]]))</f>
        <v/>
      </c>
      <c r="B424" s="23">
        <f>IF('VERI_A'!$A424="","",'VERI_A'!$A424)</f>
        <v/>
      </c>
      <c r="C424" s="16">
        <f>IF($B424="","",IF(OR('VERI_A'!$B424="",'VERI_A'!$B424=0),"TARIH_BOS",IF(LEN(TRIM('VERI_A'!$C424&amp;""))&lt;&gt;dbe_vknUzunluk,"VKN_UZUNLUK",IF('VERI_A'!$G424&lt;0,"TUTAR_NEGATIF",IF('VERI_A'!$I424="","DONEM_EKSIK",""))))</f>
        <v/>
      </c>
      <c r="D424" s="16">
        <f>IF($C424="","",IF($C424="TARIH_BOS","Belge tarihi zorunlu",IF($C424="VKN_UZUNLUK","VKN 10 hane olmalı",IF($C424="TUTAR_NEGATIF","Toplam negatif olamaz",IF($C424="DONEM_EKSIK","Dönem zorunlu","Elle incele"))))</f>
        <v/>
      </c>
      <c r="E424" s="16">
        <f>IF($C424="","",IF(OR($C424="TUTAR_NEGATIF",$C424="TARIH_BOS"),"YUKSEK","ORTA"))</f>
        <v/>
      </c>
      <c r="F424" s="16">
        <f>IF($C424="","",IF(OR($C424="TARIH_BOS",$C424="VKN_UZUNLUK",$C424="TUTAR_NEGATIF",$C424="DONEM_EKSIK"),$C424,"TANIMSIZ"))</f>
        <v/>
      </c>
      <c r="G424" s="16">
        <f>IF($C424="","",1)</f>
        <v/>
      </c>
    </row>
    <row r="425">
      <c r="A425" s="16">
        <f>IF('VERI_A'!$A425="","",ROW()-ROW(tblVeriA[[#Headers]]))</f>
        <v/>
      </c>
      <c r="B425" s="23">
        <f>IF('VERI_A'!$A425="","",'VERI_A'!$A425)</f>
        <v/>
      </c>
      <c r="C425" s="16">
        <f>IF($B425="","",IF(OR('VERI_A'!$B425="",'VERI_A'!$B425=0),"TARIH_BOS",IF(LEN(TRIM('VERI_A'!$C425&amp;""))&lt;&gt;dbe_vknUzunluk,"VKN_UZUNLUK",IF('VERI_A'!$G425&lt;0,"TUTAR_NEGATIF",IF('VERI_A'!$I425="","DONEM_EKSIK",""))))</f>
        <v/>
      </c>
      <c r="D425" s="16">
        <f>IF($C425="","",IF($C425="TARIH_BOS","Belge tarihi zorunlu",IF($C425="VKN_UZUNLUK","VKN 10 hane olmalı",IF($C425="TUTAR_NEGATIF","Toplam negatif olamaz",IF($C425="DONEM_EKSIK","Dönem zorunlu","Elle incele"))))</f>
        <v/>
      </c>
      <c r="E425" s="16">
        <f>IF($C425="","",IF(OR($C425="TUTAR_NEGATIF",$C425="TARIH_BOS"),"YUKSEK","ORTA"))</f>
        <v/>
      </c>
      <c r="F425" s="16">
        <f>IF($C425="","",IF(OR($C425="TARIH_BOS",$C425="VKN_UZUNLUK",$C425="TUTAR_NEGATIF",$C425="DONEM_EKSIK"),$C425,"TANIMSIZ"))</f>
        <v/>
      </c>
      <c r="G425" s="16">
        <f>IF($C425="","",1)</f>
        <v/>
      </c>
    </row>
    <row r="426">
      <c r="A426" s="16">
        <f>IF('VERI_A'!$A426="","",ROW()-ROW(tblVeriA[[#Headers]]))</f>
        <v/>
      </c>
      <c r="B426" s="23">
        <f>IF('VERI_A'!$A426="","",'VERI_A'!$A426)</f>
        <v/>
      </c>
      <c r="C426" s="16">
        <f>IF($B426="","",IF(OR('VERI_A'!$B426="",'VERI_A'!$B426=0),"TARIH_BOS",IF(LEN(TRIM('VERI_A'!$C426&amp;""))&lt;&gt;dbe_vknUzunluk,"VKN_UZUNLUK",IF('VERI_A'!$G426&lt;0,"TUTAR_NEGATIF",IF('VERI_A'!$I426="","DONEM_EKSIK",""))))</f>
        <v/>
      </c>
      <c r="D426" s="16">
        <f>IF($C426="","",IF($C426="TARIH_BOS","Belge tarihi zorunlu",IF($C426="VKN_UZUNLUK","VKN 10 hane olmalı",IF($C426="TUTAR_NEGATIF","Toplam negatif olamaz",IF($C426="DONEM_EKSIK","Dönem zorunlu","Elle incele"))))</f>
        <v/>
      </c>
      <c r="E426" s="16">
        <f>IF($C426="","",IF(OR($C426="TUTAR_NEGATIF",$C426="TARIH_BOS"),"YUKSEK","ORTA"))</f>
        <v/>
      </c>
      <c r="F426" s="16">
        <f>IF($C426="","",IF(OR($C426="TARIH_BOS",$C426="VKN_UZUNLUK",$C426="TUTAR_NEGATIF",$C426="DONEM_EKSIK"),$C426,"TANIMSIZ"))</f>
        <v/>
      </c>
      <c r="G426" s="16">
        <f>IF($C426="","",1)</f>
        <v/>
      </c>
    </row>
    <row r="427">
      <c r="A427" s="16">
        <f>IF('VERI_A'!$A427="","",ROW()-ROW(tblVeriA[[#Headers]]))</f>
        <v/>
      </c>
      <c r="B427" s="23">
        <f>IF('VERI_A'!$A427="","",'VERI_A'!$A427)</f>
        <v/>
      </c>
      <c r="C427" s="16">
        <f>IF($B427="","",IF(OR('VERI_A'!$B427="",'VERI_A'!$B427=0),"TARIH_BOS",IF(LEN(TRIM('VERI_A'!$C427&amp;""))&lt;&gt;dbe_vknUzunluk,"VKN_UZUNLUK",IF('VERI_A'!$G427&lt;0,"TUTAR_NEGATIF",IF('VERI_A'!$I427="","DONEM_EKSIK",""))))</f>
        <v/>
      </c>
      <c r="D427" s="16">
        <f>IF($C427="","",IF($C427="TARIH_BOS","Belge tarihi zorunlu",IF($C427="VKN_UZUNLUK","VKN 10 hane olmalı",IF($C427="TUTAR_NEGATIF","Toplam negatif olamaz",IF($C427="DONEM_EKSIK","Dönem zorunlu","Elle incele"))))</f>
        <v/>
      </c>
      <c r="E427" s="16">
        <f>IF($C427="","",IF(OR($C427="TUTAR_NEGATIF",$C427="TARIH_BOS"),"YUKSEK","ORTA"))</f>
        <v/>
      </c>
      <c r="F427" s="16">
        <f>IF($C427="","",IF(OR($C427="TARIH_BOS",$C427="VKN_UZUNLUK",$C427="TUTAR_NEGATIF",$C427="DONEM_EKSIK"),$C427,"TANIMSIZ"))</f>
        <v/>
      </c>
      <c r="G427" s="16">
        <f>IF($C427="","",1)</f>
        <v/>
      </c>
    </row>
    <row r="428">
      <c r="A428" s="16">
        <f>IF('VERI_A'!$A428="","",ROW()-ROW(tblVeriA[[#Headers]]))</f>
        <v/>
      </c>
      <c r="B428" s="23">
        <f>IF('VERI_A'!$A428="","",'VERI_A'!$A428)</f>
        <v/>
      </c>
      <c r="C428" s="16">
        <f>IF($B428="","",IF(OR('VERI_A'!$B428="",'VERI_A'!$B428=0),"TARIH_BOS",IF(LEN(TRIM('VERI_A'!$C428&amp;""))&lt;&gt;dbe_vknUzunluk,"VKN_UZUNLUK",IF('VERI_A'!$G428&lt;0,"TUTAR_NEGATIF",IF('VERI_A'!$I428="","DONEM_EKSIK",""))))</f>
        <v/>
      </c>
      <c r="D428" s="16">
        <f>IF($C428="","",IF($C428="TARIH_BOS","Belge tarihi zorunlu",IF($C428="VKN_UZUNLUK","VKN 10 hane olmalı",IF($C428="TUTAR_NEGATIF","Toplam negatif olamaz",IF($C428="DONEM_EKSIK","Dönem zorunlu","Elle incele"))))</f>
        <v/>
      </c>
      <c r="E428" s="16">
        <f>IF($C428="","",IF(OR($C428="TUTAR_NEGATIF",$C428="TARIH_BOS"),"YUKSEK","ORTA"))</f>
        <v/>
      </c>
      <c r="F428" s="16">
        <f>IF($C428="","",IF(OR($C428="TARIH_BOS",$C428="VKN_UZUNLUK",$C428="TUTAR_NEGATIF",$C428="DONEM_EKSIK"),$C428,"TANIMSIZ"))</f>
        <v/>
      </c>
      <c r="G428" s="16">
        <f>IF($C428="","",1)</f>
        <v/>
      </c>
    </row>
    <row r="429">
      <c r="A429" s="16">
        <f>IF('VERI_A'!$A429="","",ROW()-ROW(tblVeriA[[#Headers]]))</f>
        <v/>
      </c>
      <c r="B429" s="23">
        <f>IF('VERI_A'!$A429="","",'VERI_A'!$A429)</f>
        <v/>
      </c>
      <c r="C429" s="16">
        <f>IF($B429="","",IF(OR('VERI_A'!$B429="",'VERI_A'!$B429=0),"TARIH_BOS",IF(LEN(TRIM('VERI_A'!$C429&amp;""))&lt;&gt;dbe_vknUzunluk,"VKN_UZUNLUK",IF('VERI_A'!$G429&lt;0,"TUTAR_NEGATIF",IF('VERI_A'!$I429="","DONEM_EKSIK",""))))</f>
        <v/>
      </c>
      <c r="D429" s="16">
        <f>IF($C429="","",IF($C429="TARIH_BOS","Belge tarihi zorunlu",IF($C429="VKN_UZUNLUK","VKN 10 hane olmalı",IF($C429="TUTAR_NEGATIF","Toplam negatif olamaz",IF($C429="DONEM_EKSIK","Dönem zorunlu","Elle incele"))))</f>
        <v/>
      </c>
      <c r="E429" s="16">
        <f>IF($C429="","",IF(OR($C429="TUTAR_NEGATIF",$C429="TARIH_BOS"),"YUKSEK","ORTA"))</f>
        <v/>
      </c>
      <c r="F429" s="16">
        <f>IF($C429="","",IF(OR($C429="TARIH_BOS",$C429="VKN_UZUNLUK",$C429="TUTAR_NEGATIF",$C429="DONEM_EKSIK"),$C429,"TANIMSIZ"))</f>
        <v/>
      </c>
      <c r="G429" s="16">
        <f>IF($C429="","",1)</f>
        <v/>
      </c>
    </row>
    <row r="430">
      <c r="A430" s="16">
        <f>IF('VERI_A'!$A430="","",ROW()-ROW(tblVeriA[[#Headers]]))</f>
        <v/>
      </c>
      <c r="B430" s="23">
        <f>IF('VERI_A'!$A430="","",'VERI_A'!$A430)</f>
        <v/>
      </c>
      <c r="C430" s="16">
        <f>IF($B430="","",IF(OR('VERI_A'!$B430="",'VERI_A'!$B430=0),"TARIH_BOS",IF(LEN(TRIM('VERI_A'!$C430&amp;""))&lt;&gt;dbe_vknUzunluk,"VKN_UZUNLUK",IF('VERI_A'!$G430&lt;0,"TUTAR_NEGATIF",IF('VERI_A'!$I430="","DONEM_EKSIK",""))))</f>
        <v/>
      </c>
      <c r="D430" s="16">
        <f>IF($C430="","",IF($C430="TARIH_BOS","Belge tarihi zorunlu",IF($C430="VKN_UZUNLUK","VKN 10 hane olmalı",IF($C430="TUTAR_NEGATIF","Toplam negatif olamaz",IF($C430="DONEM_EKSIK","Dönem zorunlu","Elle incele"))))</f>
        <v/>
      </c>
      <c r="E430" s="16">
        <f>IF($C430="","",IF(OR($C430="TUTAR_NEGATIF",$C430="TARIH_BOS"),"YUKSEK","ORTA"))</f>
        <v/>
      </c>
      <c r="F430" s="16">
        <f>IF($C430="","",IF(OR($C430="TARIH_BOS",$C430="VKN_UZUNLUK",$C430="TUTAR_NEGATIF",$C430="DONEM_EKSIK"),$C430,"TANIMSIZ"))</f>
        <v/>
      </c>
      <c r="G430" s="16">
        <f>IF($C430="","",1)</f>
        <v/>
      </c>
    </row>
    <row r="431">
      <c r="A431" s="16">
        <f>IF('VERI_A'!$A431="","",ROW()-ROW(tblVeriA[[#Headers]]))</f>
        <v/>
      </c>
      <c r="B431" s="23">
        <f>IF('VERI_A'!$A431="","",'VERI_A'!$A431)</f>
        <v/>
      </c>
      <c r="C431" s="16">
        <f>IF($B431="","",IF(OR('VERI_A'!$B431="",'VERI_A'!$B431=0),"TARIH_BOS",IF(LEN(TRIM('VERI_A'!$C431&amp;""))&lt;&gt;dbe_vknUzunluk,"VKN_UZUNLUK",IF('VERI_A'!$G431&lt;0,"TUTAR_NEGATIF",IF('VERI_A'!$I431="","DONEM_EKSIK",""))))</f>
        <v/>
      </c>
      <c r="D431" s="16">
        <f>IF($C431="","",IF($C431="TARIH_BOS","Belge tarihi zorunlu",IF($C431="VKN_UZUNLUK","VKN 10 hane olmalı",IF($C431="TUTAR_NEGATIF","Toplam negatif olamaz",IF($C431="DONEM_EKSIK","Dönem zorunlu","Elle incele"))))</f>
        <v/>
      </c>
      <c r="E431" s="16">
        <f>IF($C431="","",IF(OR($C431="TUTAR_NEGATIF",$C431="TARIH_BOS"),"YUKSEK","ORTA"))</f>
        <v/>
      </c>
      <c r="F431" s="16">
        <f>IF($C431="","",IF(OR($C431="TARIH_BOS",$C431="VKN_UZUNLUK",$C431="TUTAR_NEGATIF",$C431="DONEM_EKSIK"),$C431,"TANIMSIZ"))</f>
        <v/>
      </c>
      <c r="G431" s="16">
        <f>IF($C431="","",1)</f>
        <v/>
      </c>
    </row>
    <row r="432">
      <c r="A432" s="16">
        <f>IF('VERI_A'!$A432="","",ROW()-ROW(tblVeriA[[#Headers]]))</f>
        <v/>
      </c>
      <c r="B432" s="23">
        <f>IF('VERI_A'!$A432="","",'VERI_A'!$A432)</f>
        <v/>
      </c>
      <c r="C432" s="16">
        <f>IF($B432="","",IF(OR('VERI_A'!$B432="",'VERI_A'!$B432=0),"TARIH_BOS",IF(LEN(TRIM('VERI_A'!$C432&amp;""))&lt;&gt;dbe_vknUzunluk,"VKN_UZUNLUK",IF('VERI_A'!$G432&lt;0,"TUTAR_NEGATIF",IF('VERI_A'!$I432="","DONEM_EKSIK",""))))</f>
        <v/>
      </c>
      <c r="D432" s="16">
        <f>IF($C432="","",IF($C432="TARIH_BOS","Belge tarihi zorunlu",IF($C432="VKN_UZUNLUK","VKN 10 hane olmalı",IF($C432="TUTAR_NEGATIF","Toplam negatif olamaz",IF($C432="DONEM_EKSIK","Dönem zorunlu","Elle incele"))))</f>
        <v/>
      </c>
      <c r="E432" s="16">
        <f>IF($C432="","",IF(OR($C432="TUTAR_NEGATIF",$C432="TARIH_BOS"),"YUKSEK","ORTA"))</f>
        <v/>
      </c>
      <c r="F432" s="16">
        <f>IF($C432="","",IF(OR($C432="TARIH_BOS",$C432="VKN_UZUNLUK",$C432="TUTAR_NEGATIF",$C432="DONEM_EKSIK"),$C432,"TANIMSIZ"))</f>
        <v/>
      </c>
      <c r="G432" s="16">
        <f>IF($C432="","",1)</f>
        <v/>
      </c>
    </row>
    <row r="433">
      <c r="A433" s="16">
        <f>IF('VERI_A'!$A433="","",ROW()-ROW(tblVeriA[[#Headers]]))</f>
        <v/>
      </c>
      <c r="B433" s="23">
        <f>IF('VERI_A'!$A433="","",'VERI_A'!$A433)</f>
        <v/>
      </c>
      <c r="C433" s="16">
        <f>IF($B433="","",IF(OR('VERI_A'!$B433="",'VERI_A'!$B433=0),"TARIH_BOS",IF(LEN(TRIM('VERI_A'!$C433&amp;""))&lt;&gt;dbe_vknUzunluk,"VKN_UZUNLUK",IF('VERI_A'!$G433&lt;0,"TUTAR_NEGATIF",IF('VERI_A'!$I433="","DONEM_EKSIK",""))))</f>
        <v/>
      </c>
      <c r="D433" s="16">
        <f>IF($C433="","",IF($C433="TARIH_BOS","Belge tarihi zorunlu",IF($C433="VKN_UZUNLUK","VKN 10 hane olmalı",IF($C433="TUTAR_NEGATIF","Toplam negatif olamaz",IF($C433="DONEM_EKSIK","Dönem zorunlu","Elle incele"))))</f>
        <v/>
      </c>
      <c r="E433" s="16">
        <f>IF($C433="","",IF(OR($C433="TUTAR_NEGATIF",$C433="TARIH_BOS"),"YUKSEK","ORTA"))</f>
        <v/>
      </c>
      <c r="F433" s="16">
        <f>IF($C433="","",IF(OR($C433="TARIH_BOS",$C433="VKN_UZUNLUK",$C433="TUTAR_NEGATIF",$C433="DONEM_EKSIK"),$C433,"TANIMSIZ"))</f>
        <v/>
      </c>
      <c r="G433" s="16">
        <f>IF($C433="","",1)</f>
        <v/>
      </c>
    </row>
    <row r="434">
      <c r="A434" s="16">
        <f>IF('VERI_A'!$A434="","",ROW()-ROW(tblVeriA[[#Headers]]))</f>
        <v/>
      </c>
      <c r="B434" s="23">
        <f>IF('VERI_A'!$A434="","",'VERI_A'!$A434)</f>
        <v/>
      </c>
      <c r="C434" s="16">
        <f>IF($B434="","",IF(OR('VERI_A'!$B434="",'VERI_A'!$B434=0),"TARIH_BOS",IF(LEN(TRIM('VERI_A'!$C434&amp;""))&lt;&gt;dbe_vknUzunluk,"VKN_UZUNLUK",IF('VERI_A'!$G434&lt;0,"TUTAR_NEGATIF",IF('VERI_A'!$I434="","DONEM_EKSIK",""))))</f>
        <v/>
      </c>
      <c r="D434" s="16">
        <f>IF($C434="","",IF($C434="TARIH_BOS","Belge tarihi zorunlu",IF($C434="VKN_UZUNLUK","VKN 10 hane olmalı",IF($C434="TUTAR_NEGATIF","Toplam negatif olamaz",IF($C434="DONEM_EKSIK","Dönem zorunlu","Elle incele"))))</f>
        <v/>
      </c>
      <c r="E434" s="16">
        <f>IF($C434="","",IF(OR($C434="TUTAR_NEGATIF",$C434="TARIH_BOS"),"YUKSEK","ORTA"))</f>
        <v/>
      </c>
      <c r="F434" s="16">
        <f>IF($C434="","",IF(OR($C434="TARIH_BOS",$C434="VKN_UZUNLUK",$C434="TUTAR_NEGATIF",$C434="DONEM_EKSIK"),$C434,"TANIMSIZ"))</f>
        <v/>
      </c>
      <c r="G434" s="16">
        <f>IF($C434="","",1)</f>
        <v/>
      </c>
    </row>
    <row r="435">
      <c r="A435" s="16">
        <f>IF('VERI_A'!$A435="","",ROW()-ROW(tblVeriA[[#Headers]]))</f>
        <v/>
      </c>
      <c r="B435" s="23">
        <f>IF('VERI_A'!$A435="","",'VERI_A'!$A435)</f>
        <v/>
      </c>
      <c r="C435" s="16">
        <f>IF($B435="","",IF(OR('VERI_A'!$B435="",'VERI_A'!$B435=0),"TARIH_BOS",IF(LEN(TRIM('VERI_A'!$C435&amp;""))&lt;&gt;dbe_vknUzunluk,"VKN_UZUNLUK",IF('VERI_A'!$G435&lt;0,"TUTAR_NEGATIF",IF('VERI_A'!$I435="","DONEM_EKSIK",""))))</f>
        <v/>
      </c>
      <c r="D435" s="16">
        <f>IF($C435="","",IF($C435="TARIH_BOS","Belge tarihi zorunlu",IF($C435="VKN_UZUNLUK","VKN 10 hane olmalı",IF($C435="TUTAR_NEGATIF","Toplam negatif olamaz",IF($C435="DONEM_EKSIK","Dönem zorunlu","Elle incele"))))</f>
        <v/>
      </c>
      <c r="E435" s="16">
        <f>IF($C435="","",IF(OR($C435="TUTAR_NEGATIF",$C435="TARIH_BOS"),"YUKSEK","ORTA"))</f>
        <v/>
      </c>
      <c r="F435" s="16">
        <f>IF($C435="","",IF(OR($C435="TARIH_BOS",$C435="VKN_UZUNLUK",$C435="TUTAR_NEGATIF",$C435="DONEM_EKSIK"),$C435,"TANIMSIZ"))</f>
        <v/>
      </c>
      <c r="G435" s="16">
        <f>IF($C435="","",1)</f>
        <v/>
      </c>
    </row>
    <row r="436">
      <c r="A436" s="16">
        <f>IF('VERI_A'!$A436="","",ROW()-ROW(tblVeriA[[#Headers]]))</f>
        <v/>
      </c>
      <c r="B436" s="23">
        <f>IF('VERI_A'!$A436="","",'VERI_A'!$A436)</f>
        <v/>
      </c>
      <c r="C436" s="16">
        <f>IF($B436="","",IF(OR('VERI_A'!$B436="",'VERI_A'!$B436=0),"TARIH_BOS",IF(LEN(TRIM('VERI_A'!$C436&amp;""))&lt;&gt;dbe_vknUzunluk,"VKN_UZUNLUK",IF('VERI_A'!$G436&lt;0,"TUTAR_NEGATIF",IF('VERI_A'!$I436="","DONEM_EKSIK",""))))</f>
        <v/>
      </c>
      <c r="D436" s="16">
        <f>IF($C436="","",IF($C436="TARIH_BOS","Belge tarihi zorunlu",IF($C436="VKN_UZUNLUK","VKN 10 hane olmalı",IF($C436="TUTAR_NEGATIF","Toplam negatif olamaz",IF($C436="DONEM_EKSIK","Dönem zorunlu","Elle incele"))))</f>
        <v/>
      </c>
      <c r="E436" s="16">
        <f>IF($C436="","",IF(OR($C436="TUTAR_NEGATIF",$C436="TARIH_BOS"),"YUKSEK","ORTA"))</f>
        <v/>
      </c>
      <c r="F436" s="16">
        <f>IF($C436="","",IF(OR($C436="TARIH_BOS",$C436="VKN_UZUNLUK",$C436="TUTAR_NEGATIF",$C436="DONEM_EKSIK"),$C436,"TANIMSIZ"))</f>
        <v/>
      </c>
      <c r="G436" s="16">
        <f>IF($C436="","",1)</f>
        <v/>
      </c>
    </row>
    <row r="437">
      <c r="A437" s="16">
        <f>IF('VERI_A'!$A437="","",ROW()-ROW(tblVeriA[[#Headers]]))</f>
        <v/>
      </c>
      <c r="B437" s="23">
        <f>IF('VERI_A'!$A437="","",'VERI_A'!$A437)</f>
        <v/>
      </c>
      <c r="C437" s="16">
        <f>IF($B437="","",IF(OR('VERI_A'!$B437="",'VERI_A'!$B437=0),"TARIH_BOS",IF(LEN(TRIM('VERI_A'!$C437&amp;""))&lt;&gt;dbe_vknUzunluk,"VKN_UZUNLUK",IF('VERI_A'!$G437&lt;0,"TUTAR_NEGATIF",IF('VERI_A'!$I437="","DONEM_EKSIK",""))))</f>
        <v/>
      </c>
      <c r="D437" s="16">
        <f>IF($C437="","",IF($C437="TARIH_BOS","Belge tarihi zorunlu",IF($C437="VKN_UZUNLUK","VKN 10 hane olmalı",IF($C437="TUTAR_NEGATIF","Toplam negatif olamaz",IF($C437="DONEM_EKSIK","Dönem zorunlu","Elle incele"))))</f>
        <v/>
      </c>
      <c r="E437" s="16">
        <f>IF($C437="","",IF(OR($C437="TUTAR_NEGATIF",$C437="TARIH_BOS"),"YUKSEK","ORTA"))</f>
        <v/>
      </c>
      <c r="F437" s="16">
        <f>IF($C437="","",IF(OR($C437="TARIH_BOS",$C437="VKN_UZUNLUK",$C437="TUTAR_NEGATIF",$C437="DONEM_EKSIK"),$C437,"TANIMSIZ"))</f>
        <v/>
      </c>
      <c r="G437" s="16">
        <f>IF($C437="","",1)</f>
        <v/>
      </c>
    </row>
    <row r="438">
      <c r="A438" s="16">
        <f>IF('VERI_A'!$A438="","",ROW()-ROW(tblVeriA[[#Headers]]))</f>
        <v/>
      </c>
      <c r="B438" s="23">
        <f>IF('VERI_A'!$A438="","",'VERI_A'!$A438)</f>
        <v/>
      </c>
      <c r="C438" s="16">
        <f>IF($B438="","",IF(OR('VERI_A'!$B438="",'VERI_A'!$B438=0),"TARIH_BOS",IF(LEN(TRIM('VERI_A'!$C438&amp;""))&lt;&gt;dbe_vknUzunluk,"VKN_UZUNLUK",IF('VERI_A'!$G438&lt;0,"TUTAR_NEGATIF",IF('VERI_A'!$I438="","DONEM_EKSIK",""))))</f>
        <v/>
      </c>
      <c r="D438" s="16">
        <f>IF($C438="","",IF($C438="TARIH_BOS","Belge tarihi zorunlu",IF($C438="VKN_UZUNLUK","VKN 10 hane olmalı",IF($C438="TUTAR_NEGATIF","Toplam negatif olamaz",IF($C438="DONEM_EKSIK","Dönem zorunlu","Elle incele"))))</f>
        <v/>
      </c>
      <c r="E438" s="16">
        <f>IF($C438="","",IF(OR($C438="TUTAR_NEGATIF",$C438="TARIH_BOS"),"YUKSEK","ORTA"))</f>
        <v/>
      </c>
      <c r="F438" s="16">
        <f>IF($C438="","",IF(OR($C438="TARIH_BOS",$C438="VKN_UZUNLUK",$C438="TUTAR_NEGATIF",$C438="DONEM_EKSIK"),$C438,"TANIMSIZ"))</f>
        <v/>
      </c>
      <c r="G438" s="16">
        <f>IF($C438="","",1)</f>
        <v/>
      </c>
    </row>
    <row r="439">
      <c r="A439" s="16">
        <f>IF('VERI_A'!$A439="","",ROW()-ROW(tblVeriA[[#Headers]]))</f>
        <v/>
      </c>
      <c r="B439" s="23">
        <f>IF('VERI_A'!$A439="","",'VERI_A'!$A439)</f>
        <v/>
      </c>
      <c r="C439" s="16">
        <f>IF($B439="","",IF(OR('VERI_A'!$B439="",'VERI_A'!$B439=0),"TARIH_BOS",IF(LEN(TRIM('VERI_A'!$C439&amp;""))&lt;&gt;dbe_vknUzunluk,"VKN_UZUNLUK",IF('VERI_A'!$G439&lt;0,"TUTAR_NEGATIF",IF('VERI_A'!$I439="","DONEM_EKSIK",""))))</f>
        <v/>
      </c>
      <c r="D439" s="16">
        <f>IF($C439="","",IF($C439="TARIH_BOS","Belge tarihi zorunlu",IF($C439="VKN_UZUNLUK","VKN 10 hane olmalı",IF($C439="TUTAR_NEGATIF","Toplam negatif olamaz",IF($C439="DONEM_EKSIK","Dönem zorunlu","Elle incele"))))</f>
        <v/>
      </c>
      <c r="E439" s="16">
        <f>IF($C439="","",IF(OR($C439="TUTAR_NEGATIF",$C439="TARIH_BOS"),"YUKSEK","ORTA"))</f>
        <v/>
      </c>
      <c r="F439" s="16">
        <f>IF($C439="","",IF(OR($C439="TARIH_BOS",$C439="VKN_UZUNLUK",$C439="TUTAR_NEGATIF",$C439="DONEM_EKSIK"),$C439,"TANIMSIZ"))</f>
        <v/>
      </c>
      <c r="G439" s="16">
        <f>IF($C439="","",1)</f>
        <v/>
      </c>
    </row>
    <row r="440">
      <c r="A440" s="16">
        <f>IF('VERI_A'!$A440="","",ROW()-ROW(tblVeriA[[#Headers]]))</f>
        <v/>
      </c>
      <c r="B440" s="23">
        <f>IF('VERI_A'!$A440="","",'VERI_A'!$A440)</f>
        <v/>
      </c>
      <c r="C440" s="16">
        <f>IF($B440="","",IF(OR('VERI_A'!$B440="",'VERI_A'!$B440=0),"TARIH_BOS",IF(LEN(TRIM('VERI_A'!$C440&amp;""))&lt;&gt;dbe_vknUzunluk,"VKN_UZUNLUK",IF('VERI_A'!$G440&lt;0,"TUTAR_NEGATIF",IF('VERI_A'!$I440="","DONEM_EKSIK",""))))</f>
        <v/>
      </c>
      <c r="D440" s="16">
        <f>IF($C440="","",IF($C440="TARIH_BOS","Belge tarihi zorunlu",IF($C440="VKN_UZUNLUK","VKN 10 hane olmalı",IF($C440="TUTAR_NEGATIF","Toplam negatif olamaz",IF($C440="DONEM_EKSIK","Dönem zorunlu","Elle incele"))))</f>
        <v/>
      </c>
      <c r="E440" s="16">
        <f>IF($C440="","",IF(OR($C440="TUTAR_NEGATIF",$C440="TARIH_BOS"),"YUKSEK","ORTA"))</f>
        <v/>
      </c>
      <c r="F440" s="16">
        <f>IF($C440="","",IF(OR($C440="TARIH_BOS",$C440="VKN_UZUNLUK",$C440="TUTAR_NEGATIF",$C440="DONEM_EKSIK"),$C440,"TANIMSIZ"))</f>
        <v/>
      </c>
      <c r="G440" s="16">
        <f>IF($C440="","",1)</f>
        <v/>
      </c>
    </row>
    <row r="441">
      <c r="A441" s="16">
        <f>IF('VERI_A'!$A441="","",ROW()-ROW(tblVeriA[[#Headers]]))</f>
        <v/>
      </c>
      <c r="B441" s="23">
        <f>IF('VERI_A'!$A441="","",'VERI_A'!$A441)</f>
        <v/>
      </c>
      <c r="C441" s="16">
        <f>IF($B441="","",IF(OR('VERI_A'!$B441="",'VERI_A'!$B441=0),"TARIH_BOS",IF(LEN(TRIM('VERI_A'!$C441&amp;""))&lt;&gt;dbe_vknUzunluk,"VKN_UZUNLUK",IF('VERI_A'!$G441&lt;0,"TUTAR_NEGATIF",IF('VERI_A'!$I441="","DONEM_EKSIK",""))))</f>
        <v/>
      </c>
      <c r="D441" s="16">
        <f>IF($C441="","",IF($C441="TARIH_BOS","Belge tarihi zorunlu",IF($C441="VKN_UZUNLUK","VKN 10 hane olmalı",IF($C441="TUTAR_NEGATIF","Toplam negatif olamaz",IF($C441="DONEM_EKSIK","Dönem zorunlu","Elle incele"))))</f>
        <v/>
      </c>
      <c r="E441" s="16">
        <f>IF($C441="","",IF(OR($C441="TUTAR_NEGATIF",$C441="TARIH_BOS"),"YUKSEK","ORTA"))</f>
        <v/>
      </c>
      <c r="F441" s="16">
        <f>IF($C441="","",IF(OR($C441="TARIH_BOS",$C441="VKN_UZUNLUK",$C441="TUTAR_NEGATIF",$C441="DONEM_EKSIK"),$C441,"TANIMSIZ"))</f>
        <v/>
      </c>
      <c r="G441" s="16">
        <f>IF($C441="","",1)</f>
        <v/>
      </c>
    </row>
    <row r="442">
      <c r="A442" s="16">
        <f>IF('VERI_A'!$A442="","",ROW()-ROW(tblVeriA[[#Headers]]))</f>
        <v/>
      </c>
      <c r="B442" s="23">
        <f>IF('VERI_A'!$A442="","",'VERI_A'!$A442)</f>
        <v/>
      </c>
      <c r="C442" s="16">
        <f>IF($B442="","",IF(OR('VERI_A'!$B442="",'VERI_A'!$B442=0),"TARIH_BOS",IF(LEN(TRIM('VERI_A'!$C442&amp;""))&lt;&gt;dbe_vknUzunluk,"VKN_UZUNLUK",IF('VERI_A'!$G442&lt;0,"TUTAR_NEGATIF",IF('VERI_A'!$I442="","DONEM_EKSIK",""))))</f>
        <v/>
      </c>
      <c r="D442" s="16">
        <f>IF($C442="","",IF($C442="TARIH_BOS","Belge tarihi zorunlu",IF($C442="VKN_UZUNLUK","VKN 10 hane olmalı",IF($C442="TUTAR_NEGATIF","Toplam negatif olamaz",IF($C442="DONEM_EKSIK","Dönem zorunlu","Elle incele"))))</f>
        <v/>
      </c>
      <c r="E442" s="16">
        <f>IF($C442="","",IF(OR($C442="TUTAR_NEGATIF",$C442="TARIH_BOS"),"YUKSEK","ORTA"))</f>
        <v/>
      </c>
      <c r="F442" s="16">
        <f>IF($C442="","",IF(OR($C442="TARIH_BOS",$C442="VKN_UZUNLUK",$C442="TUTAR_NEGATIF",$C442="DONEM_EKSIK"),$C442,"TANIMSIZ"))</f>
        <v/>
      </c>
      <c r="G442" s="16">
        <f>IF($C442="","",1)</f>
        <v/>
      </c>
    </row>
    <row r="443">
      <c r="A443" s="16">
        <f>IF('VERI_A'!$A443="","",ROW()-ROW(tblVeriA[[#Headers]]))</f>
        <v/>
      </c>
      <c r="B443" s="23">
        <f>IF('VERI_A'!$A443="","",'VERI_A'!$A443)</f>
        <v/>
      </c>
      <c r="C443" s="16">
        <f>IF($B443="","",IF(OR('VERI_A'!$B443="",'VERI_A'!$B443=0),"TARIH_BOS",IF(LEN(TRIM('VERI_A'!$C443&amp;""))&lt;&gt;dbe_vknUzunluk,"VKN_UZUNLUK",IF('VERI_A'!$G443&lt;0,"TUTAR_NEGATIF",IF('VERI_A'!$I443="","DONEM_EKSIK",""))))</f>
        <v/>
      </c>
      <c r="D443" s="16">
        <f>IF($C443="","",IF($C443="TARIH_BOS","Belge tarihi zorunlu",IF($C443="VKN_UZUNLUK","VKN 10 hane olmalı",IF($C443="TUTAR_NEGATIF","Toplam negatif olamaz",IF($C443="DONEM_EKSIK","Dönem zorunlu","Elle incele"))))</f>
        <v/>
      </c>
      <c r="E443" s="16">
        <f>IF($C443="","",IF(OR($C443="TUTAR_NEGATIF",$C443="TARIH_BOS"),"YUKSEK","ORTA"))</f>
        <v/>
      </c>
      <c r="F443" s="16">
        <f>IF($C443="","",IF(OR($C443="TARIH_BOS",$C443="VKN_UZUNLUK",$C443="TUTAR_NEGATIF",$C443="DONEM_EKSIK"),$C443,"TANIMSIZ"))</f>
        <v/>
      </c>
      <c r="G443" s="16">
        <f>IF($C443="","",1)</f>
        <v/>
      </c>
    </row>
    <row r="444">
      <c r="A444" s="16">
        <f>IF('VERI_A'!$A444="","",ROW()-ROW(tblVeriA[[#Headers]]))</f>
        <v/>
      </c>
      <c r="B444" s="23">
        <f>IF('VERI_A'!$A444="","",'VERI_A'!$A444)</f>
        <v/>
      </c>
      <c r="C444" s="16">
        <f>IF($B444="","",IF(OR('VERI_A'!$B444="",'VERI_A'!$B444=0),"TARIH_BOS",IF(LEN(TRIM('VERI_A'!$C444&amp;""))&lt;&gt;dbe_vknUzunluk,"VKN_UZUNLUK",IF('VERI_A'!$G444&lt;0,"TUTAR_NEGATIF",IF('VERI_A'!$I444="","DONEM_EKSIK",""))))</f>
        <v/>
      </c>
      <c r="D444" s="16">
        <f>IF($C444="","",IF($C444="TARIH_BOS","Belge tarihi zorunlu",IF($C444="VKN_UZUNLUK","VKN 10 hane olmalı",IF($C444="TUTAR_NEGATIF","Toplam negatif olamaz",IF($C444="DONEM_EKSIK","Dönem zorunlu","Elle incele"))))</f>
        <v/>
      </c>
      <c r="E444" s="16">
        <f>IF($C444="","",IF(OR($C444="TUTAR_NEGATIF",$C444="TARIH_BOS"),"YUKSEK","ORTA"))</f>
        <v/>
      </c>
      <c r="F444" s="16">
        <f>IF($C444="","",IF(OR($C444="TARIH_BOS",$C444="VKN_UZUNLUK",$C444="TUTAR_NEGATIF",$C444="DONEM_EKSIK"),$C444,"TANIMSIZ"))</f>
        <v/>
      </c>
      <c r="G444" s="16">
        <f>IF($C444="","",1)</f>
        <v/>
      </c>
    </row>
    <row r="445">
      <c r="A445" s="16">
        <f>IF('VERI_A'!$A445="","",ROW()-ROW(tblVeriA[[#Headers]]))</f>
        <v/>
      </c>
      <c r="B445" s="23">
        <f>IF('VERI_A'!$A445="","",'VERI_A'!$A445)</f>
        <v/>
      </c>
      <c r="C445" s="16">
        <f>IF($B445="","",IF(OR('VERI_A'!$B445="",'VERI_A'!$B445=0),"TARIH_BOS",IF(LEN(TRIM('VERI_A'!$C445&amp;""))&lt;&gt;dbe_vknUzunluk,"VKN_UZUNLUK",IF('VERI_A'!$G445&lt;0,"TUTAR_NEGATIF",IF('VERI_A'!$I445="","DONEM_EKSIK",""))))</f>
        <v/>
      </c>
      <c r="D445" s="16">
        <f>IF($C445="","",IF($C445="TARIH_BOS","Belge tarihi zorunlu",IF($C445="VKN_UZUNLUK","VKN 10 hane olmalı",IF($C445="TUTAR_NEGATIF","Toplam negatif olamaz",IF($C445="DONEM_EKSIK","Dönem zorunlu","Elle incele"))))</f>
        <v/>
      </c>
      <c r="E445" s="16">
        <f>IF($C445="","",IF(OR($C445="TUTAR_NEGATIF",$C445="TARIH_BOS"),"YUKSEK","ORTA"))</f>
        <v/>
      </c>
      <c r="F445" s="16">
        <f>IF($C445="","",IF(OR($C445="TARIH_BOS",$C445="VKN_UZUNLUK",$C445="TUTAR_NEGATIF",$C445="DONEM_EKSIK"),$C445,"TANIMSIZ"))</f>
        <v/>
      </c>
      <c r="G445" s="16">
        <f>IF($C445="","",1)</f>
        <v/>
      </c>
    </row>
    <row r="446">
      <c r="A446" s="16">
        <f>IF('VERI_A'!$A446="","",ROW()-ROW(tblVeriA[[#Headers]]))</f>
        <v/>
      </c>
      <c r="B446" s="23">
        <f>IF('VERI_A'!$A446="","",'VERI_A'!$A446)</f>
        <v/>
      </c>
      <c r="C446" s="16">
        <f>IF($B446="","",IF(OR('VERI_A'!$B446="",'VERI_A'!$B446=0),"TARIH_BOS",IF(LEN(TRIM('VERI_A'!$C446&amp;""))&lt;&gt;dbe_vknUzunluk,"VKN_UZUNLUK",IF('VERI_A'!$G446&lt;0,"TUTAR_NEGATIF",IF('VERI_A'!$I446="","DONEM_EKSIK",""))))</f>
        <v/>
      </c>
      <c r="D446" s="16">
        <f>IF($C446="","",IF($C446="TARIH_BOS","Belge tarihi zorunlu",IF($C446="VKN_UZUNLUK","VKN 10 hane olmalı",IF($C446="TUTAR_NEGATIF","Toplam negatif olamaz",IF($C446="DONEM_EKSIK","Dönem zorunlu","Elle incele"))))</f>
        <v/>
      </c>
      <c r="E446" s="16">
        <f>IF($C446="","",IF(OR($C446="TUTAR_NEGATIF",$C446="TARIH_BOS"),"YUKSEK","ORTA"))</f>
        <v/>
      </c>
      <c r="F446" s="16">
        <f>IF($C446="","",IF(OR($C446="TARIH_BOS",$C446="VKN_UZUNLUK",$C446="TUTAR_NEGATIF",$C446="DONEM_EKSIK"),$C446,"TANIMSIZ"))</f>
        <v/>
      </c>
      <c r="G446" s="16">
        <f>IF($C446="","",1)</f>
        <v/>
      </c>
    </row>
    <row r="447">
      <c r="A447" s="16">
        <f>IF('VERI_A'!$A447="","",ROW()-ROW(tblVeriA[[#Headers]]))</f>
        <v/>
      </c>
      <c r="B447" s="23">
        <f>IF('VERI_A'!$A447="","",'VERI_A'!$A447)</f>
        <v/>
      </c>
      <c r="C447" s="16">
        <f>IF($B447="","",IF(OR('VERI_A'!$B447="",'VERI_A'!$B447=0),"TARIH_BOS",IF(LEN(TRIM('VERI_A'!$C447&amp;""))&lt;&gt;dbe_vknUzunluk,"VKN_UZUNLUK",IF('VERI_A'!$G447&lt;0,"TUTAR_NEGATIF",IF('VERI_A'!$I447="","DONEM_EKSIK",""))))</f>
        <v/>
      </c>
      <c r="D447" s="16">
        <f>IF($C447="","",IF($C447="TARIH_BOS","Belge tarihi zorunlu",IF($C447="VKN_UZUNLUK","VKN 10 hane olmalı",IF($C447="TUTAR_NEGATIF","Toplam negatif olamaz",IF($C447="DONEM_EKSIK","Dönem zorunlu","Elle incele"))))</f>
        <v/>
      </c>
      <c r="E447" s="16">
        <f>IF($C447="","",IF(OR($C447="TUTAR_NEGATIF",$C447="TARIH_BOS"),"YUKSEK","ORTA"))</f>
        <v/>
      </c>
      <c r="F447" s="16">
        <f>IF($C447="","",IF(OR($C447="TARIH_BOS",$C447="VKN_UZUNLUK",$C447="TUTAR_NEGATIF",$C447="DONEM_EKSIK"),$C447,"TANIMSIZ"))</f>
        <v/>
      </c>
      <c r="G447" s="16">
        <f>IF($C447="","",1)</f>
        <v/>
      </c>
    </row>
    <row r="448">
      <c r="A448" s="16">
        <f>IF('VERI_A'!$A448="","",ROW()-ROW(tblVeriA[[#Headers]]))</f>
        <v/>
      </c>
      <c r="B448" s="23">
        <f>IF('VERI_A'!$A448="","",'VERI_A'!$A448)</f>
        <v/>
      </c>
      <c r="C448" s="16">
        <f>IF($B448="","",IF(OR('VERI_A'!$B448="",'VERI_A'!$B448=0),"TARIH_BOS",IF(LEN(TRIM('VERI_A'!$C448&amp;""))&lt;&gt;dbe_vknUzunluk,"VKN_UZUNLUK",IF('VERI_A'!$G448&lt;0,"TUTAR_NEGATIF",IF('VERI_A'!$I448="","DONEM_EKSIK",""))))</f>
        <v/>
      </c>
      <c r="D448" s="16">
        <f>IF($C448="","",IF($C448="TARIH_BOS","Belge tarihi zorunlu",IF($C448="VKN_UZUNLUK","VKN 10 hane olmalı",IF($C448="TUTAR_NEGATIF","Toplam negatif olamaz",IF($C448="DONEM_EKSIK","Dönem zorunlu","Elle incele"))))</f>
        <v/>
      </c>
      <c r="E448" s="16">
        <f>IF($C448="","",IF(OR($C448="TUTAR_NEGATIF",$C448="TARIH_BOS"),"YUKSEK","ORTA"))</f>
        <v/>
      </c>
      <c r="F448" s="16">
        <f>IF($C448="","",IF(OR($C448="TARIH_BOS",$C448="VKN_UZUNLUK",$C448="TUTAR_NEGATIF",$C448="DONEM_EKSIK"),$C448,"TANIMSIZ"))</f>
        <v/>
      </c>
      <c r="G448" s="16">
        <f>IF($C448="","",1)</f>
        <v/>
      </c>
    </row>
    <row r="449">
      <c r="A449" s="16">
        <f>IF('VERI_A'!$A449="","",ROW()-ROW(tblVeriA[[#Headers]]))</f>
        <v/>
      </c>
      <c r="B449" s="23">
        <f>IF('VERI_A'!$A449="","",'VERI_A'!$A449)</f>
        <v/>
      </c>
      <c r="C449" s="16">
        <f>IF($B449="","",IF(OR('VERI_A'!$B449="",'VERI_A'!$B449=0),"TARIH_BOS",IF(LEN(TRIM('VERI_A'!$C449&amp;""))&lt;&gt;dbe_vknUzunluk,"VKN_UZUNLUK",IF('VERI_A'!$G449&lt;0,"TUTAR_NEGATIF",IF('VERI_A'!$I449="","DONEM_EKSIK",""))))</f>
        <v/>
      </c>
      <c r="D449" s="16">
        <f>IF($C449="","",IF($C449="TARIH_BOS","Belge tarihi zorunlu",IF($C449="VKN_UZUNLUK","VKN 10 hane olmalı",IF($C449="TUTAR_NEGATIF","Toplam negatif olamaz",IF($C449="DONEM_EKSIK","Dönem zorunlu","Elle incele"))))</f>
        <v/>
      </c>
      <c r="E449" s="16">
        <f>IF($C449="","",IF(OR($C449="TUTAR_NEGATIF",$C449="TARIH_BOS"),"YUKSEK","ORTA"))</f>
        <v/>
      </c>
      <c r="F449" s="16">
        <f>IF($C449="","",IF(OR($C449="TARIH_BOS",$C449="VKN_UZUNLUK",$C449="TUTAR_NEGATIF",$C449="DONEM_EKSIK"),$C449,"TANIMSIZ"))</f>
        <v/>
      </c>
      <c r="G449" s="16">
        <f>IF($C449="","",1)</f>
        <v/>
      </c>
    </row>
    <row r="450">
      <c r="A450" s="16">
        <f>IF('VERI_A'!$A450="","",ROW()-ROW(tblVeriA[[#Headers]]))</f>
        <v/>
      </c>
      <c r="B450" s="23">
        <f>IF('VERI_A'!$A450="","",'VERI_A'!$A450)</f>
        <v/>
      </c>
      <c r="C450" s="16">
        <f>IF($B450="","",IF(OR('VERI_A'!$B450="",'VERI_A'!$B450=0),"TARIH_BOS",IF(LEN(TRIM('VERI_A'!$C450&amp;""))&lt;&gt;dbe_vknUzunluk,"VKN_UZUNLUK",IF('VERI_A'!$G450&lt;0,"TUTAR_NEGATIF",IF('VERI_A'!$I450="","DONEM_EKSIK",""))))</f>
        <v/>
      </c>
      <c r="D450" s="16">
        <f>IF($C450="","",IF($C450="TARIH_BOS","Belge tarihi zorunlu",IF($C450="VKN_UZUNLUK","VKN 10 hane olmalı",IF($C450="TUTAR_NEGATIF","Toplam negatif olamaz",IF($C450="DONEM_EKSIK","Dönem zorunlu","Elle incele"))))</f>
        <v/>
      </c>
      <c r="E450" s="16">
        <f>IF($C450="","",IF(OR($C450="TUTAR_NEGATIF",$C450="TARIH_BOS"),"YUKSEK","ORTA"))</f>
        <v/>
      </c>
      <c r="F450" s="16">
        <f>IF($C450="","",IF(OR($C450="TARIH_BOS",$C450="VKN_UZUNLUK",$C450="TUTAR_NEGATIF",$C450="DONEM_EKSIK"),$C450,"TANIMSIZ"))</f>
        <v/>
      </c>
      <c r="G450" s="16">
        <f>IF($C450="","",1)</f>
        <v/>
      </c>
    </row>
    <row r="451">
      <c r="A451" s="16">
        <f>IF('VERI_A'!$A451="","",ROW()-ROW(tblVeriA[[#Headers]]))</f>
        <v/>
      </c>
      <c r="B451" s="23">
        <f>IF('VERI_A'!$A451="","",'VERI_A'!$A451)</f>
        <v/>
      </c>
      <c r="C451" s="16">
        <f>IF($B451="","",IF(OR('VERI_A'!$B451="",'VERI_A'!$B451=0),"TARIH_BOS",IF(LEN(TRIM('VERI_A'!$C451&amp;""))&lt;&gt;dbe_vknUzunluk,"VKN_UZUNLUK",IF('VERI_A'!$G451&lt;0,"TUTAR_NEGATIF",IF('VERI_A'!$I451="","DONEM_EKSIK",""))))</f>
        <v/>
      </c>
      <c r="D451" s="16">
        <f>IF($C451="","",IF($C451="TARIH_BOS","Belge tarihi zorunlu",IF($C451="VKN_UZUNLUK","VKN 10 hane olmalı",IF($C451="TUTAR_NEGATIF","Toplam negatif olamaz",IF($C451="DONEM_EKSIK","Dönem zorunlu","Elle incele"))))</f>
        <v/>
      </c>
      <c r="E451" s="16">
        <f>IF($C451="","",IF(OR($C451="TUTAR_NEGATIF",$C451="TARIH_BOS"),"YUKSEK","ORTA"))</f>
        <v/>
      </c>
      <c r="F451" s="16">
        <f>IF($C451="","",IF(OR($C451="TARIH_BOS",$C451="VKN_UZUNLUK",$C451="TUTAR_NEGATIF",$C451="DONEM_EKSIK"),$C451,"TANIMSIZ"))</f>
        <v/>
      </c>
      <c r="G451" s="16">
        <f>IF($C451="","",1)</f>
        <v/>
      </c>
    </row>
    <row r="452">
      <c r="A452" s="16">
        <f>IF('VERI_A'!$A452="","",ROW()-ROW(tblVeriA[[#Headers]]))</f>
        <v/>
      </c>
      <c r="B452" s="23">
        <f>IF('VERI_A'!$A452="","",'VERI_A'!$A452)</f>
        <v/>
      </c>
      <c r="C452" s="16">
        <f>IF($B452="","",IF(OR('VERI_A'!$B452="",'VERI_A'!$B452=0),"TARIH_BOS",IF(LEN(TRIM('VERI_A'!$C452&amp;""))&lt;&gt;dbe_vknUzunluk,"VKN_UZUNLUK",IF('VERI_A'!$G452&lt;0,"TUTAR_NEGATIF",IF('VERI_A'!$I452="","DONEM_EKSIK",""))))</f>
        <v/>
      </c>
      <c r="D452" s="16">
        <f>IF($C452="","",IF($C452="TARIH_BOS","Belge tarihi zorunlu",IF($C452="VKN_UZUNLUK","VKN 10 hane olmalı",IF($C452="TUTAR_NEGATIF","Toplam negatif olamaz",IF($C452="DONEM_EKSIK","Dönem zorunlu","Elle incele"))))</f>
        <v/>
      </c>
      <c r="E452" s="16">
        <f>IF($C452="","",IF(OR($C452="TUTAR_NEGATIF",$C452="TARIH_BOS"),"YUKSEK","ORTA"))</f>
        <v/>
      </c>
      <c r="F452" s="16">
        <f>IF($C452="","",IF(OR($C452="TARIH_BOS",$C452="VKN_UZUNLUK",$C452="TUTAR_NEGATIF",$C452="DONEM_EKSIK"),$C452,"TANIMSIZ"))</f>
        <v/>
      </c>
      <c r="G452" s="16">
        <f>IF($C452="","",1)</f>
        <v/>
      </c>
    </row>
    <row r="453">
      <c r="A453" s="16">
        <f>IF('VERI_A'!$A453="","",ROW()-ROW(tblVeriA[[#Headers]]))</f>
        <v/>
      </c>
      <c r="B453" s="23">
        <f>IF('VERI_A'!$A453="","",'VERI_A'!$A453)</f>
        <v/>
      </c>
      <c r="C453" s="16">
        <f>IF($B453="","",IF(OR('VERI_A'!$B453="",'VERI_A'!$B453=0),"TARIH_BOS",IF(LEN(TRIM('VERI_A'!$C453&amp;""))&lt;&gt;dbe_vknUzunluk,"VKN_UZUNLUK",IF('VERI_A'!$G453&lt;0,"TUTAR_NEGATIF",IF('VERI_A'!$I453="","DONEM_EKSIK",""))))</f>
        <v/>
      </c>
      <c r="D453" s="16">
        <f>IF($C453="","",IF($C453="TARIH_BOS","Belge tarihi zorunlu",IF($C453="VKN_UZUNLUK","VKN 10 hane olmalı",IF($C453="TUTAR_NEGATIF","Toplam negatif olamaz",IF($C453="DONEM_EKSIK","Dönem zorunlu","Elle incele"))))</f>
        <v/>
      </c>
      <c r="E453" s="16">
        <f>IF($C453="","",IF(OR($C453="TUTAR_NEGATIF",$C453="TARIH_BOS"),"YUKSEK","ORTA"))</f>
        <v/>
      </c>
      <c r="F453" s="16">
        <f>IF($C453="","",IF(OR($C453="TARIH_BOS",$C453="VKN_UZUNLUK",$C453="TUTAR_NEGATIF",$C453="DONEM_EKSIK"),$C453,"TANIMSIZ"))</f>
        <v/>
      </c>
      <c r="G453" s="16">
        <f>IF($C453="","",1)</f>
        <v/>
      </c>
    </row>
    <row r="454">
      <c r="A454" s="16">
        <f>IF('VERI_A'!$A454="","",ROW()-ROW(tblVeriA[[#Headers]]))</f>
        <v/>
      </c>
      <c r="B454" s="23">
        <f>IF('VERI_A'!$A454="","",'VERI_A'!$A454)</f>
        <v/>
      </c>
      <c r="C454" s="16">
        <f>IF($B454="","",IF(OR('VERI_A'!$B454="",'VERI_A'!$B454=0),"TARIH_BOS",IF(LEN(TRIM('VERI_A'!$C454&amp;""))&lt;&gt;dbe_vknUzunluk,"VKN_UZUNLUK",IF('VERI_A'!$G454&lt;0,"TUTAR_NEGATIF",IF('VERI_A'!$I454="","DONEM_EKSIK",""))))</f>
        <v/>
      </c>
      <c r="D454" s="16">
        <f>IF($C454="","",IF($C454="TARIH_BOS","Belge tarihi zorunlu",IF($C454="VKN_UZUNLUK","VKN 10 hane olmalı",IF($C454="TUTAR_NEGATIF","Toplam negatif olamaz",IF($C454="DONEM_EKSIK","Dönem zorunlu","Elle incele"))))</f>
        <v/>
      </c>
      <c r="E454" s="16">
        <f>IF($C454="","",IF(OR($C454="TUTAR_NEGATIF",$C454="TARIH_BOS"),"YUKSEK","ORTA"))</f>
        <v/>
      </c>
      <c r="F454" s="16">
        <f>IF($C454="","",IF(OR($C454="TARIH_BOS",$C454="VKN_UZUNLUK",$C454="TUTAR_NEGATIF",$C454="DONEM_EKSIK"),$C454,"TANIMSIZ"))</f>
        <v/>
      </c>
      <c r="G454" s="16">
        <f>IF($C454="","",1)</f>
        <v/>
      </c>
    </row>
    <row r="455">
      <c r="A455" s="16">
        <f>IF('VERI_A'!$A455="","",ROW()-ROW(tblVeriA[[#Headers]]))</f>
        <v/>
      </c>
      <c r="B455" s="23">
        <f>IF('VERI_A'!$A455="","",'VERI_A'!$A455)</f>
        <v/>
      </c>
      <c r="C455" s="16">
        <f>IF($B455="","",IF(OR('VERI_A'!$B455="",'VERI_A'!$B455=0),"TARIH_BOS",IF(LEN(TRIM('VERI_A'!$C455&amp;""))&lt;&gt;dbe_vknUzunluk,"VKN_UZUNLUK",IF('VERI_A'!$G455&lt;0,"TUTAR_NEGATIF",IF('VERI_A'!$I455="","DONEM_EKSIK",""))))</f>
        <v/>
      </c>
      <c r="D455" s="16">
        <f>IF($C455="","",IF($C455="TARIH_BOS","Belge tarihi zorunlu",IF($C455="VKN_UZUNLUK","VKN 10 hane olmalı",IF($C455="TUTAR_NEGATIF","Toplam negatif olamaz",IF($C455="DONEM_EKSIK","Dönem zorunlu","Elle incele"))))</f>
        <v/>
      </c>
      <c r="E455" s="16">
        <f>IF($C455="","",IF(OR($C455="TUTAR_NEGATIF",$C455="TARIH_BOS"),"YUKSEK","ORTA"))</f>
        <v/>
      </c>
      <c r="F455" s="16">
        <f>IF($C455="","",IF(OR($C455="TARIH_BOS",$C455="VKN_UZUNLUK",$C455="TUTAR_NEGATIF",$C455="DONEM_EKSIK"),$C455,"TANIMSIZ"))</f>
        <v/>
      </c>
      <c r="G455" s="16">
        <f>IF($C455="","",1)</f>
        <v/>
      </c>
    </row>
    <row r="456">
      <c r="A456" s="16">
        <f>IF('VERI_A'!$A456="","",ROW()-ROW(tblVeriA[[#Headers]]))</f>
        <v/>
      </c>
      <c r="B456" s="23">
        <f>IF('VERI_A'!$A456="","",'VERI_A'!$A456)</f>
        <v/>
      </c>
      <c r="C456" s="16">
        <f>IF($B456="","",IF(OR('VERI_A'!$B456="",'VERI_A'!$B456=0),"TARIH_BOS",IF(LEN(TRIM('VERI_A'!$C456&amp;""))&lt;&gt;dbe_vknUzunluk,"VKN_UZUNLUK",IF('VERI_A'!$G456&lt;0,"TUTAR_NEGATIF",IF('VERI_A'!$I456="","DONEM_EKSIK",""))))</f>
        <v/>
      </c>
      <c r="D456" s="16">
        <f>IF($C456="","",IF($C456="TARIH_BOS","Belge tarihi zorunlu",IF($C456="VKN_UZUNLUK","VKN 10 hane olmalı",IF($C456="TUTAR_NEGATIF","Toplam negatif olamaz",IF($C456="DONEM_EKSIK","Dönem zorunlu","Elle incele"))))</f>
        <v/>
      </c>
      <c r="E456" s="16">
        <f>IF($C456="","",IF(OR($C456="TUTAR_NEGATIF",$C456="TARIH_BOS"),"YUKSEK","ORTA"))</f>
        <v/>
      </c>
      <c r="F456" s="16">
        <f>IF($C456="","",IF(OR($C456="TARIH_BOS",$C456="VKN_UZUNLUK",$C456="TUTAR_NEGATIF",$C456="DONEM_EKSIK"),$C456,"TANIMSIZ"))</f>
        <v/>
      </c>
      <c r="G456" s="16">
        <f>IF($C456="","",1)</f>
        <v/>
      </c>
    </row>
    <row r="457">
      <c r="A457" s="16">
        <f>IF('VERI_A'!$A457="","",ROW()-ROW(tblVeriA[[#Headers]]))</f>
        <v/>
      </c>
      <c r="B457" s="23">
        <f>IF('VERI_A'!$A457="","",'VERI_A'!$A457)</f>
        <v/>
      </c>
      <c r="C457" s="16">
        <f>IF($B457="","",IF(OR('VERI_A'!$B457="",'VERI_A'!$B457=0),"TARIH_BOS",IF(LEN(TRIM('VERI_A'!$C457&amp;""))&lt;&gt;dbe_vknUzunluk,"VKN_UZUNLUK",IF('VERI_A'!$G457&lt;0,"TUTAR_NEGATIF",IF('VERI_A'!$I457="","DONEM_EKSIK",""))))</f>
        <v/>
      </c>
      <c r="D457" s="16">
        <f>IF($C457="","",IF($C457="TARIH_BOS","Belge tarihi zorunlu",IF($C457="VKN_UZUNLUK","VKN 10 hane olmalı",IF($C457="TUTAR_NEGATIF","Toplam negatif olamaz",IF($C457="DONEM_EKSIK","Dönem zorunlu","Elle incele"))))</f>
        <v/>
      </c>
      <c r="E457" s="16">
        <f>IF($C457="","",IF(OR($C457="TUTAR_NEGATIF",$C457="TARIH_BOS"),"YUKSEK","ORTA"))</f>
        <v/>
      </c>
      <c r="F457" s="16">
        <f>IF($C457="","",IF(OR($C457="TARIH_BOS",$C457="VKN_UZUNLUK",$C457="TUTAR_NEGATIF",$C457="DONEM_EKSIK"),$C457,"TANIMSIZ"))</f>
        <v/>
      </c>
      <c r="G457" s="16">
        <f>IF($C457="","",1)</f>
        <v/>
      </c>
    </row>
    <row r="458">
      <c r="A458" s="16">
        <f>IF('VERI_A'!$A458="","",ROW()-ROW(tblVeriA[[#Headers]]))</f>
        <v/>
      </c>
      <c r="B458" s="23">
        <f>IF('VERI_A'!$A458="","",'VERI_A'!$A458)</f>
        <v/>
      </c>
      <c r="C458" s="16">
        <f>IF($B458="","",IF(OR('VERI_A'!$B458="",'VERI_A'!$B458=0),"TARIH_BOS",IF(LEN(TRIM('VERI_A'!$C458&amp;""))&lt;&gt;dbe_vknUzunluk,"VKN_UZUNLUK",IF('VERI_A'!$G458&lt;0,"TUTAR_NEGATIF",IF('VERI_A'!$I458="","DONEM_EKSIK",""))))</f>
        <v/>
      </c>
      <c r="D458" s="16">
        <f>IF($C458="","",IF($C458="TARIH_BOS","Belge tarihi zorunlu",IF($C458="VKN_UZUNLUK","VKN 10 hane olmalı",IF($C458="TUTAR_NEGATIF","Toplam negatif olamaz",IF($C458="DONEM_EKSIK","Dönem zorunlu","Elle incele"))))</f>
        <v/>
      </c>
      <c r="E458" s="16">
        <f>IF($C458="","",IF(OR($C458="TUTAR_NEGATIF",$C458="TARIH_BOS"),"YUKSEK","ORTA"))</f>
        <v/>
      </c>
      <c r="F458" s="16">
        <f>IF($C458="","",IF(OR($C458="TARIH_BOS",$C458="VKN_UZUNLUK",$C458="TUTAR_NEGATIF",$C458="DONEM_EKSIK"),$C458,"TANIMSIZ"))</f>
        <v/>
      </c>
      <c r="G458" s="16">
        <f>IF($C458="","",1)</f>
        <v/>
      </c>
    </row>
    <row r="459">
      <c r="A459" s="16">
        <f>IF('VERI_A'!$A459="","",ROW()-ROW(tblVeriA[[#Headers]]))</f>
        <v/>
      </c>
      <c r="B459" s="23">
        <f>IF('VERI_A'!$A459="","",'VERI_A'!$A459)</f>
        <v/>
      </c>
      <c r="C459" s="16">
        <f>IF($B459="","",IF(OR('VERI_A'!$B459="",'VERI_A'!$B459=0),"TARIH_BOS",IF(LEN(TRIM('VERI_A'!$C459&amp;""))&lt;&gt;dbe_vknUzunluk,"VKN_UZUNLUK",IF('VERI_A'!$G459&lt;0,"TUTAR_NEGATIF",IF('VERI_A'!$I459="","DONEM_EKSIK",""))))</f>
        <v/>
      </c>
      <c r="D459" s="16">
        <f>IF($C459="","",IF($C459="TARIH_BOS","Belge tarihi zorunlu",IF($C459="VKN_UZUNLUK","VKN 10 hane olmalı",IF($C459="TUTAR_NEGATIF","Toplam negatif olamaz",IF($C459="DONEM_EKSIK","Dönem zorunlu","Elle incele"))))</f>
        <v/>
      </c>
      <c r="E459" s="16">
        <f>IF($C459="","",IF(OR($C459="TUTAR_NEGATIF",$C459="TARIH_BOS"),"YUKSEK","ORTA"))</f>
        <v/>
      </c>
      <c r="F459" s="16">
        <f>IF($C459="","",IF(OR($C459="TARIH_BOS",$C459="VKN_UZUNLUK",$C459="TUTAR_NEGATIF",$C459="DONEM_EKSIK"),$C459,"TANIMSIZ"))</f>
        <v/>
      </c>
      <c r="G459" s="16">
        <f>IF($C459="","",1)</f>
        <v/>
      </c>
    </row>
    <row r="460">
      <c r="A460" s="16">
        <f>IF('VERI_A'!$A460="","",ROW()-ROW(tblVeriA[[#Headers]]))</f>
        <v/>
      </c>
      <c r="B460" s="23">
        <f>IF('VERI_A'!$A460="","",'VERI_A'!$A460)</f>
        <v/>
      </c>
      <c r="C460" s="16">
        <f>IF($B460="","",IF(OR('VERI_A'!$B460="",'VERI_A'!$B460=0),"TARIH_BOS",IF(LEN(TRIM('VERI_A'!$C460&amp;""))&lt;&gt;dbe_vknUzunluk,"VKN_UZUNLUK",IF('VERI_A'!$G460&lt;0,"TUTAR_NEGATIF",IF('VERI_A'!$I460="","DONEM_EKSIK",""))))</f>
        <v/>
      </c>
      <c r="D460" s="16">
        <f>IF($C460="","",IF($C460="TARIH_BOS","Belge tarihi zorunlu",IF($C460="VKN_UZUNLUK","VKN 10 hane olmalı",IF($C460="TUTAR_NEGATIF","Toplam negatif olamaz",IF($C460="DONEM_EKSIK","Dönem zorunlu","Elle incele"))))</f>
        <v/>
      </c>
      <c r="E460" s="16">
        <f>IF($C460="","",IF(OR($C460="TUTAR_NEGATIF",$C460="TARIH_BOS"),"YUKSEK","ORTA"))</f>
        <v/>
      </c>
      <c r="F460" s="16">
        <f>IF($C460="","",IF(OR($C460="TARIH_BOS",$C460="VKN_UZUNLUK",$C460="TUTAR_NEGATIF",$C460="DONEM_EKSIK"),$C460,"TANIMSIZ"))</f>
        <v/>
      </c>
      <c r="G460" s="16">
        <f>IF($C460="","",1)</f>
        <v/>
      </c>
    </row>
    <row r="461">
      <c r="A461" s="16">
        <f>IF('VERI_A'!$A461="","",ROW()-ROW(tblVeriA[[#Headers]]))</f>
        <v/>
      </c>
      <c r="B461" s="23">
        <f>IF('VERI_A'!$A461="","",'VERI_A'!$A461)</f>
        <v/>
      </c>
      <c r="C461" s="16">
        <f>IF($B461="","",IF(OR('VERI_A'!$B461="",'VERI_A'!$B461=0),"TARIH_BOS",IF(LEN(TRIM('VERI_A'!$C461&amp;""))&lt;&gt;dbe_vknUzunluk,"VKN_UZUNLUK",IF('VERI_A'!$G461&lt;0,"TUTAR_NEGATIF",IF('VERI_A'!$I461="","DONEM_EKSIK",""))))</f>
        <v/>
      </c>
      <c r="D461" s="16">
        <f>IF($C461="","",IF($C461="TARIH_BOS","Belge tarihi zorunlu",IF($C461="VKN_UZUNLUK","VKN 10 hane olmalı",IF($C461="TUTAR_NEGATIF","Toplam negatif olamaz",IF($C461="DONEM_EKSIK","Dönem zorunlu","Elle incele"))))</f>
        <v/>
      </c>
      <c r="E461" s="16">
        <f>IF($C461="","",IF(OR($C461="TUTAR_NEGATIF",$C461="TARIH_BOS"),"YUKSEK","ORTA"))</f>
        <v/>
      </c>
      <c r="F461" s="16">
        <f>IF($C461="","",IF(OR($C461="TARIH_BOS",$C461="VKN_UZUNLUK",$C461="TUTAR_NEGATIF",$C461="DONEM_EKSIK"),$C461,"TANIMSIZ"))</f>
        <v/>
      </c>
      <c r="G461" s="16">
        <f>IF($C461="","",1)</f>
        <v/>
      </c>
    </row>
    <row r="462">
      <c r="A462" s="16">
        <f>IF('VERI_A'!$A462="","",ROW()-ROW(tblVeriA[[#Headers]]))</f>
        <v/>
      </c>
      <c r="B462" s="23">
        <f>IF('VERI_A'!$A462="","",'VERI_A'!$A462)</f>
        <v/>
      </c>
      <c r="C462" s="16">
        <f>IF($B462="","",IF(OR('VERI_A'!$B462="",'VERI_A'!$B462=0),"TARIH_BOS",IF(LEN(TRIM('VERI_A'!$C462&amp;""))&lt;&gt;dbe_vknUzunluk,"VKN_UZUNLUK",IF('VERI_A'!$G462&lt;0,"TUTAR_NEGATIF",IF('VERI_A'!$I462="","DONEM_EKSIK",""))))</f>
        <v/>
      </c>
      <c r="D462" s="16">
        <f>IF($C462="","",IF($C462="TARIH_BOS","Belge tarihi zorunlu",IF($C462="VKN_UZUNLUK","VKN 10 hane olmalı",IF($C462="TUTAR_NEGATIF","Toplam negatif olamaz",IF($C462="DONEM_EKSIK","Dönem zorunlu","Elle incele"))))</f>
        <v/>
      </c>
      <c r="E462" s="16">
        <f>IF($C462="","",IF(OR($C462="TUTAR_NEGATIF",$C462="TARIH_BOS"),"YUKSEK","ORTA"))</f>
        <v/>
      </c>
      <c r="F462" s="16">
        <f>IF($C462="","",IF(OR($C462="TARIH_BOS",$C462="VKN_UZUNLUK",$C462="TUTAR_NEGATIF",$C462="DONEM_EKSIK"),$C462,"TANIMSIZ"))</f>
        <v/>
      </c>
      <c r="G462" s="16">
        <f>IF($C462="","",1)</f>
        <v/>
      </c>
    </row>
    <row r="463">
      <c r="A463" s="16">
        <f>IF('VERI_A'!$A463="","",ROW()-ROW(tblVeriA[[#Headers]]))</f>
        <v/>
      </c>
      <c r="B463" s="23">
        <f>IF('VERI_A'!$A463="","",'VERI_A'!$A463)</f>
        <v/>
      </c>
      <c r="C463" s="16">
        <f>IF($B463="","",IF(OR('VERI_A'!$B463="",'VERI_A'!$B463=0),"TARIH_BOS",IF(LEN(TRIM('VERI_A'!$C463&amp;""))&lt;&gt;dbe_vknUzunluk,"VKN_UZUNLUK",IF('VERI_A'!$G463&lt;0,"TUTAR_NEGATIF",IF('VERI_A'!$I463="","DONEM_EKSIK",""))))</f>
        <v/>
      </c>
      <c r="D463" s="16">
        <f>IF($C463="","",IF($C463="TARIH_BOS","Belge tarihi zorunlu",IF($C463="VKN_UZUNLUK","VKN 10 hane olmalı",IF($C463="TUTAR_NEGATIF","Toplam negatif olamaz",IF($C463="DONEM_EKSIK","Dönem zorunlu","Elle incele"))))</f>
        <v/>
      </c>
      <c r="E463" s="16">
        <f>IF($C463="","",IF(OR($C463="TUTAR_NEGATIF",$C463="TARIH_BOS"),"YUKSEK","ORTA"))</f>
        <v/>
      </c>
      <c r="F463" s="16">
        <f>IF($C463="","",IF(OR($C463="TARIH_BOS",$C463="VKN_UZUNLUK",$C463="TUTAR_NEGATIF",$C463="DONEM_EKSIK"),$C463,"TANIMSIZ"))</f>
        <v/>
      </c>
      <c r="G463" s="16">
        <f>IF($C463="","",1)</f>
        <v/>
      </c>
    </row>
    <row r="464">
      <c r="A464" s="16">
        <f>IF('VERI_A'!$A464="","",ROW()-ROW(tblVeriA[[#Headers]]))</f>
        <v/>
      </c>
      <c r="B464" s="23">
        <f>IF('VERI_A'!$A464="","",'VERI_A'!$A464)</f>
        <v/>
      </c>
      <c r="C464" s="16">
        <f>IF($B464="","",IF(OR('VERI_A'!$B464="",'VERI_A'!$B464=0),"TARIH_BOS",IF(LEN(TRIM('VERI_A'!$C464&amp;""))&lt;&gt;dbe_vknUzunluk,"VKN_UZUNLUK",IF('VERI_A'!$G464&lt;0,"TUTAR_NEGATIF",IF('VERI_A'!$I464="","DONEM_EKSIK",""))))</f>
        <v/>
      </c>
      <c r="D464" s="16">
        <f>IF($C464="","",IF($C464="TARIH_BOS","Belge tarihi zorunlu",IF($C464="VKN_UZUNLUK","VKN 10 hane olmalı",IF($C464="TUTAR_NEGATIF","Toplam negatif olamaz",IF($C464="DONEM_EKSIK","Dönem zorunlu","Elle incele"))))</f>
        <v/>
      </c>
      <c r="E464" s="16">
        <f>IF($C464="","",IF(OR($C464="TUTAR_NEGATIF",$C464="TARIH_BOS"),"YUKSEK","ORTA"))</f>
        <v/>
      </c>
      <c r="F464" s="16">
        <f>IF($C464="","",IF(OR($C464="TARIH_BOS",$C464="VKN_UZUNLUK",$C464="TUTAR_NEGATIF",$C464="DONEM_EKSIK"),$C464,"TANIMSIZ"))</f>
        <v/>
      </c>
      <c r="G464" s="16">
        <f>IF($C464="","",1)</f>
        <v/>
      </c>
    </row>
    <row r="465">
      <c r="A465" s="16">
        <f>IF('VERI_A'!$A465="","",ROW()-ROW(tblVeriA[[#Headers]]))</f>
        <v/>
      </c>
      <c r="B465" s="23">
        <f>IF('VERI_A'!$A465="","",'VERI_A'!$A465)</f>
        <v/>
      </c>
      <c r="C465" s="16">
        <f>IF($B465="","",IF(OR('VERI_A'!$B465="",'VERI_A'!$B465=0),"TARIH_BOS",IF(LEN(TRIM('VERI_A'!$C465&amp;""))&lt;&gt;dbe_vknUzunluk,"VKN_UZUNLUK",IF('VERI_A'!$G465&lt;0,"TUTAR_NEGATIF",IF('VERI_A'!$I465="","DONEM_EKSIK",""))))</f>
        <v/>
      </c>
      <c r="D465" s="16">
        <f>IF($C465="","",IF($C465="TARIH_BOS","Belge tarihi zorunlu",IF($C465="VKN_UZUNLUK","VKN 10 hane olmalı",IF($C465="TUTAR_NEGATIF","Toplam negatif olamaz",IF($C465="DONEM_EKSIK","Dönem zorunlu","Elle incele"))))</f>
        <v/>
      </c>
      <c r="E465" s="16">
        <f>IF($C465="","",IF(OR($C465="TUTAR_NEGATIF",$C465="TARIH_BOS"),"YUKSEK","ORTA"))</f>
        <v/>
      </c>
      <c r="F465" s="16">
        <f>IF($C465="","",IF(OR($C465="TARIH_BOS",$C465="VKN_UZUNLUK",$C465="TUTAR_NEGATIF",$C465="DONEM_EKSIK"),$C465,"TANIMSIZ"))</f>
        <v/>
      </c>
      <c r="G465" s="16">
        <f>IF($C465="","",1)</f>
        <v/>
      </c>
    </row>
    <row r="466">
      <c r="A466" s="16">
        <f>IF('VERI_A'!$A466="","",ROW()-ROW(tblVeriA[[#Headers]]))</f>
        <v/>
      </c>
      <c r="B466" s="23">
        <f>IF('VERI_A'!$A466="","",'VERI_A'!$A466)</f>
        <v/>
      </c>
      <c r="C466" s="16">
        <f>IF($B466="","",IF(OR('VERI_A'!$B466="",'VERI_A'!$B466=0),"TARIH_BOS",IF(LEN(TRIM('VERI_A'!$C466&amp;""))&lt;&gt;dbe_vknUzunluk,"VKN_UZUNLUK",IF('VERI_A'!$G466&lt;0,"TUTAR_NEGATIF",IF('VERI_A'!$I466="","DONEM_EKSIK",""))))</f>
        <v/>
      </c>
      <c r="D466" s="16">
        <f>IF($C466="","",IF($C466="TARIH_BOS","Belge tarihi zorunlu",IF($C466="VKN_UZUNLUK","VKN 10 hane olmalı",IF($C466="TUTAR_NEGATIF","Toplam negatif olamaz",IF($C466="DONEM_EKSIK","Dönem zorunlu","Elle incele"))))</f>
        <v/>
      </c>
      <c r="E466" s="16">
        <f>IF($C466="","",IF(OR($C466="TUTAR_NEGATIF",$C466="TARIH_BOS"),"YUKSEK","ORTA"))</f>
        <v/>
      </c>
      <c r="F466" s="16">
        <f>IF($C466="","",IF(OR($C466="TARIH_BOS",$C466="VKN_UZUNLUK",$C466="TUTAR_NEGATIF",$C466="DONEM_EKSIK"),$C466,"TANIMSIZ"))</f>
        <v/>
      </c>
      <c r="G466" s="16">
        <f>IF($C466="","",1)</f>
        <v/>
      </c>
    </row>
    <row r="467">
      <c r="A467" s="16">
        <f>IF('VERI_A'!$A467="","",ROW()-ROW(tblVeriA[[#Headers]]))</f>
        <v/>
      </c>
      <c r="B467" s="23">
        <f>IF('VERI_A'!$A467="","",'VERI_A'!$A467)</f>
        <v/>
      </c>
      <c r="C467" s="16">
        <f>IF($B467="","",IF(OR('VERI_A'!$B467="",'VERI_A'!$B467=0),"TARIH_BOS",IF(LEN(TRIM('VERI_A'!$C467&amp;""))&lt;&gt;dbe_vknUzunluk,"VKN_UZUNLUK",IF('VERI_A'!$G467&lt;0,"TUTAR_NEGATIF",IF('VERI_A'!$I467="","DONEM_EKSIK",""))))</f>
        <v/>
      </c>
      <c r="D467" s="16">
        <f>IF($C467="","",IF($C467="TARIH_BOS","Belge tarihi zorunlu",IF($C467="VKN_UZUNLUK","VKN 10 hane olmalı",IF($C467="TUTAR_NEGATIF","Toplam negatif olamaz",IF($C467="DONEM_EKSIK","Dönem zorunlu","Elle incele"))))</f>
        <v/>
      </c>
      <c r="E467" s="16">
        <f>IF($C467="","",IF(OR($C467="TUTAR_NEGATIF",$C467="TARIH_BOS"),"YUKSEK","ORTA"))</f>
        <v/>
      </c>
      <c r="F467" s="16">
        <f>IF($C467="","",IF(OR($C467="TARIH_BOS",$C467="VKN_UZUNLUK",$C467="TUTAR_NEGATIF",$C467="DONEM_EKSIK"),$C467,"TANIMSIZ"))</f>
        <v/>
      </c>
      <c r="G467" s="16">
        <f>IF($C467="","",1)</f>
        <v/>
      </c>
    </row>
    <row r="468">
      <c r="A468" s="16">
        <f>IF('VERI_A'!$A468="","",ROW()-ROW(tblVeriA[[#Headers]]))</f>
        <v/>
      </c>
      <c r="B468" s="23">
        <f>IF('VERI_A'!$A468="","",'VERI_A'!$A468)</f>
        <v/>
      </c>
      <c r="C468" s="16">
        <f>IF($B468="","",IF(OR('VERI_A'!$B468="",'VERI_A'!$B468=0),"TARIH_BOS",IF(LEN(TRIM('VERI_A'!$C468&amp;""))&lt;&gt;dbe_vknUzunluk,"VKN_UZUNLUK",IF('VERI_A'!$G468&lt;0,"TUTAR_NEGATIF",IF('VERI_A'!$I468="","DONEM_EKSIK",""))))</f>
        <v/>
      </c>
      <c r="D468" s="16">
        <f>IF($C468="","",IF($C468="TARIH_BOS","Belge tarihi zorunlu",IF($C468="VKN_UZUNLUK","VKN 10 hane olmalı",IF($C468="TUTAR_NEGATIF","Toplam negatif olamaz",IF($C468="DONEM_EKSIK","Dönem zorunlu","Elle incele"))))</f>
        <v/>
      </c>
      <c r="E468" s="16">
        <f>IF($C468="","",IF(OR($C468="TUTAR_NEGATIF",$C468="TARIH_BOS"),"YUKSEK","ORTA"))</f>
        <v/>
      </c>
      <c r="F468" s="16">
        <f>IF($C468="","",IF(OR($C468="TARIH_BOS",$C468="VKN_UZUNLUK",$C468="TUTAR_NEGATIF",$C468="DONEM_EKSIK"),$C468,"TANIMSIZ"))</f>
        <v/>
      </c>
      <c r="G468" s="16">
        <f>IF($C468="","",1)</f>
        <v/>
      </c>
    </row>
    <row r="469">
      <c r="A469" s="16">
        <f>IF('VERI_A'!$A469="","",ROW()-ROW(tblVeriA[[#Headers]]))</f>
        <v/>
      </c>
      <c r="B469" s="23">
        <f>IF('VERI_A'!$A469="","",'VERI_A'!$A469)</f>
        <v/>
      </c>
      <c r="C469" s="16">
        <f>IF($B469="","",IF(OR('VERI_A'!$B469="",'VERI_A'!$B469=0),"TARIH_BOS",IF(LEN(TRIM('VERI_A'!$C469&amp;""))&lt;&gt;dbe_vknUzunluk,"VKN_UZUNLUK",IF('VERI_A'!$G469&lt;0,"TUTAR_NEGATIF",IF('VERI_A'!$I469="","DONEM_EKSIK",""))))</f>
        <v/>
      </c>
      <c r="D469" s="16">
        <f>IF($C469="","",IF($C469="TARIH_BOS","Belge tarihi zorunlu",IF($C469="VKN_UZUNLUK","VKN 10 hane olmalı",IF($C469="TUTAR_NEGATIF","Toplam negatif olamaz",IF($C469="DONEM_EKSIK","Dönem zorunlu","Elle incele"))))</f>
        <v/>
      </c>
      <c r="E469" s="16">
        <f>IF($C469="","",IF(OR($C469="TUTAR_NEGATIF",$C469="TARIH_BOS"),"YUKSEK","ORTA"))</f>
        <v/>
      </c>
      <c r="F469" s="16">
        <f>IF($C469="","",IF(OR($C469="TARIH_BOS",$C469="VKN_UZUNLUK",$C469="TUTAR_NEGATIF",$C469="DONEM_EKSIK"),$C469,"TANIMSIZ"))</f>
        <v/>
      </c>
      <c r="G469" s="16">
        <f>IF($C469="","",1)</f>
        <v/>
      </c>
    </row>
    <row r="470">
      <c r="A470" s="16">
        <f>IF('VERI_A'!$A470="","",ROW()-ROW(tblVeriA[[#Headers]]))</f>
        <v/>
      </c>
      <c r="B470" s="23">
        <f>IF('VERI_A'!$A470="","",'VERI_A'!$A470)</f>
        <v/>
      </c>
      <c r="C470" s="16">
        <f>IF($B470="","",IF(OR('VERI_A'!$B470="",'VERI_A'!$B470=0),"TARIH_BOS",IF(LEN(TRIM('VERI_A'!$C470&amp;""))&lt;&gt;dbe_vknUzunluk,"VKN_UZUNLUK",IF('VERI_A'!$G470&lt;0,"TUTAR_NEGATIF",IF('VERI_A'!$I470="","DONEM_EKSIK",""))))</f>
        <v/>
      </c>
      <c r="D470" s="16">
        <f>IF($C470="","",IF($C470="TARIH_BOS","Belge tarihi zorunlu",IF($C470="VKN_UZUNLUK","VKN 10 hane olmalı",IF($C470="TUTAR_NEGATIF","Toplam negatif olamaz",IF($C470="DONEM_EKSIK","Dönem zorunlu","Elle incele"))))</f>
        <v/>
      </c>
      <c r="E470" s="16">
        <f>IF($C470="","",IF(OR($C470="TUTAR_NEGATIF",$C470="TARIH_BOS"),"YUKSEK","ORTA"))</f>
        <v/>
      </c>
      <c r="F470" s="16">
        <f>IF($C470="","",IF(OR($C470="TARIH_BOS",$C470="VKN_UZUNLUK",$C470="TUTAR_NEGATIF",$C470="DONEM_EKSIK"),$C470,"TANIMSIZ"))</f>
        <v/>
      </c>
      <c r="G470" s="16">
        <f>IF($C470="","",1)</f>
        <v/>
      </c>
    </row>
    <row r="471">
      <c r="A471" s="16">
        <f>IF('VERI_A'!$A471="","",ROW()-ROW(tblVeriA[[#Headers]]))</f>
        <v/>
      </c>
      <c r="B471" s="23">
        <f>IF('VERI_A'!$A471="","",'VERI_A'!$A471)</f>
        <v/>
      </c>
      <c r="C471" s="16">
        <f>IF($B471="","",IF(OR('VERI_A'!$B471="",'VERI_A'!$B471=0),"TARIH_BOS",IF(LEN(TRIM('VERI_A'!$C471&amp;""))&lt;&gt;dbe_vknUzunluk,"VKN_UZUNLUK",IF('VERI_A'!$G471&lt;0,"TUTAR_NEGATIF",IF('VERI_A'!$I471="","DONEM_EKSIK",""))))</f>
        <v/>
      </c>
      <c r="D471" s="16">
        <f>IF($C471="","",IF($C471="TARIH_BOS","Belge tarihi zorunlu",IF($C471="VKN_UZUNLUK","VKN 10 hane olmalı",IF($C471="TUTAR_NEGATIF","Toplam negatif olamaz",IF($C471="DONEM_EKSIK","Dönem zorunlu","Elle incele"))))</f>
        <v/>
      </c>
      <c r="E471" s="16">
        <f>IF($C471="","",IF(OR($C471="TUTAR_NEGATIF",$C471="TARIH_BOS"),"YUKSEK","ORTA"))</f>
        <v/>
      </c>
      <c r="F471" s="16">
        <f>IF($C471="","",IF(OR($C471="TARIH_BOS",$C471="VKN_UZUNLUK",$C471="TUTAR_NEGATIF",$C471="DONEM_EKSIK"),$C471,"TANIMSIZ"))</f>
        <v/>
      </c>
      <c r="G471" s="16">
        <f>IF($C471="","",1)</f>
        <v/>
      </c>
    </row>
    <row r="472">
      <c r="A472" s="16">
        <f>IF('VERI_A'!$A472="","",ROW()-ROW(tblVeriA[[#Headers]]))</f>
        <v/>
      </c>
      <c r="B472" s="23">
        <f>IF('VERI_A'!$A472="","",'VERI_A'!$A472)</f>
        <v/>
      </c>
      <c r="C472" s="16">
        <f>IF($B472="","",IF(OR('VERI_A'!$B472="",'VERI_A'!$B472=0),"TARIH_BOS",IF(LEN(TRIM('VERI_A'!$C472&amp;""))&lt;&gt;dbe_vknUzunluk,"VKN_UZUNLUK",IF('VERI_A'!$G472&lt;0,"TUTAR_NEGATIF",IF('VERI_A'!$I472="","DONEM_EKSIK",""))))</f>
        <v/>
      </c>
      <c r="D472" s="16">
        <f>IF($C472="","",IF($C472="TARIH_BOS","Belge tarihi zorunlu",IF($C472="VKN_UZUNLUK","VKN 10 hane olmalı",IF($C472="TUTAR_NEGATIF","Toplam negatif olamaz",IF($C472="DONEM_EKSIK","Dönem zorunlu","Elle incele"))))</f>
        <v/>
      </c>
      <c r="E472" s="16">
        <f>IF($C472="","",IF(OR($C472="TUTAR_NEGATIF",$C472="TARIH_BOS"),"YUKSEK","ORTA"))</f>
        <v/>
      </c>
      <c r="F472" s="16">
        <f>IF($C472="","",IF(OR($C472="TARIH_BOS",$C472="VKN_UZUNLUK",$C472="TUTAR_NEGATIF",$C472="DONEM_EKSIK"),$C472,"TANIMSIZ"))</f>
        <v/>
      </c>
      <c r="G472" s="16">
        <f>IF($C472="","",1)</f>
        <v/>
      </c>
    </row>
    <row r="473">
      <c r="A473" s="16">
        <f>IF('VERI_A'!$A473="","",ROW()-ROW(tblVeriA[[#Headers]]))</f>
        <v/>
      </c>
      <c r="B473" s="23">
        <f>IF('VERI_A'!$A473="","",'VERI_A'!$A473)</f>
        <v/>
      </c>
      <c r="C473" s="16">
        <f>IF($B473="","",IF(OR('VERI_A'!$B473="",'VERI_A'!$B473=0),"TARIH_BOS",IF(LEN(TRIM('VERI_A'!$C473&amp;""))&lt;&gt;dbe_vknUzunluk,"VKN_UZUNLUK",IF('VERI_A'!$G473&lt;0,"TUTAR_NEGATIF",IF('VERI_A'!$I473="","DONEM_EKSIK",""))))</f>
        <v/>
      </c>
      <c r="D473" s="16">
        <f>IF($C473="","",IF($C473="TARIH_BOS","Belge tarihi zorunlu",IF($C473="VKN_UZUNLUK","VKN 10 hane olmalı",IF($C473="TUTAR_NEGATIF","Toplam negatif olamaz",IF($C473="DONEM_EKSIK","Dönem zorunlu","Elle incele"))))</f>
        <v/>
      </c>
      <c r="E473" s="16">
        <f>IF($C473="","",IF(OR($C473="TUTAR_NEGATIF",$C473="TARIH_BOS"),"YUKSEK","ORTA"))</f>
        <v/>
      </c>
      <c r="F473" s="16">
        <f>IF($C473="","",IF(OR($C473="TARIH_BOS",$C473="VKN_UZUNLUK",$C473="TUTAR_NEGATIF",$C473="DONEM_EKSIK"),$C473,"TANIMSIZ"))</f>
        <v/>
      </c>
      <c r="G473" s="16">
        <f>IF($C473="","",1)</f>
        <v/>
      </c>
    </row>
    <row r="474">
      <c r="A474" s="16">
        <f>IF('VERI_A'!$A474="","",ROW()-ROW(tblVeriA[[#Headers]]))</f>
        <v/>
      </c>
      <c r="B474" s="23">
        <f>IF('VERI_A'!$A474="","",'VERI_A'!$A474)</f>
        <v/>
      </c>
      <c r="C474" s="16">
        <f>IF($B474="","",IF(OR('VERI_A'!$B474="",'VERI_A'!$B474=0),"TARIH_BOS",IF(LEN(TRIM('VERI_A'!$C474&amp;""))&lt;&gt;dbe_vknUzunluk,"VKN_UZUNLUK",IF('VERI_A'!$G474&lt;0,"TUTAR_NEGATIF",IF('VERI_A'!$I474="","DONEM_EKSIK",""))))</f>
        <v/>
      </c>
      <c r="D474" s="16">
        <f>IF($C474="","",IF($C474="TARIH_BOS","Belge tarihi zorunlu",IF($C474="VKN_UZUNLUK","VKN 10 hane olmalı",IF($C474="TUTAR_NEGATIF","Toplam negatif olamaz",IF($C474="DONEM_EKSIK","Dönem zorunlu","Elle incele"))))</f>
        <v/>
      </c>
      <c r="E474" s="16">
        <f>IF($C474="","",IF(OR($C474="TUTAR_NEGATIF",$C474="TARIH_BOS"),"YUKSEK","ORTA"))</f>
        <v/>
      </c>
      <c r="F474" s="16">
        <f>IF($C474="","",IF(OR($C474="TARIH_BOS",$C474="VKN_UZUNLUK",$C474="TUTAR_NEGATIF",$C474="DONEM_EKSIK"),$C474,"TANIMSIZ"))</f>
        <v/>
      </c>
      <c r="G474" s="16">
        <f>IF($C474="","",1)</f>
        <v/>
      </c>
    </row>
    <row r="475">
      <c r="A475" s="16">
        <f>IF('VERI_A'!$A475="","",ROW()-ROW(tblVeriA[[#Headers]]))</f>
        <v/>
      </c>
      <c r="B475" s="23">
        <f>IF('VERI_A'!$A475="","",'VERI_A'!$A475)</f>
        <v/>
      </c>
      <c r="C475" s="16">
        <f>IF($B475="","",IF(OR('VERI_A'!$B475="",'VERI_A'!$B475=0),"TARIH_BOS",IF(LEN(TRIM('VERI_A'!$C475&amp;""))&lt;&gt;dbe_vknUzunluk,"VKN_UZUNLUK",IF('VERI_A'!$G475&lt;0,"TUTAR_NEGATIF",IF('VERI_A'!$I475="","DONEM_EKSIK",""))))</f>
        <v/>
      </c>
      <c r="D475" s="16">
        <f>IF($C475="","",IF($C475="TARIH_BOS","Belge tarihi zorunlu",IF($C475="VKN_UZUNLUK","VKN 10 hane olmalı",IF($C475="TUTAR_NEGATIF","Toplam negatif olamaz",IF($C475="DONEM_EKSIK","Dönem zorunlu","Elle incele"))))</f>
        <v/>
      </c>
      <c r="E475" s="16">
        <f>IF($C475="","",IF(OR($C475="TUTAR_NEGATIF",$C475="TARIH_BOS"),"YUKSEK","ORTA"))</f>
        <v/>
      </c>
      <c r="F475" s="16">
        <f>IF($C475="","",IF(OR($C475="TARIH_BOS",$C475="VKN_UZUNLUK",$C475="TUTAR_NEGATIF",$C475="DONEM_EKSIK"),$C475,"TANIMSIZ"))</f>
        <v/>
      </c>
      <c r="G475" s="16">
        <f>IF($C475="","",1)</f>
        <v/>
      </c>
    </row>
    <row r="476">
      <c r="A476" s="16">
        <f>IF('VERI_A'!$A476="","",ROW()-ROW(tblVeriA[[#Headers]]))</f>
        <v/>
      </c>
      <c r="B476" s="23">
        <f>IF('VERI_A'!$A476="","",'VERI_A'!$A476)</f>
        <v/>
      </c>
      <c r="C476" s="16">
        <f>IF($B476="","",IF(OR('VERI_A'!$B476="",'VERI_A'!$B476=0),"TARIH_BOS",IF(LEN(TRIM('VERI_A'!$C476&amp;""))&lt;&gt;dbe_vknUzunluk,"VKN_UZUNLUK",IF('VERI_A'!$G476&lt;0,"TUTAR_NEGATIF",IF('VERI_A'!$I476="","DONEM_EKSIK",""))))</f>
        <v/>
      </c>
      <c r="D476" s="16">
        <f>IF($C476="","",IF($C476="TARIH_BOS","Belge tarihi zorunlu",IF($C476="VKN_UZUNLUK","VKN 10 hane olmalı",IF($C476="TUTAR_NEGATIF","Toplam negatif olamaz",IF($C476="DONEM_EKSIK","Dönem zorunlu","Elle incele"))))</f>
        <v/>
      </c>
      <c r="E476" s="16">
        <f>IF($C476="","",IF(OR($C476="TUTAR_NEGATIF",$C476="TARIH_BOS"),"YUKSEK","ORTA"))</f>
        <v/>
      </c>
      <c r="F476" s="16">
        <f>IF($C476="","",IF(OR($C476="TARIH_BOS",$C476="VKN_UZUNLUK",$C476="TUTAR_NEGATIF",$C476="DONEM_EKSIK"),$C476,"TANIMSIZ"))</f>
        <v/>
      </c>
      <c r="G476" s="16">
        <f>IF($C476="","",1)</f>
        <v/>
      </c>
    </row>
    <row r="477">
      <c r="A477" s="16">
        <f>IF('VERI_A'!$A477="","",ROW()-ROW(tblVeriA[[#Headers]]))</f>
        <v/>
      </c>
      <c r="B477" s="23">
        <f>IF('VERI_A'!$A477="","",'VERI_A'!$A477)</f>
        <v/>
      </c>
      <c r="C477" s="16">
        <f>IF($B477="","",IF(OR('VERI_A'!$B477="",'VERI_A'!$B477=0),"TARIH_BOS",IF(LEN(TRIM('VERI_A'!$C477&amp;""))&lt;&gt;dbe_vknUzunluk,"VKN_UZUNLUK",IF('VERI_A'!$G477&lt;0,"TUTAR_NEGATIF",IF('VERI_A'!$I477="","DONEM_EKSIK",""))))</f>
        <v/>
      </c>
      <c r="D477" s="16">
        <f>IF($C477="","",IF($C477="TARIH_BOS","Belge tarihi zorunlu",IF($C477="VKN_UZUNLUK","VKN 10 hane olmalı",IF($C477="TUTAR_NEGATIF","Toplam negatif olamaz",IF($C477="DONEM_EKSIK","Dönem zorunlu","Elle incele"))))</f>
        <v/>
      </c>
      <c r="E477" s="16">
        <f>IF($C477="","",IF(OR($C477="TUTAR_NEGATIF",$C477="TARIH_BOS"),"YUKSEK","ORTA"))</f>
        <v/>
      </c>
      <c r="F477" s="16">
        <f>IF($C477="","",IF(OR($C477="TARIH_BOS",$C477="VKN_UZUNLUK",$C477="TUTAR_NEGATIF",$C477="DONEM_EKSIK"),$C477,"TANIMSIZ"))</f>
        <v/>
      </c>
      <c r="G477" s="16">
        <f>IF($C477="","",1)</f>
        <v/>
      </c>
    </row>
    <row r="478">
      <c r="A478" s="16">
        <f>IF('VERI_A'!$A478="","",ROW()-ROW(tblVeriA[[#Headers]]))</f>
        <v/>
      </c>
      <c r="B478" s="23">
        <f>IF('VERI_A'!$A478="","",'VERI_A'!$A478)</f>
        <v/>
      </c>
      <c r="C478" s="16">
        <f>IF($B478="","",IF(OR('VERI_A'!$B478="",'VERI_A'!$B478=0),"TARIH_BOS",IF(LEN(TRIM('VERI_A'!$C478&amp;""))&lt;&gt;dbe_vknUzunluk,"VKN_UZUNLUK",IF('VERI_A'!$G478&lt;0,"TUTAR_NEGATIF",IF('VERI_A'!$I478="","DONEM_EKSIK",""))))</f>
        <v/>
      </c>
      <c r="D478" s="16">
        <f>IF($C478="","",IF($C478="TARIH_BOS","Belge tarihi zorunlu",IF($C478="VKN_UZUNLUK","VKN 10 hane olmalı",IF($C478="TUTAR_NEGATIF","Toplam negatif olamaz",IF($C478="DONEM_EKSIK","Dönem zorunlu","Elle incele"))))</f>
        <v/>
      </c>
      <c r="E478" s="16">
        <f>IF($C478="","",IF(OR($C478="TUTAR_NEGATIF",$C478="TARIH_BOS"),"YUKSEK","ORTA"))</f>
        <v/>
      </c>
      <c r="F478" s="16">
        <f>IF($C478="","",IF(OR($C478="TARIH_BOS",$C478="VKN_UZUNLUK",$C478="TUTAR_NEGATIF",$C478="DONEM_EKSIK"),$C478,"TANIMSIZ"))</f>
        <v/>
      </c>
      <c r="G478" s="16">
        <f>IF($C478="","",1)</f>
        <v/>
      </c>
    </row>
    <row r="479">
      <c r="A479" s="16">
        <f>IF('VERI_A'!$A479="","",ROW()-ROW(tblVeriA[[#Headers]]))</f>
        <v/>
      </c>
      <c r="B479" s="23">
        <f>IF('VERI_A'!$A479="","",'VERI_A'!$A479)</f>
        <v/>
      </c>
      <c r="C479" s="16">
        <f>IF($B479="","",IF(OR('VERI_A'!$B479="",'VERI_A'!$B479=0),"TARIH_BOS",IF(LEN(TRIM('VERI_A'!$C479&amp;""))&lt;&gt;dbe_vknUzunluk,"VKN_UZUNLUK",IF('VERI_A'!$G479&lt;0,"TUTAR_NEGATIF",IF('VERI_A'!$I479="","DONEM_EKSIK",""))))</f>
        <v/>
      </c>
      <c r="D479" s="16">
        <f>IF($C479="","",IF($C479="TARIH_BOS","Belge tarihi zorunlu",IF($C479="VKN_UZUNLUK","VKN 10 hane olmalı",IF($C479="TUTAR_NEGATIF","Toplam negatif olamaz",IF($C479="DONEM_EKSIK","Dönem zorunlu","Elle incele"))))</f>
        <v/>
      </c>
      <c r="E479" s="16">
        <f>IF($C479="","",IF(OR($C479="TUTAR_NEGATIF",$C479="TARIH_BOS"),"YUKSEK","ORTA"))</f>
        <v/>
      </c>
      <c r="F479" s="16">
        <f>IF($C479="","",IF(OR($C479="TARIH_BOS",$C479="VKN_UZUNLUK",$C479="TUTAR_NEGATIF",$C479="DONEM_EKSIK"),$C479,"TANIMSIZ"))</f>
        <v/>
      </c>
      <c r="G479" s="16">
        <f>IF($C479="","",1)</f>
        <v/>
      </c>
    </row>
    <row r="480">
      <c r="A480" s="16">
        <f>IF('VERI_A'!$A480="","",ROW()-ROW(tblVeriA[[#Headers]]))</f>
        <v/>
      </c>
      <c r="B480" s="23">
        <f>IF('VERI_A'!$A480="","",'VERI_A'!$A480)</f>
        <v/>
      </c>
      <c r="C480" s="16">
        <f>IF($B480="","",IF(OR('VERI_A'!$B480="",'VERI_A'!$B480=0),"TARIH_BOS",IF(LEN(TRIM('VERI_A'!$C480&amp;""))&lt;&gt;dbe_vknUzunluk,"VKN_UZUNLUK",IF('VERI_A'!$G480&lt;0,"TUTAR_NEGATIF",IF('VERI_A'!$I480="","DONEM_EKSIK",""))))</f>
        <v/>
      </c>
      <c r="D480" s="16">
        <f>IF($C480="","",IF($C480="TARIH_BOS","Belge tarihi zorunlu",IF($C480="VKN_UZUNLUK","VKN 10 hane olmalı",IF($C480="TUTAR_NEGATIF","Toplam negatif olamaz",IF($C480="DONEM_EKSIK","Dönem zorunlu","Elle incele"))))</f>
        <v/>
      </c>
      <c r="E480" s="16">
        <f>IF($C480="","",IF(OR($C480="TUTAR_NEGATIF",$C480="TARIH_BOS"),"YUKSEK","ORTA"))</f>
        <v/>
      </c>
      <c r="F480" s="16">
        <f>IF($C480="","",IF(OR($C480="TARIH_BOS",$C480="VKN_UZUNLUK",$C480="TUTAR_NEGATIF",$C480="DONEM_EKSIK"),$C480,"TANIMSIZ"))</f>
        <v/>
      </c>
      <c r="G480" s="16">
        <f>IF($C480="","",1)</f>
        <v/>
      </c>
    </row>
    <row r="481">
      <c r="A481" s="16">
        <f>IF('VERI_A'!$A481="","",ROW()-ROW(tblVeriA[[#Headers]]))</f>
        <v/>
      </c>
      <c r="B481" s="23">
        <f>IF('VERI_A'!$A481="","",'VERI_A'!$A481)</f>
        <v/>
      </c>
      <c r="C481" s="16">
        <f>IF($B481="","",IF(OR('VERI_A'!$B481="",'VERI_A'!$B481=0),"TARIH_BOS",IF(LEN(TRIM('VERI_A'!$C481&amp;""))&lt;&gt;dbe_vknUzunluk,"VKN_UZUNLUK",IF('VERI_A'!$G481&lt;0,"TUTAR_NEGATIF",IF('VERI_A'!$I481="","DONEM_EKSIK",""))))</f>
        <v/>
      </c>
      <c r="D481" s="16">
        <f>IF($C481="","",IF($C481="TARIH_BOS","Belge tarihi zorunlu",IF($C481="VKN_UZUNLUK","VKN 10 hane olmalı",IF($C481="TUTAR_NEGATIF","Toplam negatif olamaz",IF($C481="DONEM_EKSIK","Dönem zorunlu","Elle incele"))))</f>
        <v/>
      </c>
      <c r="E481" s="16">
        <f>IF($C481="","",IF(OR($C481="TUTAR_NEGATIF",$C481="TARIH_BOS"),"YUKSEK","ORTA"))</f>
        <v/>
      </c>
      <c r="F481" s="16">
        <f>IF($C481="","",IF(OR($C481="TARIH_BOS",$C481="VKN_UZUNLUK",$C481="TUTAR_NEGATIF",$C481="DONEM_EKSIK"),$C481,"TANIMSIZ"))</f>
        <v/>
      </c>
      <c r="G481" s="16">
        <f>IF($C481="","",1)</f>
        <v/>
      </c>
    </row>
    <row r="482">
      <c r="A482" s="16">
        <f>IF('VERI_A'!$A482="","",ROW()-ROW(tblVeriA[[#Headers]]))</f>
        <v/>
      </c>
      <c r="B482" s="23">
        <f>IF('VERI_A'!$A482="","",'VERI_A'!$A482)</f>
        <v/>
      </c>
      <c r="C482" s="16">
        <f>IF($B482="","",IF(OR('VERI_A'!$B482="",'VERI_A'!$B482=0),"TARIH_BOS",IF(LEN(TRIM('VERI_A'!$C482&amp;""))&lt;&gt;dbe_vknUzunluk,"VKN_UZUNLUK",IF('VERI_A'!$G482&lt;0,"TUTAR_NEGATIF",IF('VERI_A'!$I482="","DONEM_EKSIK",""))))</f>
        <v/>
      </c>
      <c r="D482" s="16">
        <f>IF($C482="","",IF($C482="TARIH_BOS","Belge tarihi zorunlu",IF($C482="VKN_UZUNLUK","VKN 10 hane olmalı",IF($C482="TUTAR_NEGATIF","Toplam negatif olamaz",IF($C482="DONEM_EKSIK","Dönem zorunlu","Elle incele"))))</f>
        <v/>
      </c>
      <c r="E482" s="16">
        <f>IF($C482="","",IF(OR($C482="TUTAR_NEGATIF",$C482="TARIH_BOS"),"YUKSEK","ORTA"))</f>
        <v/>
      </c>
      <c r="F482" s="16">
        <f>IF($C482="","",IF(OR($C482="TARIH_BOS",$C482="VKN_UZUNLUK",$C482="TUTAR_NEGATIF",$C482="DONEM_EKSIK"),$C482,"TANIMSIZ"))</f>
        <v/>
      </c>
      <c r="G482" s="16">
        <f>IF($C482="","",1)</f>
        <v/>
      </c>
    </row>
    <row r="483">
      <c r="A483" s="16">
        <f>IF('VERI_A'!$A483="","",ROW()-ROW(tblVeriA[[#Headers]]))</f>
        <v/>
      </c>
      <c r="B483" s="23">
        <f>IF('VERI_A'!$A483="","",'VERI_A'!$A483)</f>
        <v/>
      </c>
      <c r="C483" s="16">
        <f>IF($B483="","",IF(OR('VERI_A'!$B483="",'VERI_A'!$B483=0),"TARIH_BOS",IF(LEN(TRIM('VERI_A'!$C483&amp;""))&lt;&gt;dbe_vknUzunluk,"VKN_UZUNLUK",IF('VERI_A'!$G483&lt;0,"TUTAR_NEGATIF",IF('VERI_A'!$I483="","DONEM_EKSIK",""))))</f>
        <v/>
      </c>
      <c r="D483" s="16">
        <f>IF($C483="","",IF($C483="TARIH_BOS","Belge tarihi zorunlu",IF($C483="VKN_UZUNLUK","VKN 10 hane olmalı",IF($C483="TUTAR_NEGATIF","Toplam negatif olamaz",IF($C483="DONEM_EKSIK","Dönem zorunlu","Elle incele"))))</f>
        <v/>
      </c>
      <c r="E483" s="16">
        <f>IF($C483="","",IF(OR($C483="TUTAR_NEGATIF",$C483="TARIH_BOS"),"YUKSEK","ORTA"))</f>
        <v/>
      </c>
      <c r="F483" s="16">
        <f>IF($C483="","",IF(OR($C483="TARIH_BOS",$C483="VKN_UZUNLUK",$C483="TUTAR_NEGATIF",$C483="DONEM_EKSIK"),$C483,"TANIMSIZ"))</f>
        <v/>
      </c>
      <c r="G483" s="16">
        <f>IF($C483="","",1)</f>
        <v/>
      </c>
    </row>
    <row r="484">
      <c r="A484" s="16">
        <f>IF('VERI_A'!$A484="","",ROW()-ROW(tblVeriA[[#Headers]]))</f>
        <v/>
      </c>
      <c r="B484" s="23">
        <f>IF('VERI_A'!$A484="","",'VERI_A'!$A484)</f>
        <v/>
      </c>
      <c r="C484" s="16">
        <f>IF($B484="","",IF(OR('VERI_A'!$B484="",'VERI_A'!$B484=0),"TARIH_BOS",IF(LEN(TRIM('VERI_A'!$C484&amp;""))&lt;&gt;dbe_vknUzunluk,"VKN_UZUNLUK",IF('VERI_A'!$G484&lt;0,"TUTAR_NEGATIF",IF('VERI_A'!$I484="","DONEM_EKSIK",""))))</f>
        <v/>
      </c>
      <c r="D484" s="16">
        <f>IF($C484="","",IF($C484="TARIH_BOS","Belge tarihi zorunlu",IF($C484="VKN_UZUNLUK","VKN 10 hane olmalı",IF($C484="TUTAR_NEGATIF","Toplam negatif olamaz",IF($C484="DONEM_EKSIK","Dönem zorunlu","Elle incele"))))</f>
        <v/>
      </c>
      <c r="E484" s="16">
        <f>IF($C484="","",IF(OR($C484="TUTAR_NEGATIF",$C484="TARIH_BOS"),"YUKSEK","ORTA"))</f>
        <v/>
      </c>
      <c r="F484" s="16">
        <f>IF($C484="","",IF(OR($C484="TARIH_BOS",$C484="VKN_UZUNLUK",$C484="TUTAR_NEGATIF",$C484="DONEM_EKSIK"),$C484,"TANIMSIZ"))</f>
        <v/>
      </c>
      <c r="G484" s="16">
        <f>IF($C484="","",1)</f>
        <v/>
      </c>
    </row>
    <row r="485">
      <c r="A485" s="16">
        <f>IF('VERI_A'!$A485="","",ROW()-ROW(tblVeriA[[#Headers]]))</f>
        <v/>
      </c>
      <c r="B485" s="23">
        <f>IF('VERI_A'!$A485="","",'VERI_A'!$A485)</f>
        <v/>
      </c>
      <c r="C485" s="16">
        <f>IF($B485="","",IF(OR('VERI_A'!$B485="",'VERI_A'!$B485=0),"TARIH_BOS",IF(LEN(TRIM('VERI_A'!$C485&amp;""))&lt;&gt;dbe_vknUzunluk,"VKN_UZUNLUK",IF('VERI_A'!$G485&lt;0,"TUTAR_NEGATIF",IF('VERI_A'!$I485="","DONEM_EKSIK",""))))</f>
        <v/>
      </c>
      <c r="D485" s="16">
        <f>IF($C485="","",IF($C485="TARIH_BOS","Belge tarihi zorunlu",IF($C485="VKN_UZUNLUK","VKN 10 hane olmalı",IF($C485="TUTAR_NEGATIF","Toplam negatif olamaz",IF($C485="DONEM_EKSIK","Dönem zorunlu","Elle incele"))))</f>
        <v/>
      </c>
      <c r="E485" s="16">
        <f>IF($C485="","",IF(OR($C485="TUTAR_NEGATIF",$C485="TARIH_BOS"),"YUKSEK","ORTA"))</f>
        <v/>
      </c>
      <c r="F485" s="16">
        <f>IF($C485="","",IF(OR($C485="TARIH_BOS",$C485="VKN_UZUNLUK",$C485="TUTAR_NEGATIF",$C485="DONEM_EKSIK"),$C485,"TANIMSIZ"))</f>
        <v/>
      </c>
      <c r="G485" s="16">
        <f>IF($C485="","",1)</f>
        <v/>
      </c>
    </row>
    <row r="486">
      <c r="A486" s="16">
        <f>IF('VERI_A'!$A486="","",ROW()-ROW(tblVeriA[[#Headers]]))</f>
        <v/>
      </c>
      <c r="B486" s="23">
        <f>IF('VERI_A'!$A486="","",'VERI_A'!$A486)</f>
        <v/>
      </c>
      <c r="C486" s="16">
        <f>IF($B486="","",IF(OR('VERI_A'!$B486="",'VERI_A'!$B486=0),"TARIH_BOS",IF(LEN(TRIM('VERI_A'!$C486&amp;""))&lt;&gt;dbe_vknUzunluk,"VKN_UZUNLUK",IF('VERI_A'!$G486&lt;0,"TUTAR_NEGATIF",IF('VERI_A'!$I486="","DONEM_EKSIK",""))))</f>
        <v/>
      </c>
      <c r="D486" s="16">
        <f>IF($C486="","",IF($C486="TARIH_BOS","Belge tarihi zorunlu",IF($C486="VKN_UZUNLUK","VKN 10 hane olmalı",IF($C486="TUTAR_NEGATIF","Toplam negatif olamaz",IF($C486="DONEM_EKSIK","Dönem zorunlu","Elle incele"))))</f>
        <v/>
      </c>
      <c r="E486" s="16">
        <f>IF($C486="","",IF(OR($C486="TUTAR_NEGATIF",$C486="TARIH_BOS"),"YUKSEK","ORTA"))</f>
        <v/>
      </c>
      <c r="F486" s="16">
        <f>IF($C486="","",IF(OR($C486="TARIH_BOS",$C486="VKN_UZUNLUK",$C486="TUTAR_NEGATIF",$C486="DONEM_EKSIK"),$C486,"TANIMSIZ"))</f>
        <v/>
      </c>
      <c r="G486" s="16">
        <f>IF($C486="","",1)</f>
        <v/>
      </c>
    </row>
    <row r="487">
      <c r="A487" s="16">
        <f>IF('VERI_A'!$A487="","",ROW()-ROW(tblVeriA[[#Headers]]))</f>
        <v/>
      </c>
      <c r="B487" s="23">
        <f>IF('VERI_A'!$A487="","",'VERI_A'!$A487)</f>
        <v/>
      </c>
      <c r="C487" s="16">
        <f>IF($B487="","",IF(OR('VERI_A'!$B487="",'VERI_A'!$B487=0),"TARIH_BOS",IF(LEN(TRIM('VERI_A'!$C487&amp;""))&lt;&gt;dbe_vknUzunluk,"VKN_UZUNLUK",IF('VERI_A'!$G487&lt;0,"TUTAR_NEGATIF",IF('VERI_A'!$I487="","DONEM_EKSIK",""))))</f>
        <v/>
      </c>
      <c r="D487" s="16">
        <f>IF($C487="","",IF($C487="TARIH_BOS","Belge tarihi zorunlu",IF($C487="VKN_UZUNLUK","VKN 10 hane olmalı",IF($C487="TUTAR_NEGATIF","Toplam negatif olamaz",IF($C487="DONEM_EKSIK","Dönem zorunlu","Elle incele"))))</f>
        <v/>
      </c>
      <c r="E487" s="16">
        <f>IF($C487="","",IF(OR($C487="TUTAR_NEGATIF",$C487="TARIH_BOS"),"YUKSEK","ORTA"))</f>
        <v/>
      </c>
      <c r="F487" s="16">
        <f>IF($C487="","",IF(OR($C487="TARIH_BOS",$C487="VKN_UZUNLUK",$C487="TUTAR_NEGATIF",$C487="DONEM_EKSIK"),$C487,"TANIMSIZ"))</f>
        <v/>
      </c>
      <c r="G487" s="16">
        <f>IF($C487="","",1)</f>
        <v/>
      </c>
    </row>
    <row r="488">
      <c r="A488" s="16">
        <f>IF('VERI_A'!$A488="","",ROW()-ROW(tblVeriA[[#Headers]]))</f>
        <v/>
      </c>
      <c r="B488" s="23">
        <f>IF('VERI_A'!$A488="","",'VERI_A'!$A488)</f>
        <v/>
      </c>
      <c r="C488" s="16">
        <f>IF($B488="","",IF(OR('VERI_A'!$B488="",'VERI_A'!$B488=0),"TARIH_BOS",IF(LEN(TRIM('VERI_A'!$C488&amp;""))&lt;&gt;dbe_vknUzunluk,"VKN_UZUNLUK",IF('VERI_A'!$G488&lt;0,"TUTAR_NEGATIF",IF('VERI_A'!$I488="","DONEM_EKSIK",""))))</f>
        <v/>
      </c>
      <c r="D488" s="16">
        <f>IF($C488="","",IF($C488="TARIH_BOS","Belge tarihi zorunlu",IF($C488="VKN_UZUNLUK","VKN 10 hane olmalı",IF($C488="TUTAR_NEGATIF","Toplam negatif olamaz",IF($C488="DONEM_EKSIK","Dönem zorunlu","Elle incele"))))</f>
        <v/>
      </c>
      <c r="E488" s="16">
        <f>IF($C488="","",IF(OR($C488="TUTAR_NEGATIF",$C488="TARIH_BOS"),"YUKSEK","ORTA"))</f>
        <v/>
      </c>
      <c r="F488" s="16">
        <f>IF($C488="","",IF(OR($C488="TARIH_BOS",$C488="VKN_UZUNLUK",$C488="TUTAR_NEGATIF",$C488="DONEM_EKSIK"),$C488,"TANIMSIZ"))</f>
        <v/>
      </c>
      <c r="G488" s="16">
        <f>IF($C488="","",1)</f>
        <v/>
      </c>
    </row>
    <row r="489">
      <c r="A489" s="16">
        <f>IF('VERI_A'!$A489="","",ROW()-ROW(tblVeriA[[#Headers]]))</f>
        <v/>
      </c>
      <c r="B489" s="23">
        <f>IF('VERI_A'!$A489="","",'VERI_A'!$A489)</f>
        <v/>
      </c>
      <c r="C489" s="16">
        <f>IF($B489="","",IF(OR('VERI_A'!$B489="",'VERI_A'!$B489=0),"TARIH_BOS",IF(LEN(TRIM('VERI_A'!$C489&amp;""))&lt;&gt;dbe_vknUzunluk,"VKN_UZUNLUK",IF('VERI_A'!$G489&lt;0,"TUTAR_NEGATIF",IF('VERI_A'!$I489="","DONEM_EKSIK",""))))</f>
        <v/>
      </c>
      <c r="D489" s="16">
        <f>IF($C489="","",IF($C489="TARIH_BOS","Belge tarihi zorunlu",IF($C489="VKN_UZUNLUK","VKN 10 hane olmalı",IF($C489="TUTAR_NEGATIF","Toplam negatif olamaz",IF($C489="DONEM_EKSIK","Dönem zorunlu","Elle incele"))))</f>
        <v/>
      </c>
      <c r="E489" s="16">
        <f>IF($C489="","",IF(OR($C489="TUTAR_NEGATIF",$C489="TARIH_BOS"),"YUKSEK","ORTA"))</f>
        <v/>
      </c>
      <c r="F489" s="16">
        <f>IF($C489="","",IF(OR($C489="TARIH_BOS",$C489="VKN_UZUNLUK",$C489="TUTAR_NEGATIF",$C489="DONEM_EKSIK"),$C489,"TANIMSIZ"))</f>
        <v/>
      </c>
      <c r="G489" s="16">
        <f>IF($C489="","",1)</f>
        <v/>
      </c>
    </row>
    <row r="490">
      <c r="A490" s="16">
        <f>IF('VERI_A'!$A490="","",ROW()-ROW(tblVeriA[[#Headers]]))</f>
        <v/>
      </c>
      <c r="B490" s="23">
        <f>IF('VERI_A'!$A490="","",'VERI_A'!$A490)</f>
        <v/>
      </c>
      <c r="C490" s="16">
        <f>IF($B490="","",IF(OR('VERI_A'!$B490="",'VERI_A'!$B490=0),"TARIH_BOS",IF(LEN(TRIM('VERI_A'!$C490&amp;""))&lt;&gt;dbe_vknUzunluk,"VKN_UZUNLUK",IF('VERI_A'!$G490&lt;0,"TUTAR_NEGATIF",IF('VERI_A'!$I490="","DONEM_EKSIK",""))))</f>
        <v/>
      </c>
      <c r="D490" s="16">
        <f>IF($C490="","",IF($C490="TARIH_BOS","Belge tarihi zorunlu",IF($C490="VKN_UZUNLUK","VKN 10 hane olmalı",IF($C490="TUTAR_NEGATIF","Toplam negatif olamaz",IF($C490="DONEM_EKSIK","Dönem zorunlu","Elle incele"))))</f>
        <v/>
      </c>
      <c r="E490" s="16">
        <f>IF($C490="","",IF(OR($C490="TUTAR_NEGATIF",$C490="TARIH_BOS"),"YUKSEK","ORTA"))</f>
        <v/>
      </c>
      <c r="F490" s="16">
        <f>IF($C490="","",IF(OR($C490="TARIH_BOS",$C490="VKN_UZUNLUK",$C490="TUTAR_NEGATIF",$C490="DONEM_EKSIK"),$C490,"TANIMSIZ"))</f>
        <v/>
      </c>
      <c r="G490" s="16">
        <f>IF($C490="","",1)</f>
        <v/>
      </c>
    </row>
    <row r="491">
      <c r="A491" s="16">
        <f>IF('VERI_A'!$A491="","",ROW()-ROW(tblVeriA[[#Headers]]))</f>
        <v/>
      </c>
      <c r="B491" s="23">
        <f>IF('VERI_A'!$A491="","",'VERI_A'!$A491)</f>
        <v/>
      </c>
      <c r="C491" s="16">
        <f>IF($B491="","",IF(OR('VERI_A'!$B491="",'VERI_A'!$B491=0),"TARIH_BOS",IF(LEN(TRIM('VERI_A'!$C491&amp;""))&lt;&gt;dbe_vknUzunluk,"VKN_UZUNLUK",IF('VERI_A'!$G491&lt;0,"TUTAR_NEGATIF",IF('VERI_A'!$I491="","DONEM_EKSIK",""))))</f>
        <v/>
      </c>
      <c r="D491" s="16">
        <f>IF($C491="","",IF($C491="TARIH_BOS","Belge tarihi zorunlu",IF($C491="VKN_UZUNLUK","VKN 10 hane olmalı",IF($C491="TUTAR_NEGATIF","Toplam negatif olamaz",IF($C491="DONEM_EKSIK","Dönem zorunlu","Elle incele"))))</f>
        <v/>
      </c>
      <c r="E491" s="16">
        <f>IF($C491="","",IF(OR($C491="TUTAR_NEGATIF",$C491="TARIH_BOS"),"YUKSEK","ORTA"))</f>
        <v/>
      </c>
      <c r="F491" s="16">
        <f>IF($C491="","",IF(OR($C491="TARIH_BOS",$C491="VKN_UZUNLUK",$C491="TUTAR_NEGATIF",$C491="DONEM_EKSIK"),$C491,"TANIMSIZ"))</f>
        <v/>
      </c>
      <c r="G491" s="16">
        <f>IF($C491="","",1)</f>
        <v/>
      </c>
    </row>
    <row r="492">
      <c r="A492" s="16">
        <f>IF('VERI_A'!$A492="","",ROW()-ROW(tblVeriA[[#Headers]]))</f>
        <v/>
      </c>
      <c r="B492" s="23">
        <f>IF('VERI_A'!$A492="","",'VERI_A'!$A492)</f>
        <v/>
      </c>
      <c r="C492" s="16">
        <f>IF($B492="","",IF(OR('VERI_A'!$B492="",'VERI_A'!$B492=0),"TARIH_BOS",IF(LEN(TRIM('VERI_A'!$C492&amp;""))&lt;&gt;dbe_vknUzunluk,"VKN_UZUNLUK",IF('VERI_A'!$G492&lt;0,"TUTAR_NEGATIF",IF('VERI_A'!$I492="","DONEM_EKSIK",""))))</f>
        <v/>
      </c>
      <c r="D492" s="16">
        <f>IF($C492="","",IF($C492="TARIH_BOS","Belge tarihi zorunlu",IF($C492="VKN_UZUNLUK","VKN 10 hane olmalı",IF($C492="TUTAR_NEGATIF","Toplam negatif olamaz",IF($C492="DONEM_EKSIK","Dönem zorunlu","Elle incele"))))</f>
        <v/>
      </c>
      <c r="E492" s="16">
        <f>IF($C492="","",IF(OR($C492="TUTAR_NEGATIF",$C492="TARIH_BOS"),"YUKSEK","ORTA"))</f>
        <v/>
      </c>
      <c r="F492" s="16">
        <f>IF($C492="","",IF(OR($C492="TARIH_BOS",$C492="VKN_UZUNLUK",$C492="TUTAR_NEGATIF",$C492="DONEM_EKSIK"),$C492,"TANIMSIZ"))</f>
        <v/>
      </c>
      <c r="G492" s="16">
        <f>IF($C492="","",1)</f>
        <v/>
      </c>
    </row>
    <row r="493">
      <c r="A493" s="16">
        <f>IF('VERI_A'!$A493="","",ROW()-ROW(tblVeriA[[#Headers]]))</f>
        <v/>
      </c>
      <c r="B493" s="23">
        <f>IF('VERI_A'!$A493="","",'VERI_A'!$A493)</f>
        <v/>
      </c>
      <c r="C493" s="16">
        <f>IF($B493="","",IF(OR('VERI_A'!$B493="",'VERI_A'!$B493=0),"TARIH_BOS",IF(LEN(TRIM('VERI_A'!$C493&amp;""))&lt;&gt;dbe_vknUzunluk,"VKN_UZUNLUK",IF('VERI_A'!$G493&lt;0,"TUTAR_NEGATIF",IF('VERI_A'!$I493="","DONEM_EKSIK",""))))</f>
        <v/>
      </c>
      <c r="D493" s="16">
        <f>IF($C493="","",IF($C493="TARIH_BOS","Belge tarihi zorunlu",IF($C493="VKN_UZUNLUK","VKN 10 hane olmalı",IF($C493="TUTAR_NEGATIF","Toplam negatif olamaz",IF($C493="DONEM_EKSIK","Dönem zorunlu","Elle incele"))))</f>
        <v/>
      </c>
      <c r="E493" s="16">
        <f>IF($C493="","",IF(OR($C493="TUTAR_NEGATIF",$C493="TARIH_BOS"),"YUKSEK","ORTA"))</f>
        <v/>
      </c>
      <c r="F493" s="16">
        <f>IF($C493="","",IF(OR($C493="TARIH_BOS",$C493="VKN_UZUNLUK",$C493="TUTAR_NEGATIF",$C493="DONEM_EKSIK"),$C493,"TANIMSIZ"))</f>
        <v/>
      </c>
      <c r="G493" s="16">
        <f>IF($C493="","",1)</f>
        <v/>
      </c>
    </row>
    <row r="494">
      <c r="A494" s="16">
        <f>IF('VERI_A'!$A494="","",ROW()-ROW(tblVeriA[[#Headers]]))</f>
        <v/>
      </c>
      <c r="B494" s="23">
        <f>IF('VERI_A'!$A494="","",'VERI_A'!$A494)</f>
        <v/>
      </c>
      <c r="C494" s="16">
        <f>IF($B494="","",IF(OR('VERI_A'!$B494="",'VERI_A'!$B494=0),"TARIH_BOS",IF(LEN(TRIM('VERI_A'!$C494&amp;""))&lt;&gt;dbe_vknUzunluk,"VKN_UZUNLUK",IF('VERI_A'!$G494&lt;0,"TUTAR_NEGATIF",IF('VERI_A'!$I494="","DONEM_EKSIK",""))))</f>
        <v/>
      </c>
      <c r="D494" s="16">
        <f>IF($C494="","",IF($C494="TARIH_BOS","Belge tarihi zorunlu",IF($C494="VKN_UZUNLUK","VKN 10 hane olmalı",IF($C494="TUTAR_NEGATIF","Toplam negatif olamaz",IF($C494="DONEM_EKSIK","Dönem zorunlu","Elle incele"))))</f>
        <v/>
      </c>
      <c r="E494" s="16">
        <f>IF($C494="","",IF(OR($C494="TUTAR_NEGATIF",$C494="TARIH_BOS"),"YUKSEK","ORTA"))</f>
        <v/>
      </c>
      <c r="F494" s="16">
        <f>IF($C494="","",IF(OR($C494="TARIH_BOS",$C494="VKN_UZUNLUK",$C494="TUTAR_NEGATIF",$C494="DONEM_EKSIK"),$C494,"TANIMSIZ"))</f>
        <v/>
      </c>
      <c r="G494" s="16">
        <f>IF($C494="","",1)</f>
        <v/>
      </c>
    </row>
    <row r="495">
      <c r="A495" s="16">
        <f>IF('VERI_A'!$A495="","",ROW()-ROW(tblVeriA[[#Headers]]))</f>
        <v/>
      </c>
      <c r="B495" s="23">
        <f>IF('VERI_A'!$A495="","",'VERI_A'!$A495)</f>
        <v/>
      </c>
      <c r="C495" s="16">
        <f>IF($B495="","",IF(OR('VERI_A'!$B495="",'VERI_A'!$B495=0),"TARIH_BOS",IF(LEN(TRIM('VERI_A'!$C495&amp;""))&lt;&gt;dbe_vknUzunluk,"VKN_UZUNLUK",IF('VERI_A'!$G495&lt;0,"TUTAR_NEGATIF",IF('VERI_A'!$I495="","DONEM_EKSIK",""))))</f>
        <v/>
      </c>
      <c r="D495" s="16">
        <f>IF($C495="","",IF($C495="TARIH_BOS","Belge tarihi zorunlu",IF($C495="VKN_UZUNLUK","VKN 10 hane olmalı",IF($C495="TUTAR_NEGATIF","Toplam negatif olamaz",IF($C495="DONEM_EKSIK","Dönem zorunlu","Elle incele"))))</f>
        <v/>
      </c>
      <c r="E495" s="16">
        <f>IF($C495="","",IF(OR($C495="TUTAR_NEGATIF",$C495="TARIH_BOS"),"YUKSEK","ORTA"))</f>
        <v/>
      </c>
      <c r="F495" s="16">
        <f>IF($C495="","",IF(OR($C495="TARIH_BOS",$C495="VKN_UZUNLUK",$C495="TUTAR_NEGATIF",$C495="DONEM_EKSIK"),$C495,"TANIMSIZ"))</f>
        <v/>
      </c>
      <c r="G495" s="16">
        <f>IF($C495="","",1)</f>
        <v/>
      </c>
    </row>
    <row r="496">
      <c r="A496" s="16">
        <f>IF('VERI_A'!$A496="","",ROW()-ROW(tblVeriA[[#Headers]]))</f>
        <v/>
      </c>
      <c r="B496" s="23">
        <f>IF('VERI_A'!$A496="","",'VERI_A'!$A496)</f>
        <v/>
      </c>
      <c r="C496" s="16">
        <f>IF($B496="","",IF(OR('VERI_A'!$B496="",'VERI_A'!$B496=0),"TARIH_BOS",IF(LEN(TRIM('VERI_A'!$C496&amp;""))&lt;&gt;dbe_vknUzunluk,"VKN_UZUNLUK",IF('VERI_A'!$G496&lt;0,"TUTAR_NEGATIF",IF('VERI_A'!$I496="","DONEM_EKSIK",""))))</f>
        <v/>
      </c>
      <c r="D496" s="16">
        <f>IF($C496="","",IF($C496="TARIH_BOS","Belge tarihi zorunlu",IF($C496="VKN_UZUNLUK","VKN 10 hane olmalı",IF($C496="TUTAR_NEGATIF","Toplam negatif olamaz",IF($C496="DONEM_EKSIK","Dönem zorunlu","Elle incele"))))</f>
        <v/>
      </c>
      <c r="E496" s="16">
        <f>IF($C496="","",IF(OR($C496="TUTAR_NEGATIF",$C496="TARIH_BOS"),"YUKSEK","ORTA"))</f>
        <v/>
      </c>
      <c r="F496" s="16">
        <f>IF($C496="","",IF(OR($C496="TARIH_BOS",$C496="VKN_UZUNLUK",$C496="TUTAR_NEGATIF",$C496="DONEM_EKSIK"),$C496,"TANIMSIZ"))</f>
        <v/>
      </c>
      <c r="G496" s="16">
        <f>IF($C496="","",1)</f>
        <v/>
      </c>
    </row>
    <row r="497">
      <c r="A497" s="16">
        <f>IF('VERI_A'!$A497="","",ROW()-ROW(tblVeriA[[#Headers]]))</f>
        <v/>
      </c>
      <c r="B497" s="23">
        <f>IF('VERI_A'!$A497="","",'VERI_A'!$A497)</f>
        <v/>
      </c>
      <c r="C497" s="16">
        <f>IF($B497="","",IF(OR('VERI_A'!$B497="",'VERI_A'!$B497=0),"TARIH_BOS",IF(LEN(TRIM('VERI_A'!$C497&amp;""))&lt;&gt;dbe_vknUzunluk,"VKN_UZUNLUK",IF('VERI_A'!$G497&lt;0,"TUTAR_NEGATIF",IF('VERI_A'!$I497="","DONEM_EKSIK",""))))</f>
        <v/>
      </c>
      <c r="D497" s="16">
        <f>IF($C497="","",IF($C497="TARIH_BOS","Belge tarihi zorunlu",IF($C497="VKN_UZUNLUK","VKN 10 hane olmalı",IF($C497="TUTAR_NEGATIF","Toplam negatif olamaz",IF($C497="DONEM_EKSIK","Dönem zorunlu","Elle incele"))))</f>
        <v/>
      </c>
      <c r="E497" s="16">
        <f>IF($C497="","",IF(OR($C497="TUTAR_NEGATIF",$C497="TARIH_BOS"),"YUKSEK","ORTA"))</f>
        <v/>
      </c>
      <c r="F497" s="16">
        <f>IF($C497="","",IF(OR($C497="TARIH_BOS",$C497="VKN_UZUNLUK",$C497="TUTAR_NEGATIF",$C497="DONEM_EKSIK"),$C497,"TANIMSIZ"))</f>
        <v/>
      </c>
      <c r="G497" s="16">
        <f>IF($C497="","",1)</f>
        <v/>
      </c>
    </row>
    <row r="498">
      <c r="A498" s="16">
        <f>IF('VERI_A'!$A498="","",ROW()-ROW(tblVeriA[[#Headers]]))</f>
        <v/>
      </c>
      <c r="B498" s="23">
        <f>IF('VERI_A'!$A498="","",'VERI_A'!$A498)</f>
        <v/>
      </c>
      <c r="C498" s="16">
        <f>IF($B498="","",IF(OR('VERI_A'!$B498="",'VERI_A'!$B498=0),"TARIH_BOS",IF(LEN(TRIM('VERI_A'!$C498&amp;""))&lt;&gt;dbe_vknUzunluk,"VKN_UZUNLUK",IF('VERI_A'!$G498&lt;0,"TUTAR_NEGATIF",IF('VERI_A'!$I498="","DONEM_EKSIK",""))))</f>
        <v/>
      </c>
      <c r="D498" s="16">
        <f>IF($C498="","",IF($C498="TARIH_BOS","Belge tarihi zorunlu",IF($C498="VKN_UZUNLUK","VKN 10 hane olmalı",IF($C498="TUTAR_NEGATIF","Toplam negatif olamaz",IF($C498="DONEM_EKSIK","Dönem zorunlu","Elle incele"))))</f>
        <v/>
      </c>
      <c r="E498" s="16">
        <f>IF($C498="","",IF(OR($C498="TUTAR_NEGATIF",$C498="TARIH_BOS"),"YUKSEK","ORTA"))</f>
        <v/>
      </c>
      <c r="F498" s="16">
        <f>IF($C498="","",IF(OR($C498="TARIH_BOS",$C498="VKN_UZUNLUK",$C498="TUTAR_NEGATIF",$C498="DONEM_EKSIK"),$C498,"TANIMSIZ"))</f>
        <v/>
      </c>
      <c r="G498" s="16">
        <f>IF($C498="","",1)</f>
        <v/>
      </c>
    </row>
    <row r="499">
      <c r="A499" s="16">
        <f>IF('VERI_A'!$A499="","",ROW()-ROW(tblVeriA[[#Headers]]))</f>
        <v/>
      </c>
      <c r="B499" s="23">
        <f>IF('VERI_A'!$A499="","",'VERI_A'!$A499)</f>
        <v/>
      </c>
      <c r="C499" s="16">
        <f>IF($B499="","",IF(OR('VERI_A'!$B499="",'VERI_A'!$B499=0),"TARIH_BOS",IF(LEN(TRIM('VERI_A'!$C499&amp;""))&lt;&gt;dbe_vknUzunluk,"VKN_UZUNLUK",IF('VERI_A'!$G499&lt;0,"TUTAR_NEGATIF",IF('VERI_A'!$I499="","DONEM_EKSIK",""))))</f>
        <v/>
      </c>
      <c r="D499" s="16">
        <f>IF($C499="","",IF($C499="TARIH_BOS","Belge tarihi zorunlu",IF($C499="VKN_UZUNLUK","VKN 10 hane olmalı",IF($C499="TUTAR_NEGATIF","Toplam negatif olamaz",IF($C499="DONEM_EKSIK","Dönem zorunlu","Elle incele"))))</f>
        <v/>
      </c>
      <c r="E499" s="16">
        <f>IF($C499="","",IF(OR($C499="TUTAR_NEGATIF",$C499="TARIH_BOS"),"YUKSEK","ORTA"))</f>
        <v/>
      </c>
      <c r="F499" s="16">
        <f>IF($C499="","",IF(OR($C499="TARIH_BOS",$C499="VKN_UZUNLUK",$C499="TUTAR_NEGATIF",$C499="DONEM_EKSIK"),$C499,"TANIMSIZ"))</f>
        <v/>
      </c>
      <c r="G499" s="16">
        <f>IF($C499="","",1)</f>
        <v/>
      </c>
    </row>
    <row r="500">
      <c r="A500" s="16">
        <f>IF('VERI_A'!$A500="","",ROW()-ROW(tblVeriA[[#Headers]]))</f>
        <v/>
      </c>
      <c r="B500" s="23">
        <f>IF('VERI_A'!$A500="","",'VERI_A'!$A500)</f>
        <v/>
      </c>
      <c r="C500" s="16">
        <f>IF($B500="","",IF(OR('VERI_A'!$B500="",'VERI_A'!$B500=0),"TARIH_BOS",IF(LEN(TRIM('VERI_A'!$C500&amp;""))&lt;&gt;dbe_vknUzunluk,"VKN_UZUNLUK",IF('VERI_A'!$G500&lt;0,"TUTAR_NEGATIF",IF('VERI_A'!$I500="","DONEM_EKSIK",""))))</f>
        <v/>
      </c>
      <c r="D500" s="16">
        <f>IF($C500="","",IF($C500="TARIH_BOS","Belge tarihi zorunlu",IF($C500="VKN_UZUNLUK","VKN 10 hane olmalı",IF($C500="TUTAR_NEGATIF","Toplam negatif olamaz",IF($C500="DONEM_EKSIK","Dönem zorunlu","Elle incele"))))</f>
        <v/>
      </c>
      <c r="E500" s="16">
        <f>IF($C500="","",IF(OR($C500="TUTAR_NEGATIF",$C500="TARIH_BOS"),"YUKSEK","ORTA"))</f>
        <v/>
      </c>
      <c r="F500" s="16">
        <f>IF($C500="","",IF(OR($C500="TARIH_BOS",$C500="VKN_UZUNLUK",$C500="TUTAR_NEGATIF",$C500="DONEM_EKSIK"),$C500,"TANIMSIZ"))</f>
        <v/>
      </c>
      <c r="G500" s="16">
        <f>IF($C500="","",1)</f>
        <v/>
      </c>
    </row>
    <row r="501">
      <c r="A501" s="16">
        <f>IF('VERI_A'!$A501="","",ROW()-ROW(tblVeriA[[#Headers]]))</f>
        <v/>
      </c>
      <c r="B501" s="23">
        <f>IF('VERI_A'!$A501="","",'VERI_A'!$A501)</f>
        <v/>
      </c>
      <c r="C501" s="16">
        <f>IF($B501="","",IF(OR('VERI_A'!$B501="",'VERI_A'!$B501=0),"TARIH_BOS",IF(LEN(TRIM('VERI_A'!$C501&amp;""))&lt;&gt;dbe_vknUzunluk,"VKN_UZUNLUK",IF('VERI_A'!$G501&lt;0,"TUTAR_NEGATIF",IF('VERI_A'!$I501="","DONEM_EKSIK",""))))</f>
        <v/>
      </c>
      <c r="D501" s="16">
        <f>IF($C501="","",IF($C501="TARIH_BOS","Belge tarihi zorunlu",IF($C501="VKN_UZUNLUK","VKN 10 hane olmalı",IF($C501="TUTAR_NEGATIF","Toplam negatif olamaz",IF($C501="DONEM_EKSIK","Dönem zorunlu","Elle incele"))))</f>
        <v/>
      </c>
      <c r="E501" s="16">
        <f>IF($C501="","",IF(OR($C501="TUTAR_NEGATIF",$C501="TARIH_BOS"),"YUKSEK","ORTA"))</f>
        <v/>
      </c>
      <c r="F501" s="16">
        <f>IF($C501="","",IF(OR($C501="TARIH_BOS",$C501="VKN_UZUNLUK",$C501="TUTAR_NEGATIF",$C501="DONEM_EKSIK"),$C501,"TANIMSIZ"))</f>
        <v/>
      </c>
      <c r="G501" s="16">
        <f>IF($C501="","",1)</f>
        <v/>
      </c>
    </row>
    <row r="502">
      <c r="A502" s="16">
        <f>IF('VERI_A'!$A502="","",ROW()-ROW(tblVeriA[[#Headers]]))</f>
        <v/>
      </c>
      <c r="B502" s="23">
        <f>IF('VERI_A'!$A502="","",'VERI_A'!$A502)</f>
        <v/>
      </c>
      <c r="C502" s="16">
        <f>IF($B502="","",IF(OR('VERI_A'!$B502="",'VERI_A'!$B502=0),"TARIH_BOS",IF(LEN(TRIM('VERI_A'!$C502&amp;""))&lt;&gt;dbe_vknUzunluk,"VKN_UZUNLUK",IF('VERI_A'!$G502&lt;0,"TUTAR_NEGATIF",IF('VERI_A'!$I502="","DONEM_EKSIK",""))))</f>
        <v/>
      </c>
      <c r="D502" s="16">
        <f>IF($C502="","",IF($C502="TARIH_BOS","Belge tarihi zorunlu",IF($C502="VKN_UZUNLUK","VKN 10 hane olmalı",IF($C502="TUTAR_NEGATIF","Toplam negatif olamaz",IF($C502="DONEM_EKSIK","Dönem zorunlu","Elle incele"))))</f>
        <v/>
      </c>
      <c r="E502" s="16">
        <f>IF($C502="","",IF(OR($C502="TUTAR_NEGATIF",$C502="TARIH_BOS"),"YUKSEK","ORTA"))</f>
        <v/>
      </c>
      <c r="F502" s="16">
        <f>IF($C502="","",IF(OR($C502="TARIH_BOS",$C502="VKN_UZUNLUK",$C502="TUTAR_NEGATIF",$C502="DONEM_EKSIK"),$C502,"TANIMSIZ"))</f>
        <v/>
      </c>
      <c r="G502" s="16">
        <f>IF($C502="","",1)</f>
        <v/>
      </c>
    </row>
    <row r="503">
      <c r="A503" s="16">
        <f>IF('VERI_A'!$A503="","",ROW()-ROW(tblVeriA[[#Headers]]))</f>
        <v/>
      </c>
      <c r="B503" s="23">
        <f>IF('VERI_A'!$A503="","",'VERI_A'!$A503)</f>
        <v/>
      </c>
      <c r="C503" s="16">
        <f>IF($B503="","",IF(OR('VERI_A'!$B503="",'VERI_A'!$B503=0),"TARIH_BOS",IF(LEN(TRIM('VERI_A'!$C503&amp;""))&lt;&gt;dbe_vknUzunluk,"VKN_UZUNLUK",IF('VERI_A'!$G503&lt;0,"TUTAR_NEGATIF",IF('VERI_A'!$I503="","DONEM_EKSIK",""))))</f>
        <v/>
      </c>
      <c r="D503" s="16">
        <f>IF($C503="","",IF($C503="TARIH_BOS","Belge tarihi zorunlu",IF($C503="VKN_UZUNLUK","VKN 10 hane olmalı",IF($C503="TUTAR_NEGATIF","Toplam negatif olamaz",IF($C503="DONEM_EKSIK","Dönem zorunlu","Elle incele"))))</f>
        <v/>
      </c>
      <c r="E503" s="16">
        <f>IF($C503="","",IF(OR($C503="TUTAR_NEGATIF",$C503="TARIH_BOS"),"YUKSEK","ORTA"))</f>
        <v/>
      </c>
      <c r="F503" s="16">
        <f>IF($C503="","",IF(OR($C503="TARIH_BOS",$C503="VKN_UZUNLUK",$C503="TUTAR_NEGATIF",$C503="DONEM_EKSIK"),$C503,"TANIMSIZ"))</f>
        <v/>
      </c>
      <c r="G503" s="16">
        <f>IF($C503="","",1)</f>
        <v/>
      </c>
    </row>
    <row r="504">
      <c r="A504" s="16">
        <f>IF('VERI_A'!$A504="","",ROW()-ROW(tblVeriA[[#Headers]]))</f>
        <v/>
      </c>
      <c r="B504" s="23">
        <f>IF('VERI_A'!$A504="","",'VERI_A'!$A504)</f>
        <v/>
      </c>
      <c r="C504" s="16">
        <f>IF($B504="","",IF(OR('VERI_A'!$B504="",'VERI_A'!$B504=0),"TARIH_BOS",IF(LEN(TRIM('VERI_A'!$C504&amp;""))&lt;&gt;dbe_vknUzunluk,"VKN_UZUNLUK",IF('VERI_A'!$G504&lt;0,"TUTAR_NEGATIF",IF('VERI_A'!$I504="","DONEM_EKSIK",""))))</f>
        <v/>
      </c>
      <c r="D504" s="16">
        <f>IF($C504="","",IF($C504="TARIH_BOS","Belge tarihi zorunlu",IF($C504="VKN_UZUNLUK","VKN 10 hane olmalı",IF($C504="TUTAR_NEGATIF","Toplam negatif olamaz",IF($C504="DONEM_EKSIK","Dönem zorunlu","Elle incele"))))</f>
        <v/>
      </c>
      <c r="E504" s="16">
        <f>IF($C504="","",IF(OR($C504="TUTAR_NEGATIF",$C504="TARIH_BOS"),"YUKSEK","ORTA"))</f>
        <v/>
      </c>
      <c r="F504" s="16">
        <f>IF($C504="","",IF(OR($C504="TARIH_BOS",$C504="VKN_UZUNLUK",$C504="TUTAR_NEGATIF",$C504="DONEM_EKSIK"),$C504,"TANIMSIZ"))</f>
        <v/>
      </c>
      <c r="G504" s="16">
        <f>IF($C504="","",1)</f>
        <v/>
      </c>
    </row>
    <row r="505">
      <c r="A505" s="16">
        <f>IF('VERI_A'!$A505="","",ROW()-ROW(tblVeriA[[#Headers]]))</f>
        <v/>
      </c>
      <c r="B505" s="23">
        <f>IF('VERI_A'!$A505="","",'VERI_A'!$A505)</f>
        <v/>
      </c>
      <c r="C505" s="16">
        <f>IF($B505="","",IF(OR('VERI_A'!$B505="",'VERI_A'!$B505=0),"TARIH_BOS",IF(LEN(TRIM('VERI_A'!$C505&amp;""))&lt;&gt;dbe_vknUzunluk,"VKN_UZUNLUK",IF('VERI_A'!$G505&lt;0,"TUTAR_NEGATIF",IF('VERI_A'!$I505="","DONEM_EKSIK",""))))</f>
        <v/>
      </c>
      <c r="D505" s="16">
        <f>IF($C505="","",IF($C505="TARIH_BOS","Belge tarihi zorunlu",IF($C505="VKN_UZUNLUK","VKN 10 hane olmalı",IF($C505="TUTAR_NEGATIF","Toplam negatif olamaz",IF($C505="DONEM_EKSIK","Dönem zorunlu","Elle incele"))))</f>
        <v/>
      </c>
      <c r="E505" s="16">
        <f>IF($C505="","",IF(OR($C505="TUTAR_NEGATIF",$C505="TARIH_BOS"),"YUKSEK","ORTA"))</f>
        <v/>
      </c>
      <c r="F505" s="16">
        <f>IF($C505="","",IF(OR($C505="TARIH_BOS",$C505="VKN_UZUNLUK",$C505="TUTAR_NEGATIF",$C505="DONEM_EKSIK"),$C505,"TANIMSIZ"))</f>
        <v/>
      </c>
      <c r="G505" s="16">
        <f>IF($C505="","",1)</f>
        <v/>
      </c>
    </row>
    <row r="506">
      <c r="A506" s="16">
        <f>IF('VERI_A'!$A506="","",ROW()-ROW(tblVeriA[[#Headers]]))</f>
        <v/>
      </c>
      <c r="B506" s="23">
        <f>IF('VERI_A'!$A506="","",'VERI_A'!$A506)</f>
        <v/>
      </c>
      <c r="C506" s="16">
        <f>IF($B506="","",IF(OR('VERI_A'!$B506="",'VERI_A'!$B506=0),"TARIH_BOS",IF(LEN(TRIM('VERI_A'!$C506&amp;""))&lt;&gt;dbe_vknUzunluk,"VKN_UZUNLUK",IF('VERI_A'!$G506&lt;0,"TUTAR_NEGATIF",IF('VERI_A'!$I506="","DONEM_EKSIK",""))))</f>
        <v/>
      </c>
      <c r="D506" s="16">
        <f>IF($C506="","",IF($C506="TARIH_BOS","Belge tarihi zorunlu",IF($C506="VKN_UZUNLUK","VKN 10 hane olmalı",IF($C506="TUTAR_NEGATIF","Toplam negatif olamaz",IF($C506="DONEM_EKSIK","Dönem zorunlu","Elle incele"))))</f>
        <v/>
      </c>
      <c r="E506" s="16">
        <f>IF($C506="","",IF(OR($C506="TUTAR_NEGATIF",$C506="TARIH_BOS"),"YUKSEK","ORTA"))</f>
        <v/>
      </c>
      <c r="F506" s="16">
        <f>IF($C506="","",IF(OR($C506="TARIH_BOS",$C506="VKN_UZUNLUK",$C506="TUTAR_NEGATIF",$C506="DONEM_EKSIK"),$C506,"TANIMSIZ"))</f>
        <v/>
      </c>
      <c r="G506" s="16">
        <f>IF($C506="","",1)</f>
        <v/>
      </c>
    </row>
    <row r="507">
      <c r="A507" s="16">
        <f>IF('VERI_A'!$A507="","",ROW()-ROW(tblVeriA[[#Headers]]))</f>
        <v/>
      </c>
      <c r="B507" s="23">
        <f>IF('VERI_A'!$A507="","",'VERI_A'!$A507)</f>
        <v/>
      </c>
      <c r="C507" s="16">
        <f>IF($B507="","",IF(OR('VERI_A'!$B507="",'VERI_A'!$B507=0),"TARIH_BOS",IF(LEN(TRIM('VERI_A'!$C507&amp;""))&lt;&gt;dbe_vknUzunluk,"VKN_UZUNLUK",IF('VERI_A'!$G507&lt;0,"TUTAR_NEGATIF",IF('VERI_A'!$I507="","DONEM_EKSIK",""))))</f>
        <v/>
      </c>
      <c r="D507" s="16">
        <f>IF($C507="","",IF($C507="TARIH_BOS","Belge tarihi zorunlu",IF($C507="VKN_UZUNLUK","VKN 10 hane olmalı",IF($C507="TUTAR_NEGATIF","Toplam negatif olamaz",IF($C507="DONEM_EKSIK","Dönem zorunlu","Elle incele"))))</f>
        <v/>
      </c>
      <c r="E507" s="16">
        <f>IF($C507="","",IF(OR($C507="TUTAR_NEGATIF",$C507="TARIH_BOS"),"YUKSEK","ORTA"))</f>
        <v/>
      </c>
      <c r="F507" s="16">
        <f>IF($C507="","",IF(OR($C507="TARIH_BOS",$C507="VKN_UZUNLUK",$C507="TUTAR_NEGATIF",$C507="DONEM_EKSIK"),$C507,"TANIMSIZ"))</f>
        <v/>
      </c>
      <c r="G507" s="16">
        <f>IF($C507="","",1)</f>
        <v/>
      </c>
    </row>
    <row r="508">
      <c r="A508" s="16">
        <f>IF('VERI_A'!$A508="","",ROW()-ROW(tblVeriA[[#Headers]]))</f>
        <v/>
      </c>
      <c r="B508" s="23">
        <f>IF('VERI_A'!$A508="","",'VERI_A'!$A508)</f>
        <v/>
      </c>
      <c r="C508" s="16">
        <f>IF($B508="","",IF(OR('VERI_A'!$B508="",'VERI_A'!$B508=0),"TARIH_BOS",IF(LEN(TRIM('VERI_A'!$C508&amp;""))&lt;&gt;dbe_vknUzunluk,"VKN_UZUNLUK",IF('VERI_A'!$G508&lt;0,"TUTAR_NEGATIF",IF('VERI_A'!$I508="","DONEM_EKSIK",""))))</f>
        <v/>
      </c>
      <c r="D508" s="16">
        <f>IF($C508="","",IF($C508="TARIH_BOS","Belge tarihi zorunlu",IF($C508="VKN_UZUNLUK","VKN 10 hane olmalı",IF($C508="TUTAR_NEGATIF","Toplam negatif olamaz",IF($C508="DONEM_EKSIK","Dönem zorunlu","Elle incele"))))</f>
        <v/>
      </c>
      <c r="E508" s="16">
        <f>IF($C508="","",IF(OR($C508="TUTAR_NEGATIF",$C508="TARIH_BOS"),"YUKSEK","ORTA"))</f>
        <v/>
      </c>
      <c r="F508" s="16">
        <f>IF($C508="","",IF(OR($C508="TARIH_BOS",$C508="VKN_UZUNLUK",$C508="TUTAR_NEGATIF",$C508="DONEM_EKSIK"),$C508,"TANIMSIZ"))</f>
        <v/>
      </c>
      <c r="G508" s="16">
        <f>IF($C508="","",1)</f>
        <v/>
      </c>
    </row>
    <row r="509">
      <c r="A509" s="16">
        <f>IF('VERI_A'!$A509="","",ROW()-ROW(tblVeriA[[#Headers]]))</f>
        <v/>
      </c>
      <c r="B509" s="23">
        <f>IF('VERI_A'!$A509="","",'VERI_A'!$A509)</f>
        <v/>
      </c>
      <c r="C509" s="16">
        <f>IF($B509="","",IF(OR('VERI_A'!$B509="",'VERI_A'!$B509=0),"TARIH_BOS",IF(LEN(TRIM('VERI_A'!$C509&amp;""))&lt;&gt;dbe_vknUzunluk,"VKN_UZUNLUK",IF('VERI_A'!$G509&lt;0,"TUTAR_NEGATIF",IF('VERI_A'!$I509="","DONEM_EKSIK",""))))</f>
        <v/>
      </c>
      <c r="D509" s="16">
        <f>IF($C509="","",IF($C509="TARIH_BOS","Belge tarihi zorunlu",IF($C509="VKN_UZUNLUK","VKN 10 hane olmalı",IF($C509="TUTAR_NEGATIF","Toplam negatif olamaz",IF($C509="DONEM_EKSIK","Dönem zorunlu","Elle incele"))))</f>
        <v/>
      </c>
      <c r="E509" s="16">
        <f>IF($C509="","",IF(OR($C509="TUTAR_NEGATIF",$C509="TARIH_BOS"),"YUKSEK","ORTA"))</f>
        <v/>
      </c>
      <c r="F509" s="16">
        <f>IF($C509="","",IF(OR($C509="TARIH_BOS",$C509="VKN_UZUNLUK",$C509="TUTAR_NEGATIF",$C509="DONEM_EKSIK"),$C509,"TANIMSIZ"))</f>
        <v/>
      </c>
      <c r="G509" s="16">
        <f>IF($C509="","",1)</f>
        <v/>
      </c>
    </row>
    <row r="510">
      <c r="A510" s="16">
        <f>IF('VERI_A'!$A510="","",ROW()-ROW(tblVeriA[[#Headers]]))</f>
        <v/>
      </c>
      <c r="B510" s="23">
        <f>IF('VERI_A'!$A510="","",'VERI_A'!$A510)</f>
        <v/>
      </c>
      <c r="C510" s="16">
        <f>IF($B510="","",IF(OR('VERI_A'!$B510="",'VERI_A'!$B510=0),"TARIH_BOS",IF(LEN(TRIM('VERI_A'!$C510&amp;""))&lt;&gt;dbe_vknUzunluk,"VKN_UZUNLUK",IF('VERI_A'!$G510&lt;0,"TUTAR_NEGATIF",IF('VERI_A'!$I510="","DONEM_EKSIK",""))))</f>
        <v/>
      </c>
      <c r="D510" s="16">
        <f>IF($C510="","",IF($C510="TARIH_BOS","Belge tarihi zorunlu",IF($C510="VKN_UZUNLUK","VKN 10 hane olmalı",IF($C510="TUTAR_NEGATIF","Toplam negatif olamaz",IF($C510="DONEM_EKSIK","Dönem zorunlu","Elle incele"))))</f>
        <v/>
      </c>
      <c r="E510" s="16">
        <f>IF($C510="","",IF(OR($C510="TUTAR_NEGATIF",$C510="TARIH_BOS"),"YUKSEK","ORTA"))</f>
        <v/>
      </c>
      <c r="F510" s="16">
        <f>IF($C510="","",IF(OR($C510="TARIH_BOS",$C510="VKN_UZUNLUK",$C510="TUTAR_NEGATIF",$C510="DONEM_EKSIK"),$C510,"TANIMSIZ"))</f>
        <v/>
      </c>
      <c r="G510" s="16">
        <f>IF($C510="","",1)</f>
        <v/>
      </c>
    </row>
    <row r="511">
      <c r="A511" s="16">
        <f>IF('VERI_A'!$A511="","",ROW()-ROW(tblVeriA[[#Headers]]))</f>
        <v/>
      </c>
      <c r="B511" s="23">
        <f>IF('VERI_A'!$A511="","",'VERI_A'!$A511)</f>
        <v/>
      </c>
      <c r="C511" s="16">
        <f>IF($B511="","",IF(OR('VERI_A'!$B511="",'VERI_A'!$B511=0),"TARIH_BOS",IF(LEN(TRIM('VERI_A'!$C511&amp;""))&lt;&gt;dbe_vknUzunluk,"VKN_UZUNLUK",IF('VERI_A'!$G511&lt;0,"TUTAR_NEGATIF",IF('VERI_A'!$I511="","DONEM_EKSIK",""))))</f>
        <v/>
      </c>
      <c r="D511" s="16">
        <f>IF($C511="","",IF($C511="TARIH_BOS","Belge tarihi zorunlu",IF($C511="VKN_UZUNLUK","VKN 10 hane olmalı",IF($C511="TUTAR_NEGATIF","Toplam negatif olamaz",IF($C511="DONEM_EKSIK","Dönem zorunlu","Elle incele"))))</f>
        <v/>
      </c>
      <c r="E511" s="16">
        <f>IF($C511="","",IF(OR($C511="TUTAR_NEGATIF",$C511="TARIH_BOS"),"YUKSEK","ORTA"))</f>
        <v/>
      </c>
      <c r="F511" s="16">
        <f>IF($C511="","",IF(OR($C511="TARIH_BOS",$C511="VKN_UZUNLUK",$C511="TUTAR_NEGATIF",$C511="DONEM_EKSIK"),$C511,"TANIMSIZ"))</f>
        <v/>
      </c>
      <c r="G511" s="16">
        <f>IF($C511="","",1)</f>
        <v/>
      </c>
    </row>
    <row r="512">
      <c r="A512" s="16">
        <f>IF('VERI_A'!$A512="","",ROW()-ROW(tblVeriA[[#Headers]]))</f>
        <v/>
      </c>
      <c r="B512" s="23">
        <f>IF('VERI_A'!$A512="","",'VERI_A'!$A512)</f>
        <v/>
      </c>
      <c r="C512" s="16">
        <f>IF($B512="","",IF(OR('VERI_A'!$B512="",'VERI_A'!$B512=0),"TARIH_BOS",IF(LEN(TRIM('VERI_A'!$C512&amp;""))&lt;&gt;dbe_vknUzunluk,"VKN_UZUNLUK",IF('VERI_A'!$G512&lt;0,"TUTAR_NEGATIF",IF('VERI_A'!$I512="","DONEM_EKSIK",""))))</f>
        <v/>
      </c>
      <c r="D512" s="16">
        <f>IF($C512="","",IF($C512="TARIH_BOS","Belge tarihi zorunlu",IF($C512="VKN_UZUNLUK","VKN 10 hane olmalı",IF($C512="TUTAR_NEGATIF","Toplam negatif olamaz",IF($C512="DONEM_EKSIK","Dönem zorunlu","Elle incele"))))</f>
        <v/>
      </c>
      <c r="E512" s="16">
        <f>IF($C512="","",IF(OR($C512="TUTAR_NEGATIF",$C512="TARIH_BOS"),"YUKSEK","ORTA"))</f>
        <v/>
      </c>
      <c r="F512" s="16">
        <f>IF($C512="","",IF(OR($C512="TARIH_BOS",$C512="VKN_UZUNLUK",$C512="TUTAR_NEGATIF",$C512="DONEM_EKSIK"),$C512,"TANIMSIZ"))</f>
        <v/>
      </c>
      <c r="G512" s="16">
        <f>IF($C512="","",1)</f>
        <v/>
      </c>
    </row>
    <row r="513">
      <c r="A513" s="16">
        <f>IF('VERI_A'!$A513="","",ROW()-ROW(tblVeriA[[#Headers]]))</f>
        <v/>
      </c>
      <c r="B513" s="23">
        <f>IF('VERI_A'!$A513="","",'VERI_A'!$A513)</f>
        <v/>
      </c>
      <c r="C513" s="16">
        <f>IF($B513="","",IF(OR('VERI_A'!$B513="",'VERI_A'!$B513=0),"TARIH_BOS",IF(LEN(TRIM('VERI_A'!$C513&amp;""))&lt;&gt;dbe_vknUzunluk,"VKN_UZUNLUK",IF('VERI_A'!$G513&lt;0,"TUTAR_NEGATIF",IF('VERI_A'!$I513="","DONEM_EKSIK",""))))</f>
        <v/>
      </c>
      <c r="D513" s="16">
        <f>IF($C513="","",IF($C513="TARIH_BOS","Belge tarihi zorunlu",IF($C513="VKN_UZUNLUK","VKN 10 hane olmalı",IF($C513="TUTAR_NEGATIF","Toplam negatif olamaz",IF($C513="DONEM_EKSIK","Dönem zorunlu","Elle incele"))))</f>
        <v/>
      </c>
      <c r="E513" s="16">
        <f>IF($C513="","",IF(OR($C513="TUTAR_NEGATIF",$C513="TARIH_BOS"),"YUKSEK","ORTA"))</f>
        <v/>
      </c>
      <c r="F513" s="16">
        <f>IF($C513="","",IF(OR($C513="TARIH_BOS",$C513="VKN_UZUNLUK",$C513="TUTAR_NEGATIF",$C513="DONEM_EKSIK"),$C513,"TANIMSIZ"))</f>
        <v/>
      </c>
      <c r="G513" s="16">
        <f>IF($C513="","",1)</f>
        <v/>
      </c>
    </row>
    <row r="514">
      <c r="A514" s="16">
        <f>IF('VERI_A'!$A514="","",ROW()-ROW(tblVeriA[[#Headers]]))</f>
        <v/>
      </c>
      <c r="B514" s="23">
        <f>IF('VERI_A'!$A514="","",'VERI_A'!$A514)</f>
        <v/>
      </c>
      <c r="C514" s="16">
        <f>IF($B514="","",IF(OR('VERI_A'!$B514="",'VERI_A'!$B514=0),"TARIH_BOS",IF(LEN(TRIM('VERI_A'!$C514&amp;""))&lt;&gt;dbe_vknUzunluk,"VKN_UZUNLUK",IF('VERI_A'!$G514&lt;0,"TUTAR_NEGATIF",IF('VERI_A'!$I514="","DONEM_EKSIK",""))))</f>
        <v/>
      </c>
      <c r="D514" s="16">
        <f>IF($C514="","",IF($C514="TARIH_BOS","Belge tarihi zorunlu",IF($C514="VKN_UZUNLUK","VKN 10 hane olmalı",IF($C514="TUTAR_NEGATIF","Toplam negatif olamaz",IF($C514="DONEM_EKSIK","Dönem zorunlu","Elle incele"))))</f>
        <v/>
      </c>
      <c r="E514" s="16">
        <f>IF($C514="","",IF(OR($C514="TUTAR_NEGATIF",$C514="TARIH_BOS"),"YUKSEK","ORTA"))</f>
        <v/>
      </c>
      <c r="F514" s="16">
        <f>IF($C514="","",IF(OR($C514="TARIH_BOS",$C514="VKN_UZUNLUK",$C514="TUTAR_NEGATIF",$C514="DONEM_EKSIK"),$C514,"TANIMSIZ"))</f>
        <v/>
      </c>
      <c r="G514" s="16">
        <f>IF($C514="","",1)</f>
        <v/>
      </c>
    </row>
    <row r="515">
      <c r="A515" s="16">
        <f>IF('VERI_A'!$A515="","",ROW()-ROW(tblVeriA[[#Headers]]))</f>
        <v/>
      </c>
      <c r="B515" s="23">
        <f>IF('VERI_A'!$A515="","",'VERI_A'!$A515)</f>
        <v/>
      </c>
      <c r="C515" s="16">
        <f>IF($B515="","",IF(OR('VERI_A'!$B515="",'VERI_A'!$B515=0),"TARIH_BOS",IF(LEN(TRIM('VERI_A'!$C515&amp;""))&lt;&gt;dbe_vknUzunluk,"VKN_UZUNLUK",IF('VERI_A'!$G515&lt;0,"TUTAR_NEGATIF",IF('VERI_A'!$I515="","DONEM_EKSIK",""))))</f>
        <v/>
      </c>
      <c r="D515" s="16">
        <f>IF($C515="","",IF($C515="TARIH_BOS","Belge tarihi zorunlu",IF($C515="VKN_UZUNLUK","VKN 10 hane olmalı",IF($C515="TUTAR_NEGATIF","Toplam negatif olamaz",IF($C515="DONEM_EKSIK","Dönem zorunlu","Elle incele"))))</f>
        <v/>
      </c>
      <c r="E515" s="16">
        <f>IF($C515="","",IF(OR($C515="TUTAR_NEGATIF",$C515="TARIH_BOS"),"YUKSEK","ORTA"))</f>
        <v/>
      </c>
      <c r="F515" s="16">
        <f>IF($C515="","",IF(OR($C515="TARIH_BOS",$C515="VKN_UZUNLUK",$C515="TUTAR_NEGATIF",$C515="DONEM_EKSIK"),$C515,"TANIMSIZ"))</f>
        <v/>
      </c>
      <c r="G515" s="16">
        <f>IF($C515="","",1)</f>
        <v/>
      </c>
    </row>
    <row r="516">
      <c r="A516" s="16">
        <f>IF('VERI_A'!$A516="","",ROW()-ROW(tblVeriA[[#Headers]]))</f>
        <v/>
      </c>
      <c r="B516" s="23">
        <f>IF('VERI_A'!$A516="","",'VERI_A'!$A516)</f>
        <v/>
      </c>
      <c r="C516" s="16">
        <f>IF($B516="","",IF(OR('VERI_A'!$B516="",'VERI_A'!$B516=0),"TARIH_BOS",IF(LEN(TRIM('VERI_A'!$C516&amp;""))&lt;&gt;dbe_vknUzunluk,"VKN_UZUNLUK",IF('VERI_A'!$G516&lt;0,"TUTAR_NEGATIF",IF('VERI_A'!$I516="","DONEM_EKSIK",""))))</f>
        <v/>
      </c>
      <c r="D516" s="16">
        <f>IF($C516="","",IF($C516="TARIH_BOS","Belge tarihi zorunlu",IF($C516="VKN_UZUNLUK","VKN 10 hane olmalı",IF($C516="TUTAR_NEGATIF","Toplam negatif olamaz",IF($C516="DONEM_EKSIK","Dönem zorunlu","Elle incele"))))</f>
        <v/>
      </c>
      <c r="E516" s="16">
        <f>IF($C516="","",IF(OR($C516="TUTAR_NEGATIF",$C516="TARIH_BOS"),"YUKSEK","ORTA"))</f>
        <v/>
      </c>
      <c r="F516" s="16">
        <f>IF($C516="","",IF(OR($C516="TARIH_BOS",$C516="VKN_UZUNLUK",$C516="TUTAR_NEGATIF",$C516="DONEM_EKSIK"),$C516,"TANIMSIZ"))</f>
        <v/>
      </c>
      <c r="G516" s="16">
        <f>IF($C516="","",1)</f>
        <v/>
      </c>
    </row>
    <row r="517">
      <c r="A517" s="16">
        <f>IF('VERI_A'!$A517="","",ROW()-ROW(tblVeriA[[#Headers]]))</f>
        <v/>
      </c>
      <c r="B517" s="23">
        <f>IF('VERI_A'!$A517="","",'VERI_A'!$A517)</f>
        <v/>
      </c>
      <c r="C517" s="16">
        <f>IF($B517="","",IF(OR('VERI_A'!$B517="",'VERI_A'!$B517=0),"TARIH_BOS",IF(LEN(TRIM('VERI_A'!$C517&amp;""))&lt;&gt;dbe_vknUzunluk,"VKN_UZUNLUK",IF('VERI_A'!$G517&lt;0,"TUTAR_NEGATIF",IF('VERI_A'!$I517="","DONEM_EKSIK",""))))</f>
        <v/>
      </c>
      <c r="D517" s="16">
        <f>IF($C517="","",IF($C517="TARIH_BOS","Belge tarihi zorunlu",IF($C517="VKN_UZUNLUK","VKN 10 hane olmalı",IF($C517="TUTAR_NEGATIF","Toplam negatif olamaz",IF($C517="DONEM_EKSIK","Dönem zorunlu","Elle incele"))))</f>
        <v/>
      </c>
      <c r="E517" s="16">
        <f>IF($C517="","",IF(OR($C517="TUTAR_NEGATIF",$C517="TARIH_BOS"),"YUKSEK","ORTA"))</f>
        <v/>
      </c>
      <c r="F517" s="16">
        <f>IF($C517="","",IF(OR($C517="TARIH_BOS",$C517="VKN_UZUNLUK",$C517="TUTAR_NEGATIF",$C517="DONEM_EKSIK"),$C517,"TANIMSIZ"))</f>
        <v/>
      </c>
      <c r="G517" s="16">
        <f>IF($C517="","",1)</f>
        <v/>
      </c>
    </row>
    <row r="518">
      <c r="A518" s="16">
        <f>IF('VERI_A'!$A518="","",ROW()-ROW(tblVeriA[[#Headers]]))</f>
        <v/>
      </c>
      <c r="B518" s="23">
        <f>IF('VERI_A'!$A518="","",'VERI_A'!$A518)</f>
        <v/>
      </c>
      <c r="C518" s="16">
        <f>IF($B518="","",IF(OR('VERI_A'!$B518="",'VERI_A'!$B518=0),"TARIH_BOS",IF(LEN(TRIM('VERI_A'!$C518&amp;""))&lt;&gt;dbe_vknUzunluk,"VKN_UZUNLUK",IF('VERI_A'!$G518&lt;0,"TUTAR_NEGATIF",IF('VERI_A'!$I518="","DONEM_EKSIK",""))))</f>
        <v/>
      </c>
      <c r="D518" s="16">
        <f>IF($C518="","",IF($C518="TARIH_BOS","Belge tarihi zorunlu",IF($C518="VKN_UZUNLUK","VKN 10 hane olmalı",IF($C518="TUTAR_NEGATIF","Toplam negatif olamaz",IF($C518="DONEM_EKSIK","Dönem zorunlu","Elle incele"))))</f>
        <v/>
      </c>
      <c r="E518" s="16">
        <f>IF($C518="","",IF(OR($C518="TUTAR_NEGATIF",$C518="TARIH_BOS"),"YUKSEK","ORTA"))</f>
        <v/>
      </c>
      <c r="F518" s="16">
        <f>IF($C518="","",IF(OR($C518="TARIH_BOS",$C518="VKN_UZUNLUK",$C518="TUTAR_NEGATIF",$C518="DONEM_EKSIK"),$C518,"TANIMSIZ"))</f>
        <v/>
      </c>
      <c r="G518" s="16">
        <f>IF($C518="","",1)</f>
        <v/>
      </c>
    </row>
    <row r="519">
      <c r="A519" s="16">
        <f>IF('VERI_A'!$A519="","",ROW()-ROW(tblVeriA[[#Headers]]))</f>
        <v/>
      </c>
      <c r="B519" s="23">
        <f>IF('VERI_A'!$A519="","",'VERI_A'!$A519)</f>
        <v/>
      </c>
      <c r="C519" s="16">
        <f>IF($B519="","",IF(OR('VERI_A'!$B519="",'VERI_A'!$B519=0),"TARIH_BOS",IF(LEN(TRIM('VERI_A'!$C519&amp;""))&lt;&gt;dbe_vknUzunluk,"VKN_UZUNLUK",IF('VERI_A'!$G519&lt;0,"TUTAR_NEGATIF",IF('VERI_A'!$I519="","DONEM_EKSIK",""))))</f>
        <v/>
      </c>
      <c r="D519" s="16">
        <f>IF($C519="","",IF($C519="TARIH_BOS","Belge tarihi zorunlu",IF($C519="VKN_UZUNLUK","VKN 10 hane olmalı",IF($C519="TUTAR_NEGATIF","Toplam negatif olamaz",IF($C519="DONEM_EKSIK","Dönem zorunlu","Elle incele"))))</f>
        <v/>
      </c>
      <c r="E519" s="16">
        <f>IF($C519="","",IF(OR($C519="TUTAR_NEGATIF",$C519="TARIH_BOS"),"YUKSEK","ORTA"))</f>
        <v/>
      </c>
      <c r="F519" s="16">
        <f>IF($C519="","",IF(OR($C519="TARIH_BOS",$C519="VKN_UZUNLUK",$C519="TUTAR_NEGATIF",$C519="DONEM_EKSIK"),$C519,"TANIMSIZ"))</f>
        <v/>
      </c>
      <c r="G519" s="16">
        <f>IF($C519="","",1)</f>
        <v/>
      </c>
    </row>
    <row r="520">
      <c r="A520" s="16">
        <f>IF('VERI_A'!$A520="","",ROW()-ROW(tblVeriA[[#Headers]]))</f>
        <v/>
      </c>
      <c r="B520" s="23">
        <f>IF('VERI_A'!$A520="","",'VERI_A'!$A520)</f>
        <v/>
      </c>
      <c r="C520" s="16">
        <f>IF($B520="","",IF(OR('VERI_A'!$B520="",'VERI_A'!$B520=0),"TARIH_BOS",IF(LEN(TRIM('VERI_A'!$C520&amp;""))&lt;&gt;dbe_vknUzunluk,"VKN_UZUNLUK",IF('VERI_A'!$G520&lt;0,"TUTAR_NEGATIF",IF('VERI_A'!$I520="","DONEM_EKSIK",""))))</f>
        <v/>
      </c>
      <c r="D520" s="16">
        <f>IF($C520="","",IF($C520="TARIH_BOS","Belge tarihi zorunlu",IF($C520="VKN_UZUNLUK","VKN 10 hane olmalı",IF($C520="TUTAR_NEGATIF","Toplam negatif olamaz",IF($C520="DONEM_EKSIK","Dönem zorunlu","Elle incele"))))</f>
        <v/>
      </c>
      <c r="E520" s="16">
        <f>IF($C520="","",IF(OR($C520="TUTAR_NEGATIF",$C520="TARIH_BOS"),"YUKSEK","ORTA"))</f>
        <v/>
      </c>
      <c r="F520" s="16">
        <f>IF($C520="","",IF(OR($C520="TARIH_BOS",$C520="VKN_UZUNLUK",$C520="TUTAR_NEGATIF",$C520="DONEM_EKSIK"),$C520,"TANIMSIZ"))</f>
        <v/>
      </c>
      <c r="G520" s="16">
        <f>IF($C520="","",1)</f>
        <v/>
      </c>
    </row>
    <row r="521">
      <c r="A521" s="16">
        <f>IF('VERI_A'!$A521="","",ROW()-ROW(tblVeriA[[#Headers]]))</f>
        <v/>
      </c>
      <c r="B521" s="23">
        <f>IF('VERI_A'!$A521="","",'VERI_A'!$A521)</f>
        <v/>
      </c>
      <c r="C521" s="16">
        <f>IF($B521="","",IF(OR('VERI_A'!$B521="",'VERI_A'!$B521=0),"TARIH_BOS",IF(LEN(TRIM('VERI_A'!$C521&amp;""))&lt;&gt;dbe_vknUzunluk,"VKN_UZUNLUK",IF('VERI_A'!$G521&lt;0,"TUTAR_NEGATIF",IF('VERI_A'!$I521="","DONEM_EKSIK",""))))</f>
        <v/>
      </c>
      <c r="D521" s="16">
        <f>IF($C521="","",IF($C521="TARIH_BOS","Belge tarihi zorunlu",IF($C521="VKN_UZUNLUK","VKN 10 hane olmalı",IF($C521="TUTAR_NEGATIF","Toplam negatif olamaz",IF($C521="DONEM_EKSIK","Dönem zorunlu","Elle incele"))))</f>
        <v/>
      </c>
      <c r="E521" s="16">
        <f>IF($C521="","",IF(OR($C521="TUTAR_NEGATIF",$C521="TARIH_BOS"),"YUKSEK","ORTA"))</f>
        <v/>
      </c>
      <c r="F521" s="16">
        <f>IF($C521="","",IF(OR($C521="TARIH_BOS",$C521="VKN_UZUNLUK",$C521="TUTAR_NEGATIF",$C521="DONEM_EKSIK"),$C521,"TANIMSIZ"))</f>
        <v/>
      </c>
      <c r="G521" s="16">
        <f>IF($C521="","",1)</f>
        <v/>
      </c>
    </row>
    <row r="522">
      <c r="A522" s="16">
        <f>IF('VERI_A'!$A522="","",ROW()-ROW(tblVeriA[[#Headers]]))</f>
        <v/>
      </c>
      <c r="B522" s="23">
        <f>IF('VERI_A'!$A522="","",'VERI_A'!$A522)</f>
        <v/>
      </c>
      <c r="C522" s="16">
        <f>IF($B522="","",IF(OR('VERI_A'!$B522="",'VERI_A'!$B522=0),"TARIH_BOS",IF(LEN(TRIM('VERI_A'!$C522&amp;""))&lt;&gt;dbe_vknUzunluk,"VKN_UZUNLUK",IF('VERI_A'!$G522&lt;0,"TUTAR_NEGATIF",IF('VERI_A'!$I522="","DONEM_EKSIK",""))))</f>
        <v/>
      </c>
      <c r="D522" s="16">
        <f>IF($C522="","",IF($C522="TARIH_BOS","Belge tarihi zorunlu",IF($C522="VKN_UZUNLUK","VKN 10 hane olmalı",IF($C522="TUTAR_NEGATIF","Toplam negatif olamaz",IF($C522="DONEM_EKSIK","Dönem zorunlu","Elle incele"))))</f>
        <v/>
      </c>
      <c r="E522" s="16">
        <f>IF($C522="","",IF(OR($C522="TUTAR_NEGATIF",$C522="TARIH_BOS"),"YUKSEK","ORTA"))</f>
        <v/>
      </c>
      <c r="F522" s="16">
        <f>IF($C522="","",IF(OR($C522="TARIH_BOS",$C522="VKN_UZUNLUK",$C522="TUTAR_NEGATIF",$C522="DONEM_EKSIK"),$C522,"TANIMSIZ"))</f>
        <v/>
      </c>
      <c r="G522" s="16">
        <f>IF($C522="","",1)</f>
        <v/>
      </c>
    </row>
    <row r="523">
      <c r="A523" s="16">
        <f>IF('VERI_A'!$A523="","",ROW()-ROW(tblVeriA[[#Headers]]))</f>
        <v/>
      </c>
      <c r="B523" s="23">
        <f>IF('VERI_A'!$A523="","",'VERI_A'!$A523)</f>
        <v/>
      </c>
      <c r="C523" s="16">
        <f>IF($B523="","",IF(OR('VERI_A'!$B523="",'VERI_A'!$B523=0),"TARIH_BOS",IF(LEN(TRIM('VERI_A'!$C523&amp;""))&lt;&gt;dbe_vknUzunluk,"VKN_UZUNLUK",IF('VERI_A'!$G523&lt;0,"TUTAR_NEGATIF",IF('VERI_A'!$I523="","DONEM_EKSIK",""))))</f>
        <v/>
      </c>
      <c r="D523" s="16">
        <f>IF($C523="","",IF($C523="TARIH_BOS","Belge tarihi zorunlu",IF($C523="VKN_UZUNLUK","VKN 10 hane olmalı",IF($C523="TUTAR_NEGATIF","Toplam negatif olamaz",IF($C523="DONEM_EKSIK","Dönem zorunlu","Elle incele"))))</f>
        <v/>
      </c>
      <c r="E523" s="16">
        <f>IF($C523="","",IF(OR($C523="TUTAR_NEGATIF",$C523="TARIH_BOS"),"YUKSEK","ORTA"))</f>
        <v/>
      </c>
      <c r="F523" s="16">
        <f>IF($C523="","",IF(OR($C523="TARIH_BOS",$C523="VKN_UZUNLUK",$C523="TUTAR_NEGATIF",$C523="DONEM_EKSIK"),$C523,"TANIMSIZ"))</f>
        <v/>
      </c>
      <c r="G523" s="16">
        <f>IF($C523="","",1)</f>
        <v/>
      </c>
    </row>
    <row r="524">
      <c r="A524" s="16">
        <f>IF('VERI_A'!$A524="","",ROW()-ROW(tblVeriA[[#Headers]]))</f>
        <v/>
      </c>
      <c r="B524" s="23">
        <f>IF('VERI_A'!$A524="","",'VERI_A'!$A524)</f>
        <v/>
      </c>
      <c r="C524" s="16">
        <f>IF($B524="","",IF(OR('VERI_A'!$B524="",'VERI_A'!$B524=0),"TARIH_BOS",IF(LEN(TRIM('VERI_A'!$C524&amp;""))&lt;&gt;dbe_vknUzunluk,"VKN_UZUNLUK",IF('VERI_A'!$G524&lt;0,"TUTAR_NEGATIF",IF('VERI_A'!$I524="","DONEM_EKSIK",""))))</f>
        <v/>
      </c>
      <c r="D524" s="16">
        <f>IF($C524="","",IF($C524="TARIH_BOS","Belge tarihi zorunlu",IF($C524="VKN_UZUNLUK","VKN 10 hane olmalı",IF($C524="TUTAR_NEGATIF","Toplam negatif olamaz",IF($C524="DONEM_EKSIK","Dönem zorunlu","Elle incele"))))</f>
        <v/>
      </c>
      <c r="E524" s="16">
        <f>IF($C524="","",IF(OR($C524="TUTAR_NEGATIF",$C524="TARIH_BOS"),"YUKSEK","ORTA"))</f>
        <v/>
      </c>
      <c r="F524" s="16">
        <f>IF($C524="","",IF(OR($C524="TARIH_BOS",$C524="VKN_UZUNLUK",$C524="TUTAR_NEGATIF",$C524="DONEM_EKSIK"),$C524,"TANIMSIZ"))</f>
        <v/>
      </c>
      <c r="G524" s="16">
        <f>IF($C524="","",1)</f>
        <v/>
      </c>
    </row>
    <row r="525">
      <c r="A525" s="16">
        <f>IF('VERI_A'!$A525="","",ROW()-ROW(tblVeriA[[#Headers]]))</f>
        <v/>
      </c>
      <c r="B525" s="23">
        <f>IF('VERI_A'!$A525="","",'VERI_A'!$A525)</f>
        <v/>
      </c>
      <c r="C525" s="16">
        <f>IF($B525="","",IF(OR('VERI_A'!$B525="",'VERI_A'!$B525=0),"TARIH_BOS",IF(LEN(TRIM('VERI_A'!$C525&amp;""))&lt;&gt;dbe_vknUzunluk,"VKN_UZUNLUK",IF('VERI_A'!$G525&lt;0,"TUTAR_NEGATIF",IF('VERI_A'!$I525="","DONEM_EKSIK",""))))</f>
        <v/>
      </c>
      <c r="D525" s="16">
        <f>IF($C525="","",IF($C525="TARIH_BOS","Belge tarihi zorunlu",IF($C525="VKN_UZUNLUK","VKN 10 hane olmalı",IF($C525="TUTAR_NEGATIF","Toplam negatif olamaz",IF($C525="DONEM_EKSIK","Dönem zorunlu","Elle incele"))))</f>
        <v/>
      </c>
      <c r="E525" s="16">
        <f>IF($C525="","",IF(OR($C525="TUTAR_NEGATIF",$C525="TARIH_BOS"),"YUKSEK","ORTA"))</f>
        <v/>
      </c>
      <c r="F525" s="16">
        <f>IF($C525="","",IF(OR($C525="TARIH_BOS",$C525="VKN_UZUNLUK",$C525="TUTAR_NEGATIF",$C525="DONEM_EKSIK"),$C525,"TANIMSIZ"))</f>
        <v/>
      </c>
      <c r="G525" s="16">
        <f>IF($C525="","",1)</f>
        <v/>
      </c>
    </row>
    <row r="526">
      <c r="A526" s="16">
        <f>IF('VERI_A'!$A526="","",ROW()-ROW(tblVeriA[[#Headers]]))</f>
        <v/>
      </c>
      <c r="B526" s="23">
        <f>IF('VERI_A'!$A526="","",'VERI_A'!$A526)</f>
        <v/>
      </c>
      <c r="C526" s="16">
        <f>IF($B526="","",IF(OR('VERI_A'!$B526="",'VERI_A'!$B526=0),"TARIH_BOS",IF(LEN(TRIM('VERI_A'!$C526&amp;""))&lt;&gt;dbe_vknUzunluk,"VKN_UZUNLUK",IF('VERI_A'!$G526&lt;0,"TUTAR_NEGATIF",IF('VERI_A'!$I526="","DONEM_EKSIK",""))))</f>
        <v/>
      </c>
      <c r="D526" s="16">
        <f>IF($C526="","",IF($C526="TARIH_BOS","Belge tarihi zorunlu",IF($C526="VKN_UZUNLUK","VKN 10 hane olmalı",IF($C526="TUTAR_NEGATIF","Toplam negatif olamaz",IF($C526="DONEM_EKSIK","Dönem zorunlu","Elle incele"))))</f>
        <v/>
      </c>
      <c r="E526" s="16">
        <f>IF($C526="","",IF(OR($C526="TUTAR_NEGATIF",$C526="TARIH_BOS"),"YUKSEK","ORTA"))</f>
        <v/>
      </c>
      <c r="F526" s="16">
        <f>IF($C526="","",IF(OR($C526="TARIH_BOS",$C526="VKN_UZUNLUK",$C526="TUTAR_NEGATIF",$C526="DONEM_EKSIK"),$C526,"TANIMSIZ"))</f>
        <v/>
      </c>
      <c r="G526" s="16">
        <f>IF($C526="","",1)</f>
        <v/>
      </c>
    </row>
    <row r="527">
      <c r="A527" s="16">
        <f>IF('VERI_A'!$A527="","",ROW()-ROW(tblVeriA[[#Headers]]))</f>
        <v/>
      </c>
      <c r="B527" s="23">
        <f>IF('VERI_A'!$A527="","",'VERI_A'!$A527)</f>
        <v/>
      </c>
      <c r="C527" s="16">
        <f>IF($B527="","",IF(OR('VERI_A'!$B527="",'VERI_A'!$B527=0),"TARIH_BOS",IF(LEN(TRIM('VERI_A'!$C527&amp;""))&lt;&gt;dbe_vknUzunluk,"VKN_UZUNLUK",IF('VERI_A'!$G527&lt;0,"TUTAR_NEGATIF",IF('VERI_A'!$I527="","DONEM_EKSIK",""))))</f>
        <v/>
      </c>
      <c r="D527" s="16">
        <f>IF($C527="","",IF($C527="TARIH_BOS","Belge tarihi zorunlu",IF($C527="VKN_UZUNLUK","VKN 10 hane olmalı",IF($C527="TUTAR_NEGATIF","Toplam negatif olamaz",IF($C527="DONEM_EKSIK","Dönem zorunlu","Elle incele"))))</f>
        <v/>
      </c>
      <c r="E527" s="16">
        <f>IF($C527="","",IF(OR($C527="TUTAR_NEGATIF",$C527="TARIH_BOS"),"YUKSEK","ORTA"))</f>
        <v/>
      </c>
      <c r="F527" s="16">
        <f>IF($C527="","",IF(OR($C527="TARIH_BOS",$C527="VKN_UZUNLUK",$C527="TUTAR_NEGATIF",$C527="DONEM_EKSIK"),$C527,"TANIMSIZ"))</f>
        <v/>
      </c>
      <c r="G527" s="16">
        <f>IF($C527="","",1)</f>
        <v/>
      </c>
    </row>
    <row r="528">
      <c r="A528" s="16">
        <f>IF('VERI_A'!$A528="","",ROW()-ROW(tblVeriA[[#Headers]]))</f>
        <v/>
      </c>
      <c r="B528" s="23">
        <f>IF('VERI_A'!$A528="","",'VERI_A'!$A528)</f>
        <v/>
      </c>
      <c r="C528" s="16">
        <f>IF($B528="","",IF(OR('VERI_A'!$B528="",'VERI_A'!$B528=0),"TARIH_BOS",IF(LEN(TRIM('VERI_A'!$C528&amp;""))&lt;&gt;dbe_vknUzunluk,"VKN_UZUNLUK",IF('VERI_A'!$G528&lt;0,"TUTAR_NEGATIF",IF('VERI_A'!$I528="","DONEM_EKSIK",""))))</f>
        <v/>
      </c>
      <c r="D528" s="16">
        <f>IF($C528="","",IF($C528="TARIH_BOS","Belge tarihi zorunlu",IF($C528="VKN_UZUNLUK","VKN 10 hane olmalı",IF($C528="TUTAR_NEGATIF","Toplam negatif olamaz",IF($C528="DONEM_EKSIK","Dönem zorunlu","Elle incele"))))</f>
        <v/>
      </c>
      <c r="E528" s="16">
        <f>IF($C528="","",IF(OR($C528="TUTAR_NEGATIF",$C528="TARIH_BOS"),"YUKSEK","ORTA"))</f>
        <v/>
      </c>
      <c r="F528" s="16">
        <f>IF($C528="","",IF(OR($C528="TARIH_BOS",$C528="VKN_UZUNLUK",$C528="TUTAR_NEGATIF",$C528="DONEM_EKSIK"),$C528,"TANIMSIZ"))</f>
        <v/>
      </c>
      <c r="G528" s="16">
        <f>IF($C528="","",1)</f>
        <v/>
      </c>
    </row>
    <row r="529">
      <c r="A529" s="16">
        <f>IF('VERI_A'!$A529="","",ROW()-ROW(tblVeriA[[#Headers]]))</f>
        <v/>
      </c>
      <c r="B529" s="23">
        <f>IF('VERI_A'!$A529="","",'VERI_A'!$A529)</f>
        <v/>
      </c>
      <c r="C529" s="16">
        <f>IF($B529="","",IF(OR('VERI_A'!$B529="",'VERI_A'!$B529=0),"TARIH_BOS",IF(LEN(TRIM('VERI_A'!$C529&amp;""))&lt;&gt;dbe_vknUzunluk,"VKN_UZUNLUK",IF('VERI_A'!$G529&lt;0,"TUTAR_NEGATIF",IF('VERI_A'!$I529="","DONEM_EKSIK",""))))</f>
        <v/>
      </c>
      <c r="D529" s="16">
        <f>IF($C529="","",IF($C529="TARIH_BOS","Belge tarihi zorunlu",IF($C529="VKN_UZUNLUK","VKN 10 hane olmalı",IF($C529="TUTAR_NEGATIF","Toplam negatif olamaz",IF($C529="DONEM_EKSIK","Dönem zorunlu","Elle incele"))))</f>
        <v/>
      </c>
      <c r="E529" s="16">
        <f>IF($C529="","",IF(OR($C529="TUTAR_NEGATIF",$C529="TARIH_BOS"),"YUKSEK","ORTA"))</f>
        <v/>
      </c>
      <c r="F529" s="16">
        <f>IF($C529="","",IF(OR($C529="TARIH_BOS",$C529="VKN_UZUNLUK",$C529="TUTAR_NEGATIF",$C529="DONEM_EKSIK"),$C529,"TANIMSIZ"))</f>
        <v/>
      </c>
      <c r="G529" s="16">
        <f>IF($C529="","",1)</f>
        <v/>
      </c>
    </row>
    <row r="530">
      <c r="A530" s="16">
        <f>IF('VERI_A'!$A530="","",ROW()-ROW(tblVeriA[[#Headers]]))</f>
        <v/>
      </c>
      <c r="B530" s="23">
        <f>IF('VERI_A'!$A530="","",'VERI_A'!$A530)</f>
        <v/>
      </c>
      <c r="C530" s="16">
        <f>IF($B530="","",IF(OR('VERI_A'!$B530="",'VERI_A'!$B530=0),"TARIH_BOS",IF(LEN(TRIM('VERI_A'!$C530&amp;""))&lt;&gt;dbe_vknUzunluk,"VKN_UZUNLUK",IF('VERI_A'!$G530&lt;0,"TUTAR_NEGATIF",IF('VERI_A'!$I530="","DONEM_EKSIK",""))))</f>
        <v/>
      </c>
      <c r="D530" s="16">
        <f>IF($C530="","",IF($C530="TARIH_BOS","Belge tarihi zorunlu",IF($C530="VKN_UZUNLUK","VKN 10 hane olmalı",IF($C530="TUTAR_NEGATIF","Toplam negatif olamaz",IF($C530="DONEM_EKSIK","Dönem zorunlu","Elle incele"))))</f>
        <v/>
      </c>
      <c r="E530" s="16">
        <f>IF($C530="","",IF(OR($C530="TUTAR_NEGATIF",$C530="TARIH_BOS"),"YUKSEK","ORTA"))</f>
        <v/>
      </c>
      <c r="F530" s="16">
        <f>IF($C530="","",IF(OR($C530="TARIH_BOS",$C530="VKN_UZUNLUK",$C530="TUTAR_NEGATIF",$C530="DONEM_EKSIK"),$C530,"TANIMSIZ"))</f>
        <v/>
      </c>
      <c r="G530" s="16">
        <f>IF($C530="","",1)</f>
        <v/>
      </c>
    </row>
    <row r="531">
      <c r="A531" s="16">
        <f>IF('VERI_A'!$A531="","",ROW()-ROW(tblVeriA[[#Headers]]))</f>
        <v/>
      </c>
      <c r="B531" s="23">
        <f>IF('VERI_A'!$A531="","",'VERI_A'!$A531)</f>
        <v/>
      </c>
      <c r="C531" s="16">
        <f>IF($B531="","",IF(OR('VERI_A'!$B531="",'VERI_A'!$B531=0),"TARIH_BOS",IF(LEN(TRIM('VERI_A'!$C531&amp;""))&lt;&gt;dbe_vknUzunluk,"VKN_UZUNLUK",IF('VERI_A'!$G531&lt;0,"TUTAR_NEGATIF",IF('VERI_A'!$I531="","DONEM_EKSIK",""))))</f>
        <v/>
      </c>
      <c r="D531" s="16">
        <f>IF($C531="","",IF($C531="TARIH_BOS","Belge tarihi zorunlu",IF($C531="VKN_UZUNLUK","VKN 10 hane olmalı",IF($C531="TUTAR_NEGATIF","Toplam negatif olamaz",IF($C531="DONEM_EKSIK","Dönem zorunlu","Elle incele"))))</f>
        <v/>
      </c>
      <c r="E531" s="16">
        <f>IF($C531="","",IF(OR($C531="TUTAR_NEGATIF",$C531="TARIH_BOS"),"YUKSEK","ORTA"))</f>
        <v/>
      </c>
      <c r="F531" s="16">
        <f>IF($C531="","",IF(OR($C531="TARIH_BOS",$C531="VKN_UZUNLUK",$C531="TUTAR_NEGATIF",$C531="DONEM_EKSIK"),$C531,"TANIMSIZ"))</f>
        <v/>
      </c>
      <c r="G531" s="16">
        <f>IF($C531="","",1)</f>
        <v/>
      </c>
    </row>
    <row r="532">
      <c r="A532" s="16">
        <f>IF('VERI_A'!$A532="","",ROW()-ROW(tblVeriA[[#Headers]]))</f>
        <v/>
      </c>
      <c r="B532" s="23">
        <f>IF('VERI_A'!$A532="","",'VERI_A'!$A532)</f>
        <v/>
      </c>
      <c r="C532" s="16">
        <f>IF($B532="","",IF(OR('VERI_A'!$B532="",'VERI_A'!$B532=0),"TARIH_BOS",IF(LEN(TRIM('VERI_A'!$C532&amp;""))&lt;&gt;dbe_vknUzunluk,"VKN_UZUNLUK",IF('VERI_A'!$G532&lt;0,"TUTAR_NEGATIF",IF('VERI_A'!$I532="","DONEM_EKSIK",""))))</f>
        <v/>
      </c>
      <c r="D532" s="16">
        <f>IF($C532="","",IF($C532="TARIH_BOS","Belge tarihi zorunlu",IF($C532="VKN_UZUNLUK","VKN 10 hane olmalı",IF($C532="TUTAR_NEGATIF","Toplam negatif olamaz",IF($C532="DONEM_EKSIK","Dönem zorunlu","Elle incele"))))</f>
        <v/>
      </c>
      <c r="E532" s="16">
        <f>IF($C532="","",IF(OR($C532="TUTAR_NEGATIF",$C532="TARIH_BOS"),"YUKSEK","ORTA"))</f>
        <v/>
      </c>
      <c r="F532" s="16">
        <f>IF($C532="","",IF(OR($C532="TARIH_BOS",$C532="VKN_UZUNLUK",$C532="TUTAR_NEGATIF",$C532="DONEM_EKSIK"),$C532,"TANIMSIZ"))</f>
        <v/>
      </c>
      <c r="G532" s="16">
        <f>IF($C532="","",1)</f>
        <v/>
      </c>
    </row>
    <row r="533">
      <c r="A533" s="16">
        <f>IF('VERI_A'!$A533="","",ROW()-ROW(tblVeriA[[#Headers]]))</f>
        <v/>
      </c>
      <c r="B533" s="23">
        <f>IF('VERI_A'!$A533="","",'VERI_A'!$A533)</f>
        <v/>
      </c>
      <c r="C533" s="16">
        <f>IF($B533="","",IF(OR('VERI_A'!$B533="",'VERI_A'!$B533=0),"TARIH_BOS",IF(LEN(TRIM('VERI_A'!$C533&amp;""))&lt;&gt;dbe_vknUzunluk,"VKN_UZUNLUK",IF('VERI_A'!$G533&lt;0,"TUTAR_NEGATIF",IF('VERI_A'!$I533="","DONEM_EKSIK",""))))</f>
        <v/>
      </c>
      <c r="D533" s="16">
        <f>IF($C533="","",IF($C533="TARIH_BOS","Belge tarihi zorunlu",IF($C533="VKN_UZUNLUK","VKN 10 hane olmalı",IF($C533="TUTAR_NEGATIF","Toplam negatif olamaz",IF($C533="DONEM_EKSIK","Dönem zorunlu","Elle incele"))))</f>
        <v/>
      </c>
      <c r="E533" s="16">
        <f>IF($C533="","",IF(OR($C533="TUTAR_NEGATIF",$C533="TARIH_BOS"),"YUKSEK","ORTA"))</f>
        <v/>
      </c>
      <c r="F533" s="16">
        <f>IF($C533="","",IF(OR($C533="TARIH_BOS",$C533="VKN_UZUNLUK",$C533="TUTAR_NEGATIF",$C533="DONEM_EKSIK"),$C533,"TANIMSIZ"))</f>
        <v/>
      </c>
      <c r="G533" s="16">
        <f>IF($C533="","",1)</f>
        <v/>
      </c>
    </row>
    <row r="534">
      <c r="A534" s="16">
        <f>IF('VERI_A'!$A534="","",ROW()-ROW(tblVeriA[[#Headers]]))</f>
        <v/>
      </c>
      <c r="B534" s="23">
        <f>IF('VERI_A'!$A534="","",'VERI_A'!$A534)</f>
        <v/>
      </c>
      <c r="C534" s="16">
        <f>IF($B534="","",IF(OR('VERI_A'!$B534="",'VERI_A'!$B534=0),"TARIH_BOS",IF(LEN(TRIM('VERI_A'!$C534&amp;""))&lt;&gt;dbe_vknUzunluk,"VKN_UZUNLUK",IF('VERI_A'!$G534&lt;0,"TUTAR_NEGATIF",IF('VERI_A'!$I534="","DONEM_EKSIK",""))))</f>
        <v/>
      </c>
      <c r="D534" s="16">
        <f>IF($C534="","",IF($C534="TARIH_BOS","Belge tarihi zorunlu",IF($C534="VKN_UZUNLUK","VKN 10 hane olmalı",IF($C534="TUTAR_NEGATIF","Toplam negatif olamaz",IF($C534="DONEM_EKSIK","Dönem zorunlu","Elle incele"))))</f>
        <v/>
      </c>
      <c r="E534" s="16">
        <f>IF($C534="","",IF(OR($C534="TUTAR_NEGATIF",$C534="TARIH_BOS"),"YUKSEK","ORTA"))</f>
        <v/>
      </c>
      <c r="F534" s="16">
        <f>IF($C534="","",IF(OR($C534="TARIH_BOS",$C534="VKN_UZUNLUK",$C534="TUTAR_NEGATIF",$C534="DONEM_EKSIK"),$C534,"TANIMSIZ"))</f>
        <v/>
      </c>
      <c r="G534" s="16">
        <f>IF($C534="","",1)</f>
        <v/>
      </c>
    </row>
    <row r="535">
      <c r="A535" s="16">
        <f>IF('VERI_A'!$A535="","",ROW()-ROW(tblVeriA[[#Headers]]))</f>
        <v/>
      </c>
      <c r="B535" s="23">
        <f>IF('VERI_A'!$A535="","",'VERI_A'!$A535)</f>
        <v/>
      </c>
      <c r="C535" s="16">
        <f>IF($B535="","",IF(OR('VERI_A'!$B535="",'VERI_A'!$B535=0),"TARIH_BOS",IF(LEN(TRIM('VERI_A'!$C535&amp;""))&lt;&gt;dbe_vknUzunluk,"VKN_UZUNLUK",IF('VERI_A'!$G535&lt;0,"TUTAR_NEGATIF",IF('VERI_A'!$I535="","DONEM_EKSIK",""))))</f>
        <v/>
      </c>
      <c r="D535" s="16">
        <f>IF($C535="","",IF($C535="TARIH_BOS","Belge tarihi zorunlu",IF($C535="VKN_UZUNLUK","VKN 10 hane olmalı",IF($C535="TUTAR_NEGATIF","Toplam negatif olamaz",IF($C535="DONEM_EKSIK","Dönem zorunlu","Elle incele"))))</f>
        <v/>
      </c>
      <c r="E535" s="16">
        <f>IF($C535="","",IF(OR($C535="TUTAR_NEGATIF",$C535="TARIH_BOS"),"YUKSEK","ORTA"))</f>
        <v/>
      </c>
      <c r="F535" s="16">
        <f>IF($C535="","",IF(OR($C535="TARIH_BOS",$C535="VKN_UZUNLUK",$C535="TUTAR_NEGATIF",$C535="DONEM_EKSIK"),$C535,"TANIMSIZ"))</f>
        <v/>
      </c>
      <c r="G535" s="16">
        <f>IF($C535="","",1)</f>
        <v/>
      </c>
    </row>
    <row r="536">
      <c r="A536" s="16">
        <f>IF('VERI_A'!$A536="","",ROW()-ROW(tblVeriA[[#Headers]]))</f>
        <v/>
      </c>
      <c r="B536" s="23">
        <f>IF('VERI_A'!$A536="","",'VERI_A'!$A536)</f>
        <v/>
      </c>
      <c r="C536" s="16">
        <f>IF($B536="","",IF(OR('VERI_A'!$B536="",'VERI_A'!$B536=0),"TARIH_BOS",IF(LEN(TRIM('VERI_A'!$C536&amp;""))&lt;&gt;dbe_vknUzunluk,"VKN_UZUNLUK",IF('VERI_A'!$G536&lt;0,"TUTAR_NEGATIF",IF('VERI_A'!$I536="","DONEM_EKSIK",""))))</f>
        <v/>
      </c>
      <c r="D536" s="16">
        <f>IF($C536="","",IF($C536="TARIH_BOS","Belge tarihi zorunlu",IF($C536="VKN_UZUNLUK","VKN 10 hane olmalı",IF($C536="TUTAR_NEGATIF","Toplam negatif olamaz",IF($C536="DONEM_EKSIK","Dönem zorunlu","Elle incele"))))</f>
        <v/>
      </c>
      <c r="E536" s="16">
        <f>IF($C536="","",IF(OR($C536="TUTAR_NEGATIF",$C536="TARIH_BOS"),"YUKSEK","ORTA"))</f>
        <v/>
      </c>
      <c r="F536" s="16">
        <f>IF($C536="","",IF(OR($C536="TARIH_BOS",$C536="VKN_UZUNLUK",$C536="TUTAR_NEGATIF",$C536="DONEM_EKSIK"),$C536,"TANIMSIZ"))</f>
        <v/>
      </c>
      <c r="G536" s="16">
        <f>IF($C536="","",1)</f>
        <v/>
      </c>
    </row>
    <row r="537">
      <c r="A537" s="16">
        <f>IF('VERI_A'!$A537="","",ROW()-ROW(tblVeriA[[#Headers]]))</f>
        <v/>
      </c>
      <c r="B537" s="23">
        <f>IF('VERI_A'!$A537="","",'VERI_A'!$A537)</f>
        <v/>
      </c>
      <c r="C537" s="16">
        <f>IF($B537="","",IF(OR('VERI_A'!$B537="",'VERI_A'!$B537=0),"TARIH_BOS",IF(LEN(TRIM('VERI_A'!$C537&amp;""))&lt;&gt;dbe_vknUzunluk,"VKN_UZUNLUK",IF('VERI_A'!$G537&lt;0,"TUTAR_NEGATIF",IF('VERI_A'!$I537="","DONEM_EKSIK",""))))</f>
        <v/>
      </c>
      <c r="D537" s="16">
        <f>IF($C537="","",IF($C537="TARIH_BOS","Belge tarihi zorunlu",IF($C537="VKN_UZUNLUK","VKN 10 hane olmalı",IF($C537="TUTAR_NEGATIF","Toplam negatif olamaz",IF($C537="DONEM_EKSIK","Dönem zorunlu","Elle incele"))))</f>
        <v/>
      </c>
      <c r="E537" s="16">
        <f>IF($C537="","",IF(OR($C537="TUTAR_NEGATIF",$C537="TARIH_BOS"),"YUKSEK","ORTA"))</f>
        <v/>
      </c>
      <c r="F537" s="16">
        <f>IF($C537="","",IF(OR($C537="TARIH_BOS",$C537="VKN_UZUNLUK",$C537="TUTAR_NEGATIF",$C537="DONEM_EKSIK"),$C537,"TANIMSIZ"))</f>
        <v/>
      </c>
      <c r="G537" s="16">
        <f>IF($C537="","",1)</f>
        <v/>
      </c>
    </row>
    <row r="538">
      <c r="A538" s="16">
        <f>IF('VERI_A'!$A538="","",ROW()-ROW(tblVeriA[[#Headers]]))</f>
        <v/>
      </c>
      <c r="B538" s="23">
        <f>IF('VERI_A'!$A538="","",'VERI_A'!$A538)</f>
        <v/>
      </c>
      <c r="C538" s="16">
        <f>IF($B538="","",IF(OR('VERI_A'!$B538="",'VERI_A'!$B538=0),"TARIH_BOS",IF(LEN(TRIM('VERI_A'!$C538&amp;""))&lt;&gt;dbe_vknUzunluk,"VKN_UZUNLUK",IF('VERI_A'!$G538&lt;0,"TUTAR_NEGATIF",IF('VERI_A'!$I538="","DONEM_EKSIK",""))))</f>
        <v/>
      </c>
      <c r="D538" s="16">
        <f>IF($C538="","",IF($C538="TARIH_BOS","Belge tarihi zorunlu",IF($C538="VKN_UZUNLUK","VKN 10 hane olmalı",IF($C538="TUTAR_NEGATIF","Toplam negatif olamaz",IF($C538="DONEM_EKSIK","Dönem zorunlu","Elle incele"))))</f>
        <v/>
      </c>
      <c r="E538" s="16">
        <f>IF($C538="","",IF(OR($C538="TUTAR_NEGATIF",$C538="TARIH_BOS"),"YUKSEK","ORTA"))</f>
        <v/>
      </c>
      <c r="F538" s="16">
        <f>IF($C538="","",IF(OR($C538="TARIH_BOS",$C538="VKN_UZUNLUK",$C538="TUTAR_NEGATIF",$C538="DONEM_EKSIK"),$C538,"TANIMSIZ"))</f>
        <v/>
      </c>
      <c r="G538" s="16">
        <f>IF($C538="","",1)</f>
        <v/>
      </c>
    </row>
    <row r="539">
      <c r="A539" s="16">
        <f>IF('VERI_A'!$A539="","",ROW()-ROW(tblVeriA[[#Headers]]))</f>
        <v/>
      </c>
      <c r="B539" s="23">
        <f>IF('VERI_A'!$A539="","",'VERI_A'!$A539)</f>
        <v/>
      </c>
      <c r="C539" s="16">
        <f>IF($B539="","",IF(OR('VERI_A'!$B539="",'VERI_A'!$B539=0),"TARIH_BOS",IF(LEN(TRIM('VERI_A'!$C539&amp;""))&lt;&gt;dbe_vknUzunluk,"VKN_UZUNLUK",IF('VERI_A'!$G539&lt;0,"TUTAR_NEGATIF",IF('VERI_A'!$I539="","DONEM_EKSIK",""))))</f>
        <v/>
      </c>
      <c r="D539" s="16">
        <f>IF($C539="","",IF($C539="TARIH_BOS","Belge tarihi zorunlu",IF($C539="VKN_UZUNLUK","VKN 10 hane olmalı",IF($C539="TUTAR_NEGATIF","Toplam negatif olamaz",IF($C539="DONEM_EKSIK","Dönem zorunlu","Elle incele"))))</f>
        <v/>
      </c>
      <c r="E539" s="16">
        <f>IF($C539="","",IF(OR($C539="TUTAR_NEGATIF",$C539="TARIH_BOS"),"YUKSEK","ORTA"))</f>
        <v/>
      </c>
      <c r="F539" s="16">
        <f>IF($C539="","",IF(OR($C539="TARIH_BOS",$C539="VKN_UZUNLUK",$C539="TUTAR_NEGATIF",$C539="DONEM_EKSIK"),$C539,"TANIMSIZ"))</f>
        <v/>
      </c>
      <c r="G539" s="16">
        <f>IF($C539="","",1)</f>
        <v/>
      </c>
    </row>
    <row r="540">
      <c r="A540" s="16">
        <f>IF('VERI_A'!$A540="","",ROW()-ROW(tblVeriA[[#Headers]]))</f>
        <v/>
      </c>
      <c r="B540" s="23">
        <f>IF('VERI_A'!$A540="","",'VERI_A'!$A540)</f>
        <v/>
      </c>
      <c r="C540" s="16">
        <f>IF($B540="","",IF(OR('VERI_A'!$B540="",'VERI_A'!$B540=0),"TARIH_BOS",IF(LEN(TRIM('VERI_A'!$C540&amp;""))&lt;&gt;dbe_vknUzunluk,"VKN_UZUNLUK",IF('VERI_A'!$G540&lt;0,"TUTAR_NEGATIF",IF('VERI_A'!$I540="","DONEM_EKSIK",""))))</f>
        <v/>
      </c>
      <c r="D540" s="16">
        <f>IF($C540="","",IF($C540="TARIH_BOS","Belge tarihi zorunlu",IF($C540="VKN_UZUNLUK","VKN 10 hane olmalı",IF($C540="TUTAR_NEGATIF","Toplam negatif olamaz",IF($C540="DONEM_EKSIK","Dönem zorunlu","Elle incele"))))</f>
        <v/>
      </c>
      <c r="E540" s="16">
        <f>IF($C540="","",IF(OR($C540="TUTAR_NEGATIF",$C540="TARIH_BOS"),"YUKSEK","ORTA"))</f>
        <v/>
      </c>
      <c r="F540" s="16">
        <f>IF($C540="","",IF(OR($C540="TARIH_BOS",$C540="VKN_UZUNLUK",$C540="TUTAR_NEGATIF",$C540="DONEM_EKSIK"),$C540,"TANIMSIZ"))</f>
        <v/>
      </c>
      <c r="G540" s="16">
        <f>IF($C540="","",1)</f>
        <v/>
      </c>
    </row>
    <row r="541">
      <c r="A541" s="16">
        <f>IF('VERI_A'!$A541="","",ROW()-ROW(tblVeriA[[#Headers]]))</f>
        <v/>
      </c>
      <c r="B541" s="23">
        <f>IF('VERI_A'!$A541="","",'VERI_A'!$A541)</f>
        <v/>
      </c>
      <c r="C541" s="16">
        <f>IF($B541="","",IF(OR('VERI_A'!$B541="",'VERI_A'!$B541=0),"TARIH_BOS",IF(LEN(TRIM('VERI_A'!$C541&amp;""))&lt;&gt;dbe_vknUzunluk,"VKN_UZUNLUK",IF('VERI_A'!$G541&lt;0,"TUTAR_NEGATIF",IF('VERI_A'!$I541="","DONEM_EKSIK",""))))</f>
        <v/>
      </c>
      <c r="D541" s="16">
        <f>IF($C541="","",IF($C541="TARIH_BOS","Belge tarihi zorunlu",IF($C541="VKN_UZUNLUK","VKN 10 hane olmalı",IF($C541="TUTAR_NEGATIF","Toplam negatif olamaz",IF($C541="DONEM_EKSIK","Dönem zorunlu","Elle incele"))))</f>
        <v/>
      </c>
      <c r="E541" s="16">
        <f>IF($C541="","",IF(OR($C541="TUTAR_NEGATIF",$C541="TARIH_BOS"),"YUKSEK","ORTA"))</f>
        <v/>
      </c>
      <c r="F541" s="16">
        <f>IF($C541="","",IF(OR($C541="TARIH_BOS",$C541="VKN_UZUNLUK",$C541="TUTAR_NEGATIF",$C541="DONEM_EKSIK"),$C541,"TANIMSIZ"))</f>
        <v/>
      </c>
      <c r="G541" s="16">
        <f>IF($C541="","",1)</f>
        <v/>
      </c>
    </row>
    <row r="542">
      <c r="A542" s="16">
        <f>IF('VERI_A'!$A542="","",ROW()-ROW(tblVeriA[[#Headers]]))</f>
        <v/>
      </c>
      <c r="B542" s="23">
        <f>IF('VERI_A'!$A542="","",'VERI_A'!$A542)</f>
        <v/>
      </c>
      <c r="C542" s="16">
        <f>IF($B542="","",IF(OR('VERI_A'!$B542="",'VERI_A'!$B542=0),"TARIH_BOS",IF(LEN(TRIM('VERI_A'!$C542&amp;""))&lt;&gt;dbe_vknUzunluk,"VKN_UZUNLUK",IF('VERI_A'!$G542&lt;0,"TUTAR_NEGATIF",IF('VERI_A'!$I542="","DONEM_EKSIK",""))))</f>
        <v/>
      </c>
      <c r="D542" s="16">
        <f>IF($C542="","",IF($C542="TARIH_BOS","Belge tarihi zorunlu",IF($C542="VKN_UZUNLUK","VKN 10 hane olmalı",IF($C542="TUTAR_NEGATIF","Toplam negatif olamaz",IF($C542="DONEM_EKSIK","Dönem zorunlu","Elle incele"))))</f>
        <v/>
      </c>
      <c r="E542" s="16">
        <f>IF($C542="","",IF(OR($C542="TUTAR_NEGATIF",$C542="TARIH_BOS"),"YUKSEK","ORTA"))</f>
        <v/>
      </c>
      <c r="F542" s="16">
        <f>IF($C542="","",IF(OR($C542="TARIH_BOS",$C542="VKN_UZUNLUK",$C542="TUTAR_NEGATIF",$C542="DONEM_EKSIK"),$C542,"TANIMSIZ"))</f>
        <v/>
      </c>
      <c r="G542" s="16">
        <f>IF($C542="","",1)</f>
        <v/>
      </c>
    </row>
    <row r="543">
      <c r="A543" s="16">
        <f>IF('VERI_A'!$A543="","",ROW()-ROW(tblVeriA[[#Headers]]))</f>
        <v/>
      </c>
      <c r="B543" s="23">
        <f>IF('VERI_A'!$A543="","",'VERI_A'!$A543)</f>
        <v/>
      </c>
      <c r="C543" s="16">
        <f>IF($B543="","",IF(OR('VERI_A'!$B543="",'VERI_A'!$B543=0),"TARIH_BOS",IF(LEN(TRIM('VERI_A'!$C543&amp;""))&lt;&gt;dbe_vknUzunluk,"VKN_UZUNLUK",IF('VERI_A'!$G543&lt;0,"TUTAR_NEGATIF",IF('VERI_A'!$I543="","DONEM_EKSIK",""))))</f>
        <v/>
      </c>
      <c r="D543" s="16">
        <f>IF($C543="","",IF($C543="TARIH_BOS","Belge tarihi zorunlu",IF($C543="VKN_UZUNLUK","VKN 10 hane olmalı",IF($C543="TUTAR_NEGATIF","Toplam negatif olamaz",IF($C543="DONEM_EKSIK","Dönem zorunlu","Elle incele"))))</f>
        <v/>
      </c>
      <c r="E543" s="16">
        <f>IF($C543="","",IF(OR($C543="TUTAR_NEGATIF",$C543="TARIH_BOS"),"YUKSEK","ORTA"))</f>
        <v/>
      </c>
      <c r="F543" s="16">
        <f>IF($C543="","",IF(OR($C543="TARIH_BOS",$C543="VKN_UZUNLUK",$C543="TUTAR_NEGATIF",$C543="DONEM_EKSIK"),$C543,"TANIMSIZ"))</f>
        <v/>
      </c>
      <c r="G543" s="16">
        <f>IF($C543="","",1)</f>
        <v/>
      </c>
    </row>
    <row r="544">
      <c r="A544" s="16">
        <f>IF('VERI_A'!$A544="","",ROW()-ROW(tblVeriA[[#Headers]]))</f>
        <v/>
      </c>
      <c r="B544" s="23">
        <f>IF('VERI_A'!$A544="","",'VERI_A'!$A544)</f>
        <v/>
      </c>
      <c r="C544" s="16">
        <f>IF($B544="","",IF(OR('VERI_A'!$B544="",'VERI_A'!$B544=0),"TARIH_BOS",IF(LEN(TRIM('VERI_A'!$C544&amp;""))&lt;&gt;dbe_vknUzunluk,"VKN_UZUNLUK",IF('VERI_A'!$G544&lt;0,"TUTAR_NEGATIF",IF('VERI_A'!$I544="","DONEM_EKSIK",""))))</f>
        <v/>
      </c>
      <c r="D544" s="16">
        <f>IF($C544="","",IF($C544="TARIH_BOS","Belge tarihi zorunlu",IF($C544="VKN_UZUNLUK","VKN 10 hane olmalı",IF($C544="TUTAR_NEGATIF","Toplam negatif olamaz",IF($C544="DONEM_EKSIK","Dönem zorunlu","Elle incele"))))</f>
        <v/>
      </c>
      <c r="E544" s="16">
        <f>IF($C544="","",IF(OR($C544="TUTAR_NEGATIF",$C544="TARIH_BOS"),"YUKSEK","ORTA"))</f>
        <v/>
      </c>
      <c r="F544" s="16">
        <f>IF($C544="","",IF(OR($C544="TARIH_BOS",$C544="VKN_UZUNLUK",$C544="TUTAR_NEGATIF",$C544="DONEM_EKSIK"),$C544,"TANIMSIZ"))</f>
        <v/>
      </c>
      <c r="G544" s="16">
        <f>IF($C544="","",1)</f>
        <v/>
      </c>
    </row>
    <row r="545">
      <c r="A545" s="16">
        <f>IF('VERI_A'!$A545="","",ROW()-ROW(tblVeriA[[#Headers]]))</f>
        <v/>
      </c>
      <c r="B545" s="23">
        <f>IF('VERI_A'!$A545="","",'VERI_A'!$A545)</f>
        <v/>
      </c>
      <c r="C545" s="16">
        <f>IF($B545="","",IF(OR('VERI_A'!$B545="",'VERI_A'!$B545=0),"TARIH_BOS",IF(LEN(TRIM('VERI_A'!$C545&amp;""))&lt;&gt;dbe_vknUzunluk,"VKN_UZUNLUK",IF('VERI_A'!$G545&lt;0,"TUTAR_NEGATIF",IF('VERI_A'!$I545="","DONEM_EKSIK",""))))</f>
        <v/>
      </c>
      <c r="D545" s="16">
        <f>IF($C545="","",IF($C545="TARIH_BOS","Belge tarihi zorunlu",IF($C545="VKN_UZUNLUK","VKN 10 hane olmalı",IF($C545="TUTAR_NEGATIF","Toplam negatif olamaz",IF($C545="DONEM_EKSIK","Dönem zorunlu","Elle incele"))))</f>
        <v/>
      </c>
      <c r="E545" s="16">
        <f>IF($C545="","",IF(OR($C545="TUTAR_NEGATIF",$C545="TARIH_BOS"),"YUKSEK","ORTA"))</f>
        <v/>
      </c>
      <c r="F545" s="16">
        <f>IF($C545="","",IF(OR($C545="TARIH_BOS",$C545="VKN_UZUNLUK",$C545="TUTAR_NEGATIF",$C545="DONEM_EKSIK"),$C545,"TANIMSIZ"))</f>
        <v/>
      </c>
      <c r="G545" s="16">
        <f>IF($C545="","",1)</f>
        <v/>
      </c>
    </row>
    <row r="546">
      <c r="A546" s="16">
        <f>IF('VERI_A'!$A546="","",ROW()-ROW(tblVeriA[[#Headers]]))</f>
        <v/>
      </c>
      <c r="B546" s="23">
        <f>IF('VERI_A'!$A546="","",'VERI_A'!$A546)</f>
        <v/>
      </c>
      <c r="C546" s="16">
        <f>IF($B546="","",IF(OR('VERI_A'!$B546="",'VERI_A'!$B546=0),"TARIH_BOS",IF(LEN(TRIM('VERI_A'!$C546&amp;""))&lt;&gt;dbe_vknUzunluk,"VKN_UZUNLUK",IF('VERI_A'!$G546&lt;0,"TUTAR_NEGATIF",IF('VERI_A'!$I546="","DONEM_EKSIK",""))))</f>
        <v/>
      </c>
      <c r="D546" s="16">
        <f>IF($C546="","",IF($C546="TARIH_BOS","Belge tarihi zorunlu",IF($C546="VKN_UZUNLUK","VKN 10 hane olmalı",IF($C546="TUTAR_NEGATIF","Toplam negatif olamaz",IF($C546="DONEM_EKSIK","Dönem zorunlu","Elle incele"))))</f>
        <v/>
      </c>
      <c r="E546" s="16">
        <f>IF($C546="","",IF(OR($C546="TUTAR_NEGATIF",$C546="TARIH_BOS"),"YUKSEK","ORTA"))</f>
        <v/>
      </c>
      <c r="F546" s="16">
        <f>IF($C546="","",IF(OR($C546="TARIH_BOS",$C546="VKN_UZUNLUK",$C546="TUTAR_NEGATIF",$C546="DONEM_EKSIK"),$C546,"TANIMSIZ"))</f>
        <v/>
      </c>
      <c r="G546" s="16">
        <f>IF($C546="","",1)</f>
        <v/>
      </c>
    </row>
    <row r="547">
      <c r="A547" s="16">
        <f>IF('VERI_A'!$A547="","",ROW()-ROW(tblVeriA[[#Headers]]))</f>
        <v/>
      </c>
      <c r="B547" s="23">
        <f>IF('VERI_A'!$A547="","",'VERI_A'!$A547)</f>
        <v/>
      </c>
      <c r="C547" s="16">
        <f>IF($B547="","",IF(OR('VERI_A'!$B547="",'VERI_A'!$B547=0),"TARIH_BOS",IF(LEN(TRIM('VERI_A'!$C547&amp;""))&lt;&gt;dbe_vknUzunluk,"VKN_UZUNLUK",IF('VERI_A'!$G547&lt;0,"TUTAR_NEGATIF",IF('VERI_A'!$I547="","DONEM_EKSIK",""))))</f>
        <v/>
      </c>
      <c r="D547" s="16">
        <f>IF($C547="","",IF($C547="TARIH_BOS","Belge tarihi zorunlu",IF($C547="VKN_UZUNLUK","VKN 10 hane olmalı",IF($C547="TUTAR_NEGATIF","Toplam negatif olamaz",IF($C547="DONEM_EKSIK","Dönem zorunlu","Elle incele"))))</f>
        <v/>
      </c>
      <c r="E547" s="16">
        <f>IF($C547="","",IF(OR($C547="TUTAR_NEGATIF",$C547="TARIH_BOS"),"YUKSEK","ORTA"))</f>
        <v/>
      </c>
      <c r="F547" s="16">
        <f>IF($C547="","",IF(OR($C547="TARIH_BOS",$C547="VKN_UZUNLUK",$C547="TUTAR_NEGATIF",$C547="DONEM_EKSIK"),$C547,"TANIMSIZ"))</f>
        <v/>
      </c>
      <c r="G547" s="16">
        <f>IF($C547="","",1)</f>
        <v/>
      </c>
    </row>
    <row r="548">
      <c r="A548" s="16">
        <f>IF('VERI_A'!$A548="","",ROW()-ROW(tblVeriA[[#Headers]]))</f>
        <v/>
      </c>
      <c r="B548" s="23">
        <f>IF('VERI_A'!$A548="","",'VERI_A'!$A548)</f>
        <v/>
      </c>
      <c r="C548" s="16">
        <f>IF($B548="","",IF(OR('VERI_A'!$B548="",'VERI_A'!$B548=0),"TARIH_BOS",IF(LEN(TRIM('VERI_A'!$C548&amp;""))&lt;&gt;dbe_vknUzunluk,"VKN_UZUNLUK",IF('VERI_A'!$G548&lt;0,"TUTAR_NEGATIF",IF('VERI_A'!$I548="","DONEM_EKSIK",""))))</f>
        <v/>
      </c>
      <c r="D548" s="16">
        <f>IF($C548="","",IF($C548="TARIH_BOS","Belge tarihi zorunlu",IF($C548="VKN_UZUNLUK","VKN 10 hane olmalı",IF($C548="TUTAR_NEGATIF","Toplam negatif olamaz",IF($C548="DONEM_EKSIK","Dönem zorunlu","Elle incele"))))</f>
        <v/>
      </c>
      <c r="E548" s="16">
        <f>IF($C548="","",IF(OR($C548="TUTAR_NEGATIF",$C548="TARIH_BOS"),"YUKSEK","ORTA"))</f>
        <v/>
      </c>
      <c r="F548" s="16">
        <f>IF($C548="","",IF(OR($C548="TARIH_BOS",$C548="VKN_UZUNLUK",$C548="TUTAR_NEGATIF",$C548="DONEM_EKSIK"),$C548,"TANIMSIZ"))</f>
        <v/>
      </c>
      <c r="G548" s="16">
        <f>IF($C548="","",1)</f>
        <v/>
      </c>
    </row>
    <row r="549">
      <c r="A549" s="16">
        <f>IF('VERI_A'!$A549="","",ROW()-ROW(tblVeriA[[#Headers]]))</f>
        <v/>
      </c>
      <c r="B549" s="23">
        <f>IF('VERI_A'!$A549="","",'VERI_A'!$A549)</f>
        <v/>
      </c>
      <c r="C549" s="16">
        <f>IF($B549="","",IF(OR('VERI_A'!$B549="",'VERI_A'!$B549=0),"TARIH_BOS",IF(LEN(TRIM('VERI_A'!$C549&amp;""))&lt;&gt;dbe_vknUzunluk,"VKN_UZUNLUK",IF('VERI_A'!$G549&lt;0,"TUTAR_NEGATIF",IF('VERI_A'!$I549="","DONEM_EKSIK",""))))</f>
        <v/>
      </c>
      <c r="D549" s="16">
        <f>IF($C549="","",IF($C549="TARIH_BOS","Belge tarihi zorunlu",IF($C549="VKN_UZUNLUK","VKN 10 hane olmalı",IF($C549="TUTAR_NEGATIF","Toplam negatif olamaz",IF($C549="DONEM_EKSIK","Dönem zorunlu","Elle incele"))))</f>
        <v/>
      </c>
      <c r="E549" s="16">
        <f>IF($C549="","",IF(OR($C549="TUTAR_NEGATIF",$C549="TARIH_BOS"),"YUKSEK","ORTA"))</f>
        <v/>
      </c>
      <c r="F549" s="16">
        <f>IF($C549="","",IF(OR($C549="TARIH_BOS",$C549="VKN_UZUNLUK",$C549="TUTAR_NEGATIF",$C549="DONEM_EKSIK"),$C549,"TANIMSIZ"))</f>
        <v/>
      </c>
      <c r="G549" s="16">
        <f>IF($C549="","",1)</f>
        <v/>
      </c>
    </row>
    <row r="550">
      <c r="A550" s="16">
        <f>IF('VERI_A'!$A550="","",ROW()-ROW(tblVeriA[[#Headers]]))</f>
        <v/>
      </c>
      <c r="B550" s="23">
        <f>IF('VERI_A'!$A550="","",'VERI_A'!$A550)</f>
        <v/>
      </c>
      <c r="C550" s="16">
        <f>IF($B550="","",IF(OR('VERI_A'!$B550="",'VERI_A'!$B550=0),"TARIH_BOS",IF(LEN(TRIM('VERI_A'!$C550&amp;""))&lt;&gt;dbe_vknUzunluk,"VKN_UZUNLUK",IF('VERI_A'!$G550&lt;0,"TUTAR_NEGATIF",IF('VERI_A'!$I550="","DONEM_EKSIK",""))))</f>
        <v/>
      </c>
      <c r="D550" s="16">
        <f>IF($C550="","",IF($C550="TARIH_BOS","Belge tarihi zorunlu",IF($C550="VKN_UZUNLUK","VKN 10 hane olmalı",IF($C550="TUTAR_NEGATIF","Toplam negatif olamaz",IF($C550="DONEM_EKSIK","Dönem zorunlu","Elle incele"))))</f>
        <v/>
      </c>
      <c r="E550" s="16">
        <f>IF($C550="","",IF(OR($C550="TUTAR_NEGATIF",$C550="TARIH_BOS"),"YUKSEK","ORTA"))</f>
        <v/>
      </c>
      <c r="F550" s="16">
        <f>IF($C550="","",IF(OR($C550="TARIH_BOS",$C550="VKN_UZUNLUK",$C550="TUTAR_NEGATIF",$C550="DONEM_EKSIK"),$C550,"TANIMSIZ"))</f>
        <v/>
      </c>
      <c r="G550" s="16">
        <f>IF($C550="","",1)</f>
        <v/>
      </c>
    </row>
    <row r="551">
      <c r="A551" s="16">
        <f>IF('VERI_A'!$A551="","",ROW()-ROW(tblVeriA[[#Headers]]))</f>
        <v/>
      </c>
      <c r="B551" s="23">
        <f>IF('VERI_A'!$A551="","",'VERI_A'!$A551)</f>
        <v/>
      </c>
      <c r="C551" s="16">
        <f>IF($B551="","",IF(OR('VERI_A'!$B551="",'VERI_A'!$B551=0),"TARIH_BOS",IF(LEN(TRIM('VERI_A'!$C551&amp;""))&lt;&gt;dbe_vknUzunluk,"VKN_UZUNLUK",IF('VERI_A'!$G551&lt;0,"TUTAR_NEGATIF",IF('VERI_A'!$I551="","DONEM_EKSIK",""))))</f>
        <v/>
      </c>
      <c r="D551" s="16">
        <f>IF($C551="","",IF($C551="TARIH_BOS","Belge tarihi zorunlu",IF($C551="VKN_UZUNLUK","VKN 10 hane olmalı",IF($C551="TUTAR_NEGATIF","Toplam negatif olamaz",IF($C551="DONEM_EKSIK","Dönem zorunlu","Elle incele"))))</f>
        <v/>
      </c>
      <c r="E551" s="16">
        <f>IF($C551="","",IF(OR($C551="TUTAR_NEGATIF",$C551="TARIH_BOS"),"YUKSEK","ORTA"))</f>
        <v/>
      </c>
      <c r="F551" s="16">
        <f>IF($C551="","",IF(OR($C551="TARIH_BOS",$C551="VKN_UZUNLUK",$C551="TUTAR_NEGATIF",$C551="DONEM_EKSIK"),$C551,"TANIMSIZ"))</f>
        <v/>
      </c>
      <c r="G551" s="16">
        <f>IF($C551="","",1)</f>
        <v/>
      </c>
    </row>
    <row r="552">
      <c r="A552" s="16">
        <f>IF('VERI_A'!$A552="","",ROW()-ROW(tblVeriA[[#Headers]]))</f>
        <v/>
      </c>
      <c r="B552" s="23">
        <f>IF('VERI_A'!$A552="","",'VERI_A'!$A552)</f>
        <v/>
      </c>
      <c r="C552" s="16">
        <f>IF($B552="","",IF(OR('VERI_A'!$B552="",'VERI_A'!$B552=0),"TARIH_BOS",IF(LEN(TRIM('VERI_A'!$C552&amp;""))&lt;&gt;dbe_vknUzunluk,"VKN_UZUNLUK",IF('VERI_A'!$G552&lt;0,"TUTAR_NEGATIF",IF('VERI_A'!$I552="","DONEM_EKSIK",""))))</f>
        <v/>
      </c>
      <c r="D552" s="16">
        <f>IF($C552="","",IF($C552="TARIH_BOS","Belge tarihi zorunlu",IF($C552="VKN_UZUNLUK","VKN 10 hane olmalı",IF($C552="TUTAR_NEGATIF","Toplam negatif olamaz",IF($C552="DONEM_EKSIK","Dönem zorunlu","Elle incele"))))</f>
        <v/>
      </c>
      <c r="E552" s="16">
        <f>IF($C552="","",IF(OR($C552="TUTAR_NEGATIF",$C552="TARIH_BOS"),"YUKSEK","ORTA"))</f>
        <v/>
      </c>
      <c r="F552" s="16">
        <f>IF($C552="","",IF(OR($C552="TARIH_BOS",$C552="VKN_UZUNLUK",$C552="TUTAR_NEGATIF",$C552="DONEM_EKSIK"),$C552,"TANIMSIZ"))</f>
        <v/>
      </c>
      <c r="G552" s="16">
        <f>IF($C552="","",1)</f>
        <v/>
      </c>
    </row>
    <row r="553">
      <c r="A553" s="16">
        <f>IF('VERI_A'!$A553="","",ROW()-ROW(tblVeriA[[#Headers]]))</f>
        <v/>
      </c>
      <c r="B553" s="23">
        <f>IF('VERI_A'!$A553="","",'VERI_A'!$A553)</f>
        <v/>
      </c>
      <c r="C553" s="16">
        <f>IF($B553="","",IF(OR('VERI_A'!$B553="",'VERI_A'!$B553=0),"TARIH_BOS",IF(LEN(TRIM('VERI_A'!$C553&amp;""))&lt;&gt;dbe_vknUzunluk,"VKN_UZUNLUK",IF('VERI_A'!$G553&lt;0,"TUTAR_NEGATIF",IF('VERI_A'!$I553="","DONEM_EKSIK",""))))</f>
        <v/>
      </c>
      <c r="D553" s="16">
        <f>IF($C553="","",IF($C553="TARIH_BOS","Belge tarihi zorunlu",IF($C553="VKN_UZUNLUK","VKN 10 hane olmalı",IF($C553="TUTAR_NEGATIF","Toplam negatif olamaz",IF($C553="DONEM_EKSIK","Dönem zorunlu","Elle incele"))))</f>
        <v/>
      </c>
      <c r="E553" s="16">
        <f>IF($C553="","",IF(OR($C553="TUTAR_NEGATIF",$C553="TARIH_BOS"),"YUKSEK","ORTA"))</f>
        <v/>
      </c>
      <c r="F553" s="16">
        <f>IF($C553="","",IF(OR($C553="TARIH_BOS",$C553="VKN_UZUNLUK",$C553="TUTAR_NEGATIF",$C553="DONEM_EKSIK"),$C553,"TANIMSIZ"))</f>
        <v/>
      </c>
      <c r="G553" s="16">
        <f>IF($C553="","",1)</f>
        <v/>
      </c>
    </row>
    <row r="554">
      <c r="A554" s="16">
        <f>IF('VERI_A'!$A554="","",ROW()-ROW(tblVeriA[[#Headers]]))</f>
        <v/>
      </c>
      <c r="B554" s="23">
        <f>IF('VERI_A'!$A554="","",'VERI_A'!$A554)</f>
        <v/>
      </c>
      <c r="C554" s="16">
        <f>IF($B554="","",IF(OR('VERI_A'!$B554="",'VERI_A'!$B554=0),"TARIH_BOS",IF(LEN(TRIM('VERI_A'!$C554&amp;""))&lt;&gt;dbe_vknUzunluk,"VKN_UZUNLUK",IF('VERI_A'!$G554&lt;0,"TUTAR_NEGATIF",IF('VERI_A'!$I554="","DONEM_EKSIK",""))))</f>
        <v/>
      </c>
      <c r="D554" s="16">
        <f>IF($C554="","",IF($C554="TARIH_BOS","Belge tarihi zorunlu",IF($C554="VKN_UZUNLUK","VKN 10 hane olmalı",IF($C554="TUTAR_NEGATIF","Toplam negatif olamaz",IF($C554="DONEM_EKSIK","Dönem zorunlu","Elle incele"))))</f>
        <v/>
      </c>
      <c r="E554" s="16">
        <f>IF($C554="","",IF(OR($C554="TUTAR_NEGATIF",$C554="TARIH_BOS"),"YUKSEK","ORTA"))</f>
        <v/>
      </c>
      <c r="F554" s="16">
        <f>IF($C554="","",IF(OR($C554="TARIH_BOS",$C554="VKN_UZUNLUK",$C554="TUTAR_NEGATIF",$C554="DONEM_EKSIK"),$C554,"TANIMSIZ"))</f>
        <v/>
      </c>
      <c r="G554" s="16">
        <f>IF($C554="","",1)</f>
        <v/>
      </c>
    </row>
    <row r="555">
      <c r="A555" s="16">
        <f>IF('VERI_A'!$A555="","",ROW()-ROW(tblVeriA[[#Headers]]))</f>
        <v/>
      </c>
      <c r="B555" s="23">
        <f>IF('VERI_A'!$A555="","",'VERI_A'!$A555)</f>
        <v/>
      </c>
      <c r="C555" s="16">
        <f>IF($B555="","",IF(OR('VERI_A'!$B555="",'VERI_A'!$B555=0),"TARIH_BOS",IF(LEN(TRIM('VERI_A'!$C555&amp;""))&lt;&gt;dbe_vknUzunluk,"VKN_UZUNLUK",IF('VERI_A'!$G555&lt;0,"TUTAR_NEGATIF",IF('VERI_A'!$I555="","DONEM_EKSIK",""))))</f>
        <v/>
      </c>
      <c r="D555" s="16">
        <f>IF($C555="","",IF($C555="TARIH_BOS","Belge tarihi zorunlu",IF($C555="VKN_UZUNLUK","VKN 10 hane olmalı",IF($C555="TUTAR_NEGATIF","Toplam negatif olamaz",IF($C555="DONEM_EKSIK","Dönem zorunlu","Elle incele"))))</f>
        <v/>
      </c>
      <c r="E555" s="16">
        <f>IF($C555="","",IF(OR($C555="TUTAR_NEGATIF",$C555="TARIH_BOS"),"YUKSEK","ORTA"))</f>
        <v/>
      </c>
      <c r="F555" s="16">
        <f>IF($C555="","",IF(OR($C555="TARIH_BOS",$C555="VKN_UZUNLUK",$C555="TUTAR_NEGATIF",$C555="DONEM_EKSIK"),$C555,"TANIMSIZ"))</f>
        <v/>
      </c>
      <c r="G555" s="16">
        <f>IF($C555="","",1)</f>
        <v/>
      </c>
    </row>
    <row r="556">
      <c r="A556" s="16">
        <f>IF('VERI_A'!$A556="","",ROW()-ROW(tblVeriA[[#Headers]]))</f>
        <v/>
      </c>
      <c r="B556" s="23">
        <f>IF('VERI_A'!$A556="","",'VERI_A'!$A556)</f>
        <v/>
      </c>
      <c r="C556" s="16">
        <f>IF($B556="","",IF(OR('VERI_A'!$B556="",'VERI_A'!$B556=0),"TARIH_BOS",IF(LEN(TRIM('VERI_A'!$C556&amp;""))&lt;&gt;dbe_vknUzunluk,"VKN_UZUNLUK",IF('VERI_A'!$G556&lt;0,"TUTAR_NEGATIF",IF('VERI_A'!$I556="","DONEM_EKSIK",""))))</f>
        <v/>
      </c>
      <c r="D556" s="16">
        <f>IF($C556="","",IF($C556="TARIH_BOS","Belge tarihi zorunlu",IF($C556="VKN_UZUNLUK","VKN 10 hane olmalı",IF($C556="TUTAR_NEGATIF","Toplam negatif olamaz",IF($C556="DONEM_EKSIK","Dönem zorunlu","Elle incele"))))</f>
        <v/>
      </c>
      <c r="E556" s="16">
        <f>IF($C556="","",IF(OR($C556="TUTAR_NEGATIF",$C556="TARIH_BOS"),"YUKSEK","ORTA"))</f>
        <v/>
      </c>
      <c r="F556" s="16">
        <f>IF($C556="","",IF(OR($C556="TARIH_BOS",$C556="VKN_UZUNLUK",$C556="TUTAR_NEGATIF",$C556="DONEM_EKSIK"),$C556,"TANIMSIZ"))</f>
        <v/>
      </c>
      <c r="G556" s="16">
        <f>IF($C556="","",1)</f>
        <v/>
      </c>
    </row>
    <row r="557">
      <c r="A557" s="16">
        <f>IF('VERI_A'!$A557="","",ROW()-ROW(tblVeriA[[#Headers]]))</f>
        <v/>
      </c>
      <c r="B557" s="23">
        <f>IF('VERI_A'!$A557="","",'VERI_A'!$A557)</f>
        <v/>
      </c>
      <c r="C557" s="16">
        <f>IF($B557="","",IF(OR('VERI_A'!$B557="",'VERI_A'!$B557=0),"TARIH_BOS",IF(LEN(TRIM('VERI_A'!$C557&amp;""))&lt;&gt;dbe_vknUzunluk,"VKN_UZUNLUK",IF('VERI_A'!$G557&lt;0,"TUTAR_NEGATIF",IF('VERI_A'!$I557="","DONEM_EKSIK",""))))</f>
        <v/>
      </c>
      <c r="D557" s="16">
        <f>IF($C557="","",IF($C557="TARIH_BOS","Belge tarihi zorunlu",IF($C557="VKN_UZUNLUK","VKN 10 hane olmalı",IF($C557="TUTAR_NEGATIF","Toplam negatif olamaz",IF($C557="DONEM_EKSIK","Dönem zorunlu","Elle incele"))))</f>
        <v/>
      </c>
      <c r="E557" s="16">
        <f>IF($C557="","",IF(OR($C557="TUTAR_NEGATIF",$C557="TARIH_BOS"),"YUKSEK","ORTA"))</f>
        <v/>
      </c>
      <c r="F557" s="16">
        <f>IF($C557="","",IF(OR($C557="TARIH_BOS",$C557="VKN_UZUNLUK",$C557="TUTAR_NEGATIF",$C557="DONEM_EKSIK"),$C557,"TANIMSIZ"))</f>
        <v/>
      </c>
      <c r="G557" s="16">
        <f>IF($C557="","",1)</f>
        <v/>
      </c>
    </row>
    <row r="558">
      <c r="A558" s="16">
        <f>IF('VERI_A'!$A558="","",ROW()-ROW(tblVeriA[[#Headers]]))</f>
        <v/>
      </c>
      <c r="B558" s="23">
        <f>IF('VERI_A'!$A558="","",'VERI_A'!$A558)</f>
        <v/>
      </c>
      <c r="C558" s="16">
        <f>IF($B558="","",IF(OR('VERI_A'!$B558="",'VERI_A'!$B558=0),"TARIH_BOS",IF(LEN(TRIM('VERI_A'!$C558&amp;""))&lt;&gt;dbe_vknUzunluk,"VKN_UZUNLUK",IF('VERI_A'!$G558&lt;0,"TUTAR_NEGATIF",IF('VERI_A'!$I558="","DONEM_EKSIK",""))))</f>
        <v/>
      </c>
      <c r="D558" s="16">
        <f>IF($C558="","",IF($C558="TARIH_BOS","Belge tarihi zorunlu",IF($C558="VKN_UZUNLUK","VKN 10 hane olmalı",IF($C558="TUTAR_NEGATIF","Toplam negatif olamaz",IF($C558="DONEM_EKSIK","Dönem zorunlu","Elle incele"))))</f>
        <v/>
      </c>
      <c r="E558" s="16">
        <f>IF($C558="","",IF(OR($C558="TUTAR_NEGATIF",$C558="TARIH_BOS"),"YUKSEK","ORTA"))</f>
        <v/>
      </c>
      <c r="F558" s="16">
        <f>IF($C558="","",IF(OR($C558="TARIH_BOS",$C558="VKN_UZUNLUK",$C558="TUTAR_NEGATIF",$C558="DONEM_EKSIK"),$C558,"TANIMSIZ"))</f>
        <v/>
      </c>
      <c r="G558" s="16">
        <f>IF($C558="","",1)</f>
        <v/>
      </c>
    </row>
    <row r="559">
      <c r="A559" s="16">
        <f>IF('VERI_A'!$A559="","",ROW()-ROW(tblVeriA[[#Headers]]))</f>
        <v/>
      </c>
      <c r="B559" s="23">
        <f>IF('VERI_A'!$A559="","",'VERI_A'!$A559)</f>
        <v/>
      </c>
      <c r="C559" s="16">
        <f>IF($B559="","",IF(OR('VERI_A'!$B559="",'VERI_A'!$B559=0),"TARIH_BOS",IF(LEN(TRIM('VERI_A'!$C559&amp;""))&lt;&gt;dbe_vknUzunluk,"VKN_UZUNLUK",IF('VERI_A'!$G559&lt;0,"TUTAR_NEGATIF",IF('VERI_A'!$I559="","DONEM_EKSIK",""))))</f>
        <v/>
      </c>
      <c r="D559" s="16">
        <f>IF($C559="","",IF($C559="TARIH_BOS","Belge tarihi zorunlu",IF($C559="VKN_UZUNLUK","VKN 10 hane olmalı",IF($C559="TUTAR_NEGATIF","Toplam negatif olamaz",IF($C559="DONEM_EKSIK","Dönem zorunlu","Elle incele"))))</f>
        <v/>
      </c>
      <c r="E559" s="16">
        <f>IF($C559="","",IF(OR($C559="TUTAR_NEGATIF",$C559="TARIH_BOS"),"YUKSEK","ORTA"))</f>
        <v/>
      </c>
      <c r="F559" s="16">
        <f>IF($C559="","",IF(OR($C559="TARIH_BOS",$C559="VKN_UZUNLUK",$C559="TUTAR_NEGATIF",$C559="DONEM_EKSIK"),$C559,"TANIMSIZ"))</f>
        <v/>
      </c>
      <c r="G559" s="16">
        <f>IF($C559="","",1)</f>
        <v/>
      </c>
    </row>
    <row r="560">
      <c r="A560" s="16">
        <f>IF('VERI_A'!$A560="","",ROW()-ROW(tblVeriA[[#Headers]]))</f>
        <v/>
      </c>
      <c r="B560" s="23">
        <f>IF('VERI_A'!$A560="","",'VERI_A'!$A560)</f>
        <v/>
      </c>
      <c r="C560" s="16">
        <f>IF($B560="","",IF(OR('VERI_A'!$B560="",'VERI_A'!$B560=0),"TARIH_BOS",IF(LEN(TRIM('VERI_A'!$C560&amp;""))&lt;&gt;dbe_vknUzunluk,"VKN_UZUNLUK",IF('VERI_A'!$G560&lt;0,"TUTAR_NEGATIF",IF('VERI_A'!$I560="","DONEM_EKSIK",""))))</f>
        <v/>
      </c>
      <c r="D560" s="16">
        <f>IF($C560="","",IF($C560="TARIH_BOS","Belge tarihi zorunlu",IF($C560="VKN_UZUNLUK","VKN 10 hane olmalı",IF($C560="TUTAR_NEGATIF","Toplam negatif olamaz",IF($C560="DONEM_EKSIK","Dönem zorunlu","Elle incele"))))</f>
        <v/>
      </c>
      <c r="E560" s="16">
        <f>IF($C560="","",IF(OR($C560="TUTAR_NEGATIF",$C560="TARIH_BOS"),"YUKSEK","ORTA"))</f>
        <v/>
      </c>
      <c r="F560" s="16">
        <f>IF($C560="","",IF(OR($C560="TARIH_BOS",$C560="VKN_UZUNLUK",$C560="TUTAR_NEGATIF",$C560="DONEM_EKSIK"),$C560,"TANIMSIZ"))</f>
        <v/>
      </c>
      <c r="G560" s="16">
        <f>IF($C560="","",1)</f>
        <v/>
      </c>
    </row>
    <row r="561">
      <c r="A561" s="16">
        <f>IF('VERI_A'!$A561="","",ROW()-ROW(tblVeriA[[#Headers]]))</f>
        <v/>
      </c>
      <c r="B561" s="23">
        <f>IF('VERI_A'!$A561="","",'VERI_A'!$A561)</f>
        <v/>
      </c>
      <c r="C561" s="16">
        <f>IF($B561="","",IF(OR('VERI_A'!$B561="",'VERI_A'!$B561=0),"TARIH_BOS",IF(LEN(TRIM('VERI_A'!$C561&amp;""))&lt;&gt;dbe_vknUzunluk,"VKN_UZUNLUK",IF('VERI_A'!$G561&lt;0,"TUTAR_NEGATIF",IF('VERI_A'!$I561="","DONEM_EKSIK",""))))</f>
        <v/>
      </c>
      <c r="D561" s="16">
        <f>IF($C561="","",IF($C561="TARIH_BOS","Belge tarihi zorunlu",IF($C561="VKN_UZUNLUK","VKN 10 hane olmalı",IF($C561="TUTAR_NEGATIF","Toplam negatif olamaz",IF($C561="DONEM_EKSIK","Dönem zorunlu","Elle incele"))))</f>
        <v/>
      </c>
      <c r="E561" s="16">
        <f>IF($C561="","",IF(OR($C561="TUTAR_NEGATIF",$C561="TARIH_BOS"),"YUKSEK","ORTA"))</f>
        <v/>
      </c>
      <c r="F561" s="16">
        <f>IF($C561="","",IF(OR($C561="TARIH_BOS",$C561="VKN_UZUNLUK",$C561="TUTAR_NEGATIF",$C561="DONEM_EKSIK"),$C561,"TANIMSIZ"))</f>
        <v/>
      </c>
      <c r="G561" s="16">
        <f>IF($C561="","",1)</f>
        <v/>
      </c>
    </row>
    <row r="562">
      <c r="A562" s="16">
        <f>IF('VERI_A'!$A562="","",ROW()-ROW(tblVeriA[[#Headers]]))</f>
        <v/>
      </c>
      <c r="B562" s="23">
        <f>IF('VERI_A'!$A562="","",'VERI_A'!$A562)</f>
        <v/>
      </c>
      <c r="C562" s="16">
        <f>IF($B562="","",IF(OR('VERI_A'!$B562="",'VERI_A'!$B562=0),"TARIH_BOS",IF(LEN(TRIM('VERI_A'!$C562&amp;""))&lt;&gt;dbe_vknUzunluk,"VKN_UZUNLUK",IF('VERI_A'!$G562&lt;0,"TUTAR_NEGATIF",IF('VERI_A'!$I562="","DONEM_EKSIK",""))))</f>
        <v/>
      </c>
      <c r="D562" s="16">
        <f>IF($C562="","",IF($C562="TARIH_BOS","Belge tarihi zorunlu",IF($C562="VKN_UZUNLUK","VKN 10 hane olmalı",IF($C562="TUTAR_NEGATIF","Toplam negatif olamaz",IF($C562="DONEM_EKSIK","Dönem zorunlu","Elle incele"))))</f>
        <v/>
      </c>
      <c r="E562" s="16">
        <f>IF($C562="","",IF(OR($C562="TUTAR_NEGATIF",$C562="TARIH_BOS"),"YUKSEK","ORTA"))</f>
        <v/>
      </c>
      <c r="F562" s="16">
        <f>IF($C562="","",IF(OR($C562="TARIH_BOS",$C562="VKN_UZUNLUK",$C562="TUTAR_NEGATIF",$C562="DONEM_EKSIK"),$C562,"TANIMSIZ"))</f>
        <v/>
      </c>
      <c r="G562" s="16">
        <f>IF($C562="","",1)</f>
        <v/>
      </c>
    </row>
    <row r="563">
      <c r="A563" s="16">
        <f>IF('VERI_A'!$A563="","",ROW()-ROW(tblVeriA[[#Headers]]))</f>
        <v/>
      </c>
      <c r="B563" s="23">
        <f>IF('VERI_A'!$A563="","",'VERI_A'!$A563)</f>
        <v/>
      </c>
      <c r="C563" s="16">
        <f>IF($B563="","",IF(OR('VERI_A'!$B563="",'VERI_A'!$B563=0),"TARIH_BOS",IF(LEN(TRIM('VERI_A'!$C563&amp;""))&lt;&gt;dbe_vknUzunluk,"VKN_UZUNLUK",IF('VERI_A'!$G563&lt;0,"TUTAR_NEGATIF",IF('VERI_A'!$I563="","DONEM_EKSIK",""))))</f>
        <v/>
      </c>
      <c r="D563" s="16">
        <f>IF($C563="","",IF($C563="TARIH_BOS","Belge tarihi zorunlu",IF($C563="VKN_UZUNLUK","VKN 10 hane olmalı",IF($C563="TUTAR_NEGATIF","Toplam negatif olamaz",IF($C563="DONEM_EKSIK","Dönem zorunlu","Elle incele"))))</f>
        <v/>
      </c>
      <c r="E563" s="16">
        <f>IF($C563="","",IF(OR($C563="TUTAR_NEGATIF",$C563="TARIH_BOS"),"YUKSEK","ORTA"))</f>
        <v/>
      </c>
      <c r="F563" s="16">
        <f>IF($C563="","",IF(OR($C563="TARIH_BOS",$C563="VKN_UZUNLUK",$C563="TUTAR_NEGATIF",$C563="DONEM_EKSIK"),$C563,"TANIMSIZ"))</f>
        <v/>
      </c>
      <c r="G563" s="16">
        <f>IF($C563="","",1)</f>
        <v/>
      </c>
    </row>
    <row r="564">
      <c r="A564" s="16">
        <f>IF('VERI_A'!$A564="","",ROW()-ROW(tblVeriA[[#Headers]]))</f>
        <v/>
      </c>
      <c r="B564" s="23">
        <f>IF('VERI_A'!$A564="","",'VERI_A'!$A564)</f>
        <v/>
      </c>
      <c r="C564" s="16">
        <f>IF($B564="","",IF(OR('VERI_A'!$B564="",'VERI_A'!$B564=0),"TARIH_BOS",IF(LEN(TRIM('VERI_A'!$C564&amp;""))&lt;&gt;dbe_vknUzunluk,"VKN_UZUNLUK",IF('VERI_A'!$G564&lt;0,"TUTAR_NEGATIF",IF('VERI_A'!$I564="","DONEM_EKSIK",""))))</f>
        <v/>
      </c>
      <c r="D564" s="16">
        <f>IF($C564="","",IF($C564="TARIH_BOS","Belge tarihi zorunlu",IF($C564="VKN_UZUNLUK","VKN 10 hane olmalı",IF($C564="TUTAR_NEGATIF","Toplam negatif olamaz",IF($C564="DONEM_EKSIK","Dönem zorunlu","Elle incele"))))</f>
        <v/>
      </c>
      <c r="E564" s="16">
        <f>IF($C564="","",IF(OR($C564="TUTAR_NEGATIF",$C564="TARIH_BOS"),"YUKSEK","ORTA"))</f>
        <v/>
      </c>
      <c r="F564" s="16">
        <f>IF($C564="","",IF(OR($C564="TARIH_BOS",$C564="VKN_UZUNLUK",$C564="TUTAR_NEGATIF",$C564="DONEM_EKSIK"),$C564,"TANIMSIZ"))</f>
        <v/>
      </c>
      <c r="G564" s="16">
        <f>IF($C564="","",1)</f>
        <v/>
      </c>
    </row>
    <row r="565">
      <c r="A565" s="16">
        <f>IF('VERI_A'!$A565="","",ROW()-ROW(tblVeriA[[#Headers]]))</f>
        <v/>
      </c>
      <c r="B565" s="23">
        <f>IF('VERI_A'!$A565="","",'VERI_A'!$A565)</f>
        <v/>
      </c>
      <c r="C565" s="16">
        <f>IF($B565="","",IF(OR('VERI_A'!$B565="",'VERI_A'!$B565=0),"TARIH_BOS",IF(LEN(TRIM('VERI_A'!$C565&amp;""))&lt;&gt;dbe_vknUzunluk,"VKN_UZUNLUK",IF('VERI_A'!$G565&lt;0,"TUTAR_NEGATIF",IF('VERI_A'!$I565="","DONEM_EKSIK",""))))</f>
        <v/>
      </c>
      <c r="D565" s="16">
        <f>IF($C565="","",IF($C565="TARIH_BOS","Belge tarihi zorunlu",IF($C565="VKN_UZUNLUK","VKN 10 hane olmalı",IF($C565="TUTAR_NEGATIF","Toplam negatif olamaz",IF($C565="DONEM_EKSIK","Dönem zorunlu","Elle incele"))))</f>
        <v/>
      </c>
      <c r="E565" s="16">
        <f>IF($C565="","",IF(OR($C565="TUTAR_NEGATIF",$C565="TARIH_BOS"),"YUKSEK","ORTA"))</f>
        <v/>
      </c>
      <c r="F565" s="16">
        <f>IF($C565="","",IF(OR($C565="TARIH_BOS",$C565="VKN_UZUNLUK",$C565="TUTAR_NEGATIF",$C565="DONEM_EKSIK"),$C565,"TANIMSIZ"))</f>
        <v/>
      </c>
      <c r="G565" s="16">
        <f>IF($C565="","",1)</f>
        <v/>
      </c>
    </row>
    <row r="566">
      <c r="A566" s="16">
        <f>IF('VERI_A'!$A566="","",ROW()-ROW(tblVeriA[[#Headers]]))</f>
        <v/>
      </c>
      <c r="B566" s="23">
        <f>IF('VERI_A'!$A566="","",'VERI_A'!$A566)</f>
        <v/>
      </c>
      <c r="C566" s="16">
        <f>IF($B566="","",IF(OR('VERI_A'!$B566="",'VERI_A'!$B566=0),"TARIH_BOS",IF(LEN(TRIM('VERI_A'!$C566&amp;""))&lt;&gt;dbe_vknUzunluk,"VKN_UZUNLUK",IF('VERI_A'!$G566&lt;0,"TUTAR_NEGATIF",IF('VERI_A'!$I566="","DONEM_EKSIK",""))))</f>
        <v/>
      </c>
      <c r="D566" s="16">
        <f>IF($C566="","",IF($C566="TARIH_BOS","Belge tarihi zorunlu",IF($C566="VKN_UZUNLUK","VKN 10 hane olmalı",IF($C566="TUTAR_NEGATIF","Toplam negatif olamaz",IF($C566="DONEM_EKSIK","Dönem zorunlu","Elle incele"))))</f>
        <v/>
      </c>
      <c r="E566" s="16">
        <f>IF($C566="","",IF(OR($C566="TUTAR_NEGATIF",$C566="TARIH_BOS"),"YUKSEK","ORTA"))</f>
        <v/>
      </c>
      <c r="F566" s="16">
        <f>IF($C566="","",IF(OR($C566="TARIH_BOS",$C566="VKN_UZUNLUK",$C566="TUTAR_NEGATIF",$C566="DONEM_EKSIK"),$C566,"TANIMSIZ"))</f>
        <v/>
      </c>
      <c r="G566" s="16">
        <f>IF($C566="","",1)</f>
        <v/>
      </c>
    </row>
    <row r="567">
      <c r="A567" s="16">
        <f>IF('VERI_A'!$A567="","",ROW()-ROW(tblVeriA[[#Headers]]))</f>
        <v/>
      </c>
      <c r="B567" s="23">
        <f>IF('VERI_A'!$A567="","",'VERI_A'!$A567)</f>
        <v/>
      </c>
      <c r="C567" s="16">
        <f>IF($B567="","",IF(OR('VERI_A'!$B567="",'VERI_A'!$B567=0),"TARIH_BOS",IF(LEN(TRIM('VERI_A'!$C567&amp;""))&lt;&gt;dbe_vknUzunluk,"VKN_UZUNLUK",IF('VERI_A'!$G567&lt;0,"TUTAR_NEGATIF",IF('VERI_A'!$I567="","DONEM_EKSIK",""))))</f>
        <v/>
      </c>
      <c r="D567" s="16">
        <f>IF($C567="","",IF($C567="TARIH_BOS","Belge tarihi zorunlu",IF($C567="VKN_UZUNLUK","VKN 10 hane olmalı",IF($C567="TUTAR_NEGATIF","Toplam negatif olamaz",IF($C567="DONEM_EKSIK","Dönem zorunlu","Elle incele"))))</f>
        <v/>
      </c>
      <c r="E567" s="16">
        <f>IF($C567="","",IF(OR($C567="TUTAR_NEGATIF",$C567="TARIH_BOS"),"YUKSEK","ORTA"))</f>
        <v/>
      </c>
      <c r="F567" s="16">
        <f>IF($C567="","",IF(OR($C567="TARIH_BOS",$C567="VKN_UZUNLUK",$C567="TUTAR_NEGATIF",$C567="DONEM_EKSIK"),$C567,"TANIMSIZ"))</f>
        <v/>
      </c>
      <c r="G567" s="16">
        <f>IF($C567="","",1)</f>
        <v/>
      </c>
    </row>
    <row r="568">
      <c r="A568" s="16">
        <f>IF('VERI_A'!$A568="","",ROW()-ROW(tblVeriA[[#Headers]]))</f>
        <v/>
      </c>
      <c r="B568" s="23">
        <f>IF('VERI_A'!$A568="","",'VERI_A'!$A568)</f>
        <v/>
      </c>
      <c r="C568" s="16">
        <f>IF($B568="","",IF(OR('VERI_A'!$B568="",'VERI_A'!$B568=0),"TARIH_BOS",IF(LEN(TRIM('VERI_A'!$C568&amp;""))&lt;&gt;dbe_vknUzunluk,"VKN_UZUNLUK",IF('VERI_A'!$G568&lt;0,"TUTAR_NEGATIF",IF('VERI_A'!$I568="","DONEM_EKSIK",""))))</f>
        <v/>
      </c>
      <c r="D568" s="16">
        <f>IF($C568="","",IF($C568="TARIH_BOS","Belge tarihi zorunlu",IF($C568="VKN_UZUNLUK","VKN 10 hane olmalı",IF($C568="TUTAR_NEGATIF","Toplam negatif olamaz",IF($C568="DONEM_EKSIK","Dönem zorunlu","Elle incele"))))</f>
        <v/>
      </c>
      <c r="E568" s="16">
        <f>IF($C568="","",IF(OR($C568="TUTAR_NEGATIF",$C568="TARIH_BOS"),"YUKSEK","ORTA"))</f>
        <v/>
      </c>
      <c r="F568" s="16">
        <f>IF($C568="","",IF(OR($C568="TARIH_BOS",$C568="VKN_UZUNLUK",$C568="TUTAR_NEGATIF",$C568="DONEM_EKSIK"),$C568,"TANIMSIZ"))</f>
        <v/>
      </c>
      <c r="G568" s="16">
        <f>IF($C568="","",1)</f>
        <v/>
      </c>
    </row>
    <row r="569">
      <c r="A569" s="16">
        <f>IF('VERI_A'!$A569="","",ROW()-ROW(tblVeriA[[#Headers]]))</f>
        <v/>
      </c>
      <c r="B569" s="23">
        <f>IF('VERI_A'!$A569="","",'VERI_A'!$A569)</f>
        <v/>
      </c>
      <c r="C569" s="16">
        <f>IF($B569="","",IF(OR('VERI_A'!$B569="",'VERI_A'!$B569=0),"TARIH_BOS",IF(LEN(TRIM('VERI_A'!$C569&amp;""))&lt;&gt;dbe_vknUzunluk,"VKN_UZUNLUK",IF('VERI_A'!$G569&lt;0,"TUTAR_NEGATIF",IF('VERI_A'!$I569="","DONEM_EKSIK",""))))</f>
        <v/>
      </c>
      <c r="D569" s="16">
        <f>IF($C569="","",IF($C569="TARIH_BOS","Belge tarihi zorunlu",IF($C569="VKN_UZUNLUK","VKN 10 hane olmalı",IF($C569="TUTAR_NEGATIF","Toplam negatif olamaz",IF($C569="DONEM_EKSIK","Dönem zorunlu","Elle incele"))))</f>
        <v/>
      </c>
      <c r="E569" s="16">
        <f>IF($C569="","",IF(OR($C569="TUTAR_NEGATIF",$C569="TARIH_BOS"),"YUKSEK","ORTA"))</f>
        <v/>
      </c>
      <c r="F569" s="16">
        <f>IF($C569="","",IF(OR($C569="TARIH_BOS",$C569="VKN_UZUNLUK",$C569="TUTAR_NEGATIF",$C569="DONEM_EKSIK"),$C569,"TANIMSIZ"))</f>
        <v/>
      </c>
      <c r="G569" s="16">
        <f>IF($C569="","",1)</f>
        <v/>
      </c>
    </row>
    <row r="570">
      <c r="A570" s="16">
        <f>IF('VERI_A'!$A570="","",ROW()-ROW(tblVeriA[[#Headers]]))</f>
        <v/>
      </c>
      <c r="B570" s="23">
        <f>IF('VERI_A'!$A570="","",'VERI_A'!$A570)</f>
        <v/>
      </c>
      <c r="C570" s="16">
        <f>IF($B570="","",IF(OR('VERI_A'!$B570="",'VERI_A'!$B570=0),"TARIH_BOS",IF(LEN(TRIM('VERI_A'!$C570&amp;""))&lt;&gt;dbe_vknUzunluk,"VKN_UZUNLUK",IF('VERI_A'!$G570&lt;0,"TUTAR_NEGATIF",IF('VERI_A'!$I570="","DONEM_EKSIK",""))))</f>
        <v/>
      </c>
      <c r="D570" s="16">
        <f>IF($C570="","",IF($C570="TARIH_BOS","Belge tarihi zorunlu",IF($C570="VKN_UZUNLUK","VKN 10 hane olmalı",IF($C570="TUTAR_NEGATIF","Toplam negatif olamaz",IF($C570="DONEM_EKSIK","Dönem zorunlu","Elle incele"))))</f>
        <v/>
      </c>
      <c r="E570" s="16">
        <f>IF($C570="","",IF(OR($C570="TUTAR_NEGATIF",$C570="TARIH_BOS"),"YUKSEK","ORTA"))</f>
        <v/>
      </c>
      <c r="F570" s="16">
        <f>IF($C570="","",IF(OR($C570="TARIH_BOS",$C570="VKN_UZUNLUK",$C570="TUTAR_NEGATIF",$C570="DONEM_EKSIK"),$C570,"TANIMSIZ"))</f>
        <v/>
      </c>
      <c r="G570" s="16">
        <f>IF($C570="","",1)</f>
        <v/>
      </c>
    </row>
    <row r="571">
      <c r="A571" s="16">
        <f>IF('VERI_A'!$A571="","",ROW()-ROW(tblVeriA[[#Headers]]))</f>
        <v/>
      </c>
      <c r="B571" s="23">
        <f>IF('VERI_A'!$A571="","",'VERI_A'!$A571)</f>
        <v/>
      </c>
      <c r="C571" s="16">
        <f>IF($B571="","",IF(OR('VERI_A'!$B571="",'VERI_A'!$B571=0),"TARIH_BOS",IF(LEN(TRIM('VERI_A'!$C571&amp;""))&lt;&gt;dbe_vknUzunluk,"VKN_UZUNLUK",IF('VERI_A'!$G571&lt;0,"TUTAR_NEGATIF",IF('VERI_A'!$I571="","DONEM_EKSIK",""))))</f>
        <v/>
      </c>
      <c r="D571" s="16">
        <f>IF($C571="","",IF($C571="TARIH_BOS","Belge tarihi zorunlu",IF($C571="VKN_UZUNLUK","VKN 10 hane olmalı",IF($C571="TUTAR_NEGATIF","Toplam negatif olamaz",IF($C571="DONEM_EKSIK","Dönem zorunlu","Elle incele"))))</f>
        <v/>
      </c>
      <c r="E571" s="16">
        <f>IF($C571="","",IF(OR($C571="TUTAR_NEGATIF",$C571="TARIH_BOS"),"YUKSEK","ORTA"))</f>
        <v/>
      </c>
      <c r="F571" s="16">
        <f>IF($C571="","",IF(OR($C571="TARIH_BOS",$C571="VKN_UZUNLUK",$C571="TUTAR_NEGATIF",$C571="DONEM_EKSIK"),$C571,"TANIMSIZ"))</f>
        <v/>
      </c>
      <c r="G571" s="16">
        <f>IF($C571="","",1)</f>
        <v/>
      </c>
    </row>
    <row r="572">
      <c r="A572" s="16">
        <f>IF('VERI_A'!$A572="","",ROW()-ROW(tblVeriA[[#Headers]]))</f>
        <v/>
      </c>
      <c r="B572" s="23">
        <f>IF('VERI_A'!$A572="","",'VERI_A'!$A572)</f>
        <v/>
      </c>
      <c r="C572" s="16">
        <f>IF($B572="","",IF(OR('VERI_A'!$B572="",'VERI_A'!$B572=0),"TARIH_BOS",IF(LEN(TRIM('VERI_A'!$C572&amp;""))&lt;&gt;dbe_vknUzunluk,"VKN_UZUNLUK",IF('VERI_A'!$G572&lt;0,"TUTAR_NEGATIF",IF('VERI_A'!$I572="","DONEM_EKSIK",""))))</f>
        <v/>
      </c>
      <c r="D572" s="16">
        <f>IF($C572="","",IF($C572="TARIH_BOS","Belge tarihi zorunlu",IF($C572="VKN_UZUNLUK","VKN 10 hane olmalı",IF($C572="TUTAR_NEGATIF","Toplam negatif olamaz",IF($C572="DONEM_EKSIK","Dönem zorunlu","Elle incele"))))</f>
        <v/>
      </c>
      <c r="E572" s="16">
        <f>IF($C572="","",IF(OR($C572="TUTAR_NEGATIF",$C572="TARIH_BOS"),"YUKSEK","ORTA"))</f>
        <v/>
      </c>
      <c r="F572" s="16">
        <f>IF($C572="","",IF(OR($C572="TARIH_BOS",$C572="VKN_UZUNLUK",$C572="TUTAR_NEGATIF",$C572="DONEM_EKSIK"),$C572,"TANIMSIZ"))</f>
        <v/>
      </c>
      <c r="G572" s="16">
        <f>IF($C572="","",1)</f>
        <v/>
      </c>
    </row>
    <row r="573">
      <c r="A573" s="16">
        <f>IF('VERI_A'!$A573="","",ROW()-ROW(tblVeriA[[#Headers]]))</f>
        <v/>
      </c>
      <c r="B573" s="23">
        <f>IF('VERI_A'!$A573="","",'VERI_A'!$A573)</f>
        <v/>
      </c>
      <c r="C573" s="16">
        <f>IF($B573="","",IF(OR('VERI_A'!$B573="",'VERI_A'!$B573=0),"TARIH_BOS",IF(LEN(TRIM('VERI_A'!$C573&amp;""))&lt;&gt;dbe_vknUzunluk,"VKN_UZUNLUK",IF('VERI_A'!$G573&lt;0,"TUTAR_NEGATIF",IF('VERI_A'!$I573="","DONEM_EKSIK",""))))</f>
        <v/>
      </c>
      <c r="D573" s="16">
        <f>IF($C573="","",IF($C573="TARIH_BOS","Belge tarihi zorunlu",IF($C573="VKN_UZUNLUK","VKN 10 hane olmalı",IF($C573="TUTAR_NEGATIF","Toplam negatif olamaz",IF($C573="DONEM_EKSIK","Dönem zorunlu","Elle incele"))))</f>
        <v/>
      </c>
      <c r="E573" s="16">
        <f>IF($C573="","",IF(OR($C573="TUTAR_NEGATIF",$C573="TARIH_BOS"),"YUKSEK","ORTA"))</f>
        <v/>
      </c>
      <c r="F573" s="16">
        <f>IF($C573="","",IF(OR($C573="TARIH_BOS",$C573="VKN_UZUNLUK",$C573="TUTAR_NEGATIF",$C573="DONEM_EKSIK"),$C573,"TANIMSIZ"))</f>
        <v/>
      </c>
      <c r="G573" s="16">
        <f>IF($C573="","",1)</f>
        <v/>
      </c>
    </row>
    <row r="574">
      <c r="A574" s="16">
        <f>IF('VERI_A'!$A574="","",ROW()-ROW(tblVeriA[[#Headers]]))</f>
        <v/>
      </c>
      <c r="B574" s="23">
        <f>IF('VERI_A'!$A574="","",'VERI_A'!$A574)</f>
        <v/>
      </c>
      <c r="C574" s="16">
        <f>IF($B574="","",IF(OR('VERI_A'!$B574="",'VERI_A'!$B574=0),"TARIH_BOS",IF(LEN(TRIM('VERI_A'!$C574&amp;""))&lt;&gt;dbe_vknUzunluk,"VKN_UZUNLUK",IF('VERI_A'!$G574&lt;0,"TUTAR_NEGATIF",IF('VERI_A'!$I574="","DONEM_EKSIK",""))))</f>
        <v/>
      </c>
      <c r="D574" s="16">
        <f>IF($C574="","",IF($C574="TARIH_BOS","Belge tarihi zorunlu",IF($C574="VKN_UZUNLUK","VKN 10 hane olmalı",IF($C574="TUTAR_NEGATIF","Toplam negatif olamaz",IF($C574="DONEM_EKSIK","Dönem zorunlu","Elle incele"))))</f>
        <v/>
      </c>
      <c r="E574" s="16">
        <f>IF($C574="","",IF(OR($C574="TUTAR_NEGATIF",$C574="TARIH_BOS"),"YUKSEK","ORTA"))</f>
        <v/>
      </c>
      <c r="F574" s="16">
        <f>IF($C574="","",IF(OR($C574="TARIH_BOS",$C574="VKN_UZUNLUK",$C574="TUTAR_NEGATIF",$C574="DONEM_EKSIK"),$C574,"TANIMSIZ"))</f>
        <v/>
      </c>
      <c r="G574" s="16">
        <f>IF($C574="","",1)</f>
        <v/>
      </c>
    </row>
    <row r="575">
      <c r="A575" s="16">
        <f>IF('VERI_A'!$A575="","",ROW()-ROW(tblVeriA[[#Headers]]))</f>
        <v/>
      </c>
      <c r="B575" s="23">
        <f>IF('VERI_A'!$A575="","",'VERI_A'!$A575)</f>
        <v/>
      </c>
      <c r="C575" s="16">
        <f>IF($B575="","",IF(OR('VERI_A'!$B575="",'VERI_A'!$B575=0),"TARIH_BOS",IF(LEN(TRIM('VERI_A'!$C575&amp;""))&lt;&gt;dbe_vknUzunluk,"VKN_UZUNLUK",IF('VERI_A'!$G575&lt;0,"TUTAR_NEGATIF",IF('VERI_A'!$I575="","DONEM_EKSIK",""))))</f>
        <v/>
      </c>
      <c r="D575" s="16">
        <f>IF($C575="","",IF($C575="TARIH_BOS","Belge tarihi zorunlu",IF($C575="VKN_UZUNLUK","VKN 10 hane olmalı",IF($C575="TUTAR_NEGATIF","Toplam negatif olamaz",IF($C575="DONEM_EKSIK","Dönem zorunlu","Elle incele"))))</f>
        <v/>
      </c>
      <c r="E575" s="16">
        <f>IF($C575="","",IF(OR($C575="TUTAR_NEGATIF",$C575="TARIH_BOS"),"YUKSEK","ORTA"))</f>
        <v/>
      </c>
      <c r="F575" s="16">
        <f>IF($C575="","",IF(OR($C575="TARIH_BOS",$C575="VKN_UZUNLUK",$C575="TUTAR_NEGATIF",$C575="DONEM_EKSIK"),$C575,"TANIMSIZ"))</f>
        <v/>
      </c>
      <c r="G575" s="16">
        <f>IF($C575="","",1)</f>
        <v/>
      </c>
    </row>
    <row r="576">
      <c r="A576" s="16">
        <f>IF('VERI_A'!$A576="","",ROW()-ROW(tblVeriA[[#Headers]]))</f>
        <v/>
      </c>
      <c r="B576" s="23">
        <f>IF('VERI_A'!$A576="","",'VERI_A'!$A576)</f>
        <v/>
      </c>
      <c r="C576" s="16">
        <f>IF($B576="","",IF(OR('VERI_A'!$B576="",'VERI_A'!$B576=0),"TARIH_BOS",IF(LEN(TRIM('VERI_A'!$C576&amp;""))&lt;&gt;dbe_vknUzunluk,"VKN_UZUNLUK",IF('VERI_A'!$G576&lt;0,"TUTAR_NEGATIF",IF('VERI_A'!$I576="","DONEM_EKSIK",""))))</f>
        <v/>
      </c>
      <c r="D576" s="16">
        <f>IF($C576="","",IF($C576="TARIH_BOS","Belge tarihi zorunlu",IF($C576="VKN_UZUNLUK","VKN 10 hane olmalı",IF($C576="TUTAR_NEGATIF","Toplam negatif olamaz",IF($C576="DONEM_EKSIK","Dönem zorunlu","Elle incele"))))</f>
        <v/>
      </c>
      <c r="E576" s="16">
        <f>IF($C576="","",IF(OR($C576="TUTAR_NEGATIF",$C576="TARIH_BOS"),"YUKSEK","ORTA"))</f>
        <v/>
      </c>
      <c r="F576" s="16">
        <f>IF($C576="","",IF(OR($C576="TARIH_BOS",$C576="VKN_UZUNLUK",$C576="TUTAR_NEGATIF",$C576="DONEM_EKSIK"),$C576,"TANIMSIZ"))</f>
        <v/>
      </c>
      <c r="G576" s="16">
        <f>IF($C576="","",1)</f>
        <v/>
      </c>
    </row>
    <row r="577">
      <c r="A577" s="16">
        <f>IF('VERI_A'!$A577="","",ROW()-ROW(tblVeriA[[#Headers]]))</f>
        <v/>
      </c>
      <c r="B577" s="23">
        <f>IF('VERI_A'!$A577="","",'VERI_A'!$A577)</f>
        <v/>
      </c>
      <c r="C577" s="16">
        <f>IF($B577="","",IF(OR('VERI_A'!$B577="",'VERI_A'!$B577=0),"TARIH_BOS",IF(LEN(TRIM('VERI_A'!$C577&amp;""))&lt;&gt;dbe_vknUzunluk,"VKN_UZUNLUK",IF('VERI_A'!$G577&lt;0,"TUTAR_NEGATIF",IF('VERI_A'!$I577="","DONEM_EKSIK",""))))</f>
        <v/>
      </c>
      <c r="D577" s="16">
        <f>IF($C577="","",IF($C577="TARIH_BOS","Belge tarihi zorunlu",IF($C577="VKN_UZUNLUK","VKN 10 hane olmalı",IF($C577="TUTAR_NEGATIF","Toplam negatif olamaz",IF($C577="DONEM_EKSIK","Dönem zorunlu","Elle incele"))))</f>
        <v/>
      </c>
      <c r="E577" s="16">
        <f>IF($C577="","",IF(OR($C577="TUTAR_NEGATIF",$C577="TARIH_BOS"),"YUKSEK","ORTA"))</f>
        <v/>
      </c>
      <c r="F577" s="16">
        <f>IF($C577="","",IF(OR($C577="TARIH_BOS",$C577="VKN_UZUNLUK",$C577="TUTAR_NEGATIF",$C577="DONEM_EKSIK"),$C577,"TANIMSIZ"))</f>
        <v/>
      </c>
      <c r="G577" s="16">
        <f>IF($C577="","",1)</f>
        <v/>
      </c>
    </row>
    <row r="578">
      <c r="A578" s="16">
        <f>IF('VERI_A'!$A578="","",ROW()-ROW(tblVeriA[[#Headers]]))</f>
        <v/>
      </c>
      <c r="B578" s="23">
        <f>IF('VERI_A'!$A578="","",'VERI_A'!$A578)</f>
        <v/>
      </c>
      <c r="C578" s="16">
        <f>IF($B578="","",IF(OR('VERI_A'!$B578="",'VERI_A'!$B578=0),"TARIH_BOS",IF(LEN(TRIM('VERI_A'!$C578&amp;""))&lt;&gt;dbe_vknUzunluk,"VKN_UZUNLUK",IF('VERI_A'!$G578&lt;0,"TUTAR_NEGATIF",IF('VERI_A'!$I578="","DONEM_EKSIK",""))))</f>
        <v/>
      </c>
      <c r="D578" s="16">
        <f>IF($C578="","",IF($C578="TARIH_BOS","Belge tarihi zorunlu",IF($C578="VKN_UZUNLUK","VKN 10 hane olmalı",IF($C578="TUTAR_NEGATIF","Toplam negatif olamaz",IF($C578="DONEM_EKSIK","Dönem zorunlu","Elle incele"))))</f>
        <v/>
      </c>
      <c r="E578" s="16">
        <f>IF($C578="","",IF(OR($C578="TUTAR_NEGATIF",$C578="TARIH_BOS"),"YUKSEK","ORTA"))</f>
        <v/>
      </c>
      <c r="F578" s="16">
        <f>IF($C578="","",IF(OR($C578="TARIH_BOS",$C578="VKN_UZUNLUK",$C578="TUTAR_NEGATIF",$C578="DONEM_EKSIK"),$C578,"TANIMSIZ"))</f>
        <v/>
      </c>
      <c r="G578" s="16">
        <f>IF($C578="","",1)</f>
        <v/>
      </c>
    </row>
    <row r="579">
      <c r="A579" s="16">
        <f>IF('VERI_A'!$A579="","",ROW()-ROW(tblVeriA[[#Headers]]))</f>
        <v/>
      </c>
      <c r="B579" s="23">
        <f>IF('VERI_A'!$A579="","",'VERI_A'!$A579)</f>
        <v/>
      </c>
      <c r="C579" s="16">
        <f>IF($B579="","",IF(OR('VERI_A'!$B579="",'VERI_A'!$B579=0),"TARIH_BOS",IF(LEN(TRIM('VERI_A'!$C579&amp;""))&lt;&gt;dbe_vknUzunluk,"VKN_UZUNLUK",IF('VERI_A'!$G579&lt;0,"TUTAR_NEGATIF",IF('VERI_A'!$I579="","DONEM_EKSIK",""))))</f>
        <v/>
      </c>
      <c r="D579" s="16">
        <f>IF($C579="","",IF($C579="TARIH_BOS","Belge tarihi zorunlu",IF($C579="VKN_UZUNLUK","VKN 10 hane olmalı",IF($C579="TUTAR_NEGATIF","Toplam negatif olamaz",IF($C579="DONEM_EKSIK","Dönem zorunlu","Elle incele"))))</f>
        <v/>
      </c>
      <c r="E579" s="16">
        <f>IF($C579="","",IF(OR($C579="TUTAR_NEGATIF",$C579="TARIH_BOS"),"YUKSEK","ORTA"))</f>
        <v/>
      </c>
      <c r="F579" s="16">
        <f>IF($C579="","",IF(OR($C579="TARIH_BOS",$C579="VKN_UZUNLUK",$C579="TUTAR_NEGATIF",$C579="DONEM_EKSIK"),$C579,"TANIMSIZ"))</f>
        <v/>
      </c>
      <c r="G579" s="16">
        <f>IF($C579="","",1)</f>
        <v/>
      </c>
    </row>
    <row r="580">
      <c r="A580" s="16">
        <f>IF('VERI_A'!$A580="","",ROW()-ROW(tblVeriA[[#Headers]]))</f>
        <v/>
      </c>
      <c r="B580" s="23">
        <f>IF('VERI_A'!$A580="","",'VERI_A'!$A580)</f>
        <v/>
      </c>
      <c r="C580" s="16">
        <f>IF($B580="","",IF(OR('VERI_A'!$B580="",'VERI_A'!$B580=0),"TARIH_BOS",IF(LEN(TRIM('VERI_A'!$C580&amp;""))&lt;&gt;dbe_vknUzunluk,"VKN_UZUNLUK",IF('VERI_A'!$G580&lt;0,"TUTAR_NEGATIF",IF('VERI_A'!$I580="","DONEM_EKSIK",""))))</f>
        <v/>
      </c>
      <c r="D580" s="16">
        <f>IF($C580="","",IF($C580="TARIH_BOS","Belge tarihi zorunlu",IF($C580="VKN_UZUNLUK","VKN 10 hane olmalı",IF($C580="TUTAR_NEGATIF","Toplam negatif olamaz",IF($C580="DONEM_EKSIK","Dönem zorunlu","Elle incele"))))</f>
        <v/>
      </c>
      <c r="E580" s="16">
        <f>IF($C580="","",IF(OR($C580="TUTAR_NEGATIF",$C580="TARIH_BOS"),"YUKSEK","ORTA"))</f>
        <v/>
      </c>
      <c r="F580" s="16">
        <f>IF($C580="","",IF(OR($C580="TARIH_BOS",$C580="VKN_UZUNLUK",$C580="TUTAR_NEGATIF",$C580="DONEM_EKSIK"),$C580,"TANIMSIZ"))</f>
        <v/>
      </c>
      <c r="G580" s="16">
        <f>IF($C580="","",1)</f>
        <v/>
      </c>
    </row>
    <row r="581">
      <c r="A581" s="16">
        <f>IF('VERI_A'!$A581="","",ROW()-ROW(tblVeriA[[#Headers]]))</f>
        <v/>
      </c>
      <c r="B581" s="23">
        <f>IF('VERI_A'!$A581="","",'VERI_A'!$A581)</f>
        <v/>
      </c>
      <c r="C581" s="16">
        <f>IF($B581="","",IF(OR('VERI_A'!$B581="",'VERI_A'!$B581=0),"TARIH_BOS",IF(LEN(TRIM('VERI_A'!$C581&amp;""))&lt;&gt;dbe_vknUzunluk,"VKN_UZUNLUK",IF('VERI_A'!$G581&lt;0,"TUTAR_NEGATIF",IF('VERI_A'!$I581="","DONEM_EKSIK",""))))</f>
        <v/>
      </c>
      <c r="D581" s="16">
        <f>IF($C581="","",IF($C581="TARIH_BOS","Belge tarihi zorunlu",IF($C581="VKN_UZUNLUK","VKN 10 hane olmalı",IF($C581="TUTAR_NEGATIF","Toplam negatif olamaz",IF($C581="DONEM_EKSIK","Dönem zorunlu","Elle incele"))))</f>
        <v/>
      </c>
      <c r="E581" s="16">
        <f>IF($C581="","",IF(OR($C581="TUTAR_NEGATIF",$C581="TARIH_BOS"),"YUKSEK","ORTA"))</f>
        <v/>
      </c>
      <c r="F581" s="16">
        <f>IF($C581="","",IF(OR($C581="TARIH_BOS",$C581="VKN_UZUNLUK",$C581="TUTAR_NEGATIF",$C581="DONEM_EKSIK"),$C581,"TANIMSIZ"))</f>
        <v/>
      </c>
      <c r="G581" s="16">
        <f>IF($C581="","",1)</f>
        <v/>
      </c>
    </row>
    <row r="582">
      <c r="A582" s="16">
        <f>IF('VERI_A'!$A582="","",ROW()-ROW(tblVeriA[[#Headers]]))</f>
        <v/>
      </c>
      <c r="B582" s="23">
        <f>IF('VERI_A'!$A582="","",'VERI_A'!$A582)</f>
        <v/>
      </c>
      <c r="C582" s="16">
        <f>IF($B582="","",IF(OR('VERI_A'!$B582="",'VERI_A'!$B582=0),"TARIH_BOS",IF(LEN(TRIM('VERI_A'!$C582&amp;""))&lt;&gt;dbe_vknUzunluk,"VKN_UZUNLUK",IF('VERI_A'!$G582&lt;0,"TUTAR_NEGATIF",IF('VERI_A'!$I582="","DONEM_EKSIK",""))))</f>
        <v/>
      </c>
      <c r="D582" s="16">
        <f>IF($C582="","",IF($C582="TARIH_BOS","Belge tarihi zorunlu",IF($C582="VKN_UZUNLUK","VKN 10 hane olmalı",IF($C582="TUTAR_NEGATIF","Toplam negatif olamaz",IF($C582="DONEM_EKSIK","Dönem zorunlu","Elle incele"))))</f>
        <v/>
      </c>
      <c r="E582" s="16">
        <f>IF($C582="","",IF(OR($C582="TUTAR_NEGATIF",$C582="TARIH_BOS"),"YUKSEK","ORTA"))</f>
        <v/>
      </c>
      <c r="F582" s="16">
        <f>IF($C582="","",IF(OR($C582="TARIH_BOS",$C582="VKN_UZUNLUK",$C582="TUTAR_NEGATIF",$C582="DONEM_EKSIK"),$C582,"TANIMSIZ"))</f>
        <v/>
      </c>
      <c r="G582" s="16">
        <f>IF($C582="","",1)</f>
        <v/>
      </c>
    </row>
    <row r="583">
      <c r="A583" s="16">
        <f>IF('VERI_A'!$A583="","",ROW()-ROW(tblVeriA[[#Headers]]))</f>
        <v/>
      </c>
      <c r="B583" s="23">
        <f>IF('VERI_A'!$A583="","",'VERI_A'!$A583)</f>
        <v/>
      </c>
      <c r="C583" s="16">
        <f>IF($B583="","",IF(OR('VERI_A'!$B583="",'VERI_A'!$B583=0),"TARIH_BOS",IF(LEN(TRIM('VERI_A'!$C583&amp;""))&lt;&gt;dbe_vknUzunluk,"VKN_UZUNLUK",IF('VERI_A'!$G583&lt;0,"TUTAR_NEGATIF",IF('VERI_A'!$I583="","DONEM_EKSIK",""))))</f>
        <v/>
      </c>
      <c r="D583" s="16">
        <f>IF($C583="","",IF($C583="TARIH_BOS","Belge tarihi zorunlu",IF($C583="VKN_UZUNLUK","VKN 10 hane olmalı",IF($C583="TUTAR_NEGATIF","Toplam negatif olamaz",IF($C583="DONEM_EKSIK","Dönem zorunlu","Elle incele"))))</f>
        <v/>
      </c>
      <c r="E583" s="16">
        <f>IF($C583="","",IF(OR($C583="TUTAR_NEGATIF",$C583="TARIH_BOS"),"YUKSEK","ORTA"))</f>
        <v/>
      </c>
      <c r="F583" s="16">
        <f>IF($C583="","",IF(OR($C583="TARIH_BOS",$C583="VKN_UZUNLUK",$C583="TUTAR_NEGATIF",$C583="DONEM_EKSIK"),$C583,"TANIMSIZ"))</f>
        <v/>
      </c>
      <c r="G583" s="16">
        <f>IF($C583="","",1)</f>
        <v/>
      </c>
    </row>
    <row r="584">
      <c r="A584" s="16">
        <f>IF('VERI_A'!$A584="","",ROW()-ROW(tblVeriA[[#Headers]]))</f>
        <v/>
      </c>
      <c r="B584" s="23">
        <f>IF('VERI_A'!$A584="","",'VERI_A'!$A584)</f>
        <v/>
      </c>
      <c r="C584" s="16">
        <f>IF($B584="","",IF(OR('VERI_A'!$B584="",'VERI_A'!$B584=0),"TARIH_BOS",IF(LEN(TRIM('VERI_A'!$C584&amp;""))&lt;&gt;dbe_vknUzunluk,"VKN_UZUNLUK",IF('VERI_A'!$G584&lt;0,"TUTAR_NEGATIF",IF('VERI_A'!$I584="","DONEM_EKSIK",""))))</f>
        <v/>
      </c>
      <c r="D584" s="16">
        <f>IF($C584="","",IF($C584="TARIH_BOS","Belge tarihi zorunlu",IF($C584="VKN_UZUNLUK","VKN 10 hane olmalı",IF($C584="TUTAR_NEGATIF","Toplam negatif olamaz",IF($C584="DONEM_EKSIK","Dönem zorunlu","Elle incele"))))</f>
        <v/>
      </c>
      <c r="E584" s="16">
        <f>IF($C584="","",IF(OR($C584="TUTAR_NEGATIF",$C584="TARIH_BOS"),"YUKSEK","ORTA"))</f>
        <v/>
      </c>
      <c r="F584" s="16">
        <f>IF($C584="","",IF(OR($C584="TARIH_BOS",$C584="VKN_UZUNLUK",$C584="TUTAR_NEGATIF",$C584="DONEM_EKSIK"),$C584,"TANIMSIZ"))</f>
        <v/>
      </c>
      <c r="G584" s="16">
        <f>IF($C584="","",1)</f>
        <v/>
      </c>
    </row>
    <row r="585">
      <c r="A585" s="16">
        <f>IF('VERI_A'!$A585="","",ROW()-ROW(tblVeriA[[#Headers]]))</f>
        <v/>
      </c>
      <c r="B585" s="23">
        <f>IF('VERI_A'!$A585="","",'VERI_A'!$A585)</f>
        <v/>
      </c>
      <c r="C585" s="16">
        <f>IF($B585="","",IF(OR('VERI_A'!$B585="",'VERI_A'!$B585=0),"TARIH_BOS",IF(LEN(TRIM('VERI_A'!$C585&amp;""))&lt;&gt;dbe_vknUzunluk,"VKN_UZUNLUK",IF('VERI_A'!$G585&lt;0,"TUTAR_NEGATIF",IF('VERI_A'!$I585="","DONEM_EKSIK",""))))</f>
        <v/>
      </c>
      <c r="D585" s="16">
        <f>IF($C585="","",IF($C585="TARIH_BOS","Belge tarihi zorunlu",IF($C585="VKN_UZUNLUK","VKN 10 hane olmalı",IF($C585="TUTAR_NEGATIF","Toplam negatif olamaz",IF($C585="DONEM_EKSIK","Dönem zorunlu","Elle incele"))))</f>
        <v/>
      </c>
      <c r="E585" s="16">
        <f>IF($C585="","",IF(OR($C585="TUTAR_NEGATIF",$C585="TARIH_BOS"),"YUKSEK","ORTA"))</f>
        <v/>
      </c>
      <c r="F585" s="16">
        <f>IF($C585="","",IF(OR($C585="TARIH_BOS",$C585="VKN_UZUNLUK",$C585="TUTAR_NEGATIF",$C585="DONEM_EKSIK"),$C585,"TANIMSIZ"))</f>
        <v/>
      </c>
      <c r="G585" s="16">
        <f>IF($C585="","",1)</f>
        <v/>
      </c>
    </row>
    <row r="586">
      <c r="A586" s="16">
        <f>IF('VERI_A'!$A586="","",ROW()-ROW(tblVeriA[[#Headers]]))</f>
        <v/>
      </c>
      <c r="B586" s="23">
        <f>IF('VERI_A'!$A586="","",'VERI_A'!$A586)</f>
        <v/>
      </c>
      <c r="C586" s="16">
        <f>IF($B586="","",IF(OR('VERI_A'!$B586="",'VERI_A'!$B586=0),"TARIH_BOS",IF(LEN(TRIM('VERI_A'!$C586&amp;""))&lt;&gt;dbe_vknUzunluk,"VKN_UZUNLUK",IF('VERI_A'!$G586&lt;0,"TUTAR_NEGATIF",IF('VERI_A'!$I586="","DONEM_EKSIK",""))))</f>
        <v/>
      </c>
      <c r="D586" s="16">
        <f>IF($C586="","",IF($C586="TARIH_BOS","Belge tarihi zorunlu",IF($C586="VKN_UZUNLUK","VKN 10 hane olmalı",IF($C586="TUTAR_NEGATIF","Toplam negatif olamaz",IF($C586="DONEM_EKSIK","Dönem zorunlu","Elle incele"))))</f>
        <v/>
      </c>
      <c r="E586" s="16">
        <f>IF($C586="","",IF(OR($C586="TUTAR_NEGATIF",$C586="TARIH_BOS"),"YUKSEK","ORTA"))</f>
        <v/>
      </c>
      <c r="F586" s="16">
        <f>IF($C586="","",IF(OR($C586="TARIH_BOS",$C586="VKN_UZUNLUK",$C586="TUTAR_NEGATIF",$C586="DONEM_EKSIK"),$C586,"TANIMSIZ"))</f>
        <v/>
      </c>
      <c r="G586" s="16">
        <f>IF($C586="","",1)</f>
        <v/>
      </c>
    </row>
    <row r="587">
      <c r="A587" s="16">
        <f>IF('VERI_A'!$A587="","",ROW()-ROW(tblVeriA[[#Headers]]))</f>
        <v/>
      </c>
      <c r="B587" s="23">
        <f>IF('VERI_A'!$A587="","",'VERI_A'!$A587)</f>
        <v/>
      </c>
      <c r="C587" s="16">
        <f>IF($B587="","",IF(OR('VERI_A'!$B587="",'VERI_A'!$B587=0),"TARIH_BOS",IF(LEN(TRIM('VERI_A'!$C587&amp;""))&lt;&gt;dbe_vknUzunluk,"VKN_UZUNLUK",IF('VERI_A'!$G587&lt;0,"TUTAR_NEGATIF",IF('VERI_A'!$I587="","DONEM_EKSIK",""))))</f>
        <v/>
      </c>
      <c r="D587" s="16">
        <f>IF($C587="","",IF($C587="TARIH_BOS","Belge tarihi zorunlu",IF($C587="VKN_UZUNLUK","VKN 10 hane olmalı",IF($C587="TUTAR_NEGATIF","Toplam negatif olamaz",IF($C587="DONEM_EKSIK","Dönem zorunlu","Elle incele"))))</f>
        <v/>
      </c>
      <c r="E587" s="16">
        <f>IF($C587="","",IF(OR($C587="TUTAR_NEGATIF",$C587="TARIH_BOS"),"YUKSEK","ORTA"))</f>
        <v/>
      </c>
      <c r="F587" s="16">
        <f>IF($C587="","",IF(OR($C587="TARIH_BOS",$C587="VKN_UZUNLUK",$C587="TUTAR_NEGATIF",$C587="DONEM_EKSIK"),$C587,"TANIMSIZ"))</f>
        <v/>
      </c>
      <c r="G587" s="16">
        <f>IF($C587="","",1)</f>
        <v/>
      </c>
    </row>
    <row r="588">
      <c r="A588" s="16">
        <f>IF('VERI_A'!$A588="","",ROW()-ROW(tblVeriA[[#Headers]]))</f>
        <v/>
      </c>
      <c r="B588" s="23">
        <f>IF('VERI_A'!$A588="","",'VERI_A'!$A588)</f>
        <v/>
      </c>
      <c r="C588" s="16">
        <f>IF($B588="","",IF(OR('VERI_A'!$B588="",'VERI_A'!$B588=0),"TARIH_BOS",IF(LEN(TRIM('VERI_A'!$C588&amp;""))&lt;&gt;dbe_vknUzunluk,"VKN_UZUNLUK",IF('VERI_A'!$G588&lt;0,"TUTAR_NEGATIF",IF('VERI_A'!$I588="","DONEM_EKSIK",""))))</f>
        <v/>
      </c>
      <c r="D588" s="16">
        <f>IF($C588="","",IF($C588="TARIH_BOS","Belge tarihi zorunlu",IF($C588="VKN_UZUNLUK","VKN 10 hane olmalı",IF($C588="TUTAR_NEGATIF","Toplam negatif olamaz",IF($C588="DONEM_EKSIK","Dönem zorunlu","Elle incele"))))</f>
        <v/>
      </c>
      <c r="E588" s="16">
        <f>IF($C588="","",IF(OR($C588="TUTAR_NEGATIF",$C588="TARIH_BOS"),"YUKSEK","ORTA"))</f>
        <v/>
      </c>
      <c r="F588" s="16">
        <f>IF($C588="","",IF(OR($C588="TARIH_BOS",$C588="VKN_UZUNLUK",$C588="TUTAR_NEGATIF",$C588="DONEM_EKSIK"),$C588,"TANIMSIZ"))</f>
        <v/>
      </c>
      <c r="G588" s="16">
        <f>IF($C588="","",1)</f>
        <v/>
      </c>
    </row>
    <row r="589">
      <c r="A589" s="16">
        <f>IF('VERI_A'!$A589="","",ROW()-ROW(tblVeriA[[#Headers]]))</f>
        <v/>
      </c>
      <c r="B589" s="23">
        <f>IF('VERI_A'!$A589="","",'VERI_A'!$A589)</f>
        <v/>
      </c>
      <c r="C589" s="16">
        <f>IF($B589="","",IF(OR('VERI_A'!$B589="",'VERI_A'!$B589=0),"TARIH_BOS",IF(LEN(TRIM('VERI_A'!$C589&amp;""))&lt;&gt;dbe_vknUzunluk,"VKN_UZUNLUK",IF('VERI_A'!$G589&lt;0,"TUTAR_NEGATIF",IF('VERI_A'!$I589="","DONEM_EKSIK",""))))</f>
        <v/>
      </c>
      <c r="D589" s="16">
        <f>IF($C589="","",IF($C589="TARIH_BOS","Belge tarihi zorunlu",IF($C589="VKN_UZUNLUK","VKN 10 hane olmalı",IF($C589="TUTAR_NEGATIF","Toplam negatif olamaz",IF($C589="DONEM_EKSIK","Dönem zorunlu","Elle incele"))))</f>
        <v/>
      </c>
      <c r="E589" s="16">
        <f>IF($C589="","",IF(OR($C589="TUTAR_NEGATIF",$C589="TARIH_BOS"),"YUKSEK","ORTA"))</f>
        <v/>
      </c>
      <c r="F589" s="16">
        <f>IF($C589="","",IF(OR($C589="TARIH_BOS",$C589="VKN_UZUNLUK",$C589="TUTAR_NEGATIF",$C589="DONEM_EKSIK"),$C589,"TANIMSIZ"))</f>
        <v/>
      </c>
      <c r="G589" s="16">
        <f>IF($C589="","",1)</f>
        <v/>
      </c>
    </row>
    <row r="590">
      <c r="A590" s="16">
        <f>IF('VERI_A'!$A590="","",ROW()-ROW(tblVeriA[[#Headers]]))</f>
        <v/>
      </c>
      <c r="B590" s="23">
        <f>IF('VERI_A'!$A590="","",'VERI_A'!$A590)</f>
        <v/>
      </c>
      <c r="C590" s="16">
        <f>IF($B590="","",IF(OR('VERI_A'!$B590="",'VERI_A'!$B590=0),"TARIH_BOS",IF(LEN(TRIM('VERI_A'!$C590&amp;""))&lt;&gt;dbe_vknUzunluk,"VKN_UZUNLUK",IF('VERI_A'!$G590&lt;0,"TUTAR_NEGATIF",IF('VERI_A'!$I590="","DONEM_EKSIK",""))))</f>
        <v/>
      </c>
      <c r="D590" s="16">
        <f>IF($C590="","",IF($C590="TARIH_BOS","Belge tarihi zorunlu",IF($C590="VKN_UZUNLUK","VKN 10 hane olmalı",IF($C590="TUTAR_NEGATIF","Toplam negatif olamaz",IF($C590="DONEM_EKSIK","Dönem zorunlu","Elle incele"))))</f>
        <v/>
      </c>
      <c r="E590" s="16">
        <f>IF($C590="","",IF(OR($C590="TUTAR_NEGATIF",$C590="TARIH_BOS"),"YUKSEK","ORTA"))</f>
        <v/>
      </c>
      <c r="F590" s="16">
        <f>IF($C590="","",IF(OR($C590="TARIH_BOS",$C590="VKN_UZUNLUK",$C590="TUTAR_NEGATIF",$C590="DONEM_EKSIK"),$C590,"TANIMSIZ"))</f>
        <v/>
      </c>
      <c r="G590" s="16">
        <f>IF($C590="","",1)</f>
        <v/>
      </c>
    </row>
    <row r="591">
      <c r="A591" s="16">
        <f>IF('VERI_A'!$A591="","",ROW()-ROW(tblVeriA[[#Headers]]))</f>
        <v/>
      </c>
      <c r="B591" s="23">
        <f>IF('VERI_A'!$A591="","",'VERI_A'!$A591)</f>
        <v/>
      </c>
      <c r="C591" s="16">
        <f>IF($B591="","",IF(OR('VERI_A'!$B591="",'VERI_A'!$B591=0),"TARIH_BOS",IF(LEN(TRIM('VERI_A'!$C591&amp;""))&lt;&gt;dbe_vknUzunluk,"VKN_UZUNLUK",IF('VERI_A'!$G591&lt;0,"TUTAR_NEGATIF",IF('VERI_A'!$I591="","DONEM_EKSIK",""))))</f>
        <v/>
      </c>
      <c r="D591" s="16">
        <f>IF($C591="","",IF($C591="TARIH_BOS","Belge tarihi zorunlu",IF($C591="VKN_UZUNLUK","VKN 10 hane olmalı",IF($C591="TUTAR_NEGATIF","Toplam negatif olamaz",IF($C591="DONEM_EKSIK","Dönem zorunlu","Elle incele"))))</f>
        <v/>
      </c>
      <c r="E591" s="16">
        <f>IF($C591="","",IF(OR($C591="TUTAR_NEGATIF",$C591="TARIH_BOS"),"YUKSEK","ORTA"))</f>
        <v/>
      </c>
      <c r="F591" s="16">
        <f>IF($C591="","",IF(OR($C591="TARIH_BOS",$C591="VKN_UZUNLUK",$C591="TUTAR_NEGATIF",$C591="DONEM_EKSIK"),$C591,"TANIMSIZ"))</f>
        <v/>
      </c>
      <c r="G591" s="16">
        <f>IF($C591="","",1)</f>
        <v/>
      </c>
    </row>
    <row r="592">
      <c r="A592" s="16">
        <f>IF('VERI_A'!$A592="","",ROW()-ROW(tblVeriA[[#Headers]]))</f>
        <v/>
      </c>
      <c r="B592" s="23">
        <f>IF('VERI_A'!$A592="","",'VERI_A'!$A592)</f>
        <v/>
      </c>
      <c r="C592" s="16">
        <f>IF($B592="","",IF(OR('VERI_A'!$B592="",'VERI_A'!$B592=0),"TARIH_BOS",IF(LEN(TRIM('VERI_A'!$C592&amp;""))&lt;&gt;dbe_vknUzunluk,"VKN_UZUNLUK",IF('VERI_A'!$G592&lt;0,"TUTAR_NEGATIF",IF('VERI_A'!$I592="","DONEM_EKSIK",""))))</f>
        <v/>
      </c>
      <c r="D592" s="16">
        <f>IF($C592="","",IF($C592="TARIH_BOS","Belge tarihi zorunlu",IF($C592="VKN_UZUNLUK","VKN 10 hane olmalı",IF($C592="TUTAR_NEGATIF","Toplam negatif olamaz",IF($C592="DONEM_EKSIK","Dönem zorunlu","Elle incele"))))</f>
        <v/>
      </c>
      <c r="E592" s="16">
        <f>IF($C592="","",IF(OR($C592="TUTAR_NEGATIF",$C592="TARIH_BOS"),"YUKSEK","ORTA"))</f>
        <v/>
      </c>
      <c r="F592" s="16">
        <f>IF($C592="","",IF(OR($C592="TARIH_BOS",$C592="VKN_UZUNLUK",$C592="TUTAR_NEGATIF",$C592="DONEM_EKSIK"),$C592,"TANIMSIZ"))</f>
        <v/>
      </c>
      <c r="G592" s="16">
        <f>IF($C592="","",1)</f>
        <v/>
      </c>
    </row>
    <row r="593">
      <c r="A593" s="16">
        <f>IF('VERI_A'!$A593="","",ROW()-ROW(tblVeriA[[#Headers]]))</f>
        <v/>
      </c>
      <c r="B593" s="23">
        <f>IF('VERI_A'!$A593="","",'VERI_A'!$A593)</f>
        <v/>
      </c>
      <c r="C593" s="16">
        <f>IF($B593="","",IF(OR('VERI_A'!$B593="",'VERI_A'!$B593=0),"TARIH_BOS",IF(LEN(TRIM('VERI_A'!$C593&amp;""))&lt;&gt;dbe_vknUzunluk,"VKN_UZUNLUK",IF('VERI_A'!$G593&lt;0,"TUTAR_NEGATIF",IF('VERI_A'!$I593="","DONEM_EKSIK",""))))</f>
        <v/>
      </c>
      <c r="D593" s="16">
        <f>IF($C593="","",IF($C593="TARIH_BOS","Belge tarihi zorunlu",IF($C593="VKN_UZUNLUK","VKN 10 hane olmalı",IF($C593="TUTAR_NEGATIF","Toplam negatif olamaz",IF($C593="DONEM_EKSIK","Dönem zorunlu","Elle incele"))))</f>
        <v/>
      </c>
      <c r="E593" s="16">
        <f>IF($C593="","",IF(OR($C593="TUTAR_NEGATIF",$C593="TARIH_BOS"),"YUKSEK","ORTA"))</f>
        <v/>
      </c>
      <c r="F593" s="16">
        <f>IF($C593="","",IF(OR($C593="TARIH_BOS",$C593="VKN_UZUNLUK",$C593="TUTAR_NEGATIF",$C593="DONEM_EKSIK"),$C593,"TANIMSIZ"))</f>
        <v/>
      </c>
      <c r="G593" s="16">
        <f>IF($C593="","",1)</f>
        <v/>
      </c>
    </row>
    <row r="594">
      <c r="A594" s="16">
        <f>IF('VERI_A'!$A594="","",ROW()-ROW(tblVeriA[[#Headers]]))</f>
        <v/>
      </c>
      <c r="B594" s="23">
        <f>IF('VERI_A'!$A594="","",'VERI_A'!$A594)</f>
        <v/>
      </c>
      <c r="C594" s="16">
        <f>IF($B594="","",IF(OR('VERI_A'!$B594="",'VERI_A'!$B594=0),"TARIH_BOS",IF(LEN(TRIM('VERI_A'!$C594&amp;""))&lt;&gt;dbe_vknUzunluk,"VKN_UZUNLUK",IF('VERI_A'!$G594&lt;0,"TUTAR_NEGATIF",IF('VERI_A'!$I594="","DONEM_EKSIK",""))))</f>
        <v/>
      </c>
      <c r="D594" s="16">
        <f>IF($C594="","",IF($C594="TARIH_BOS","Belge tarihi zorunlu",IF($C594="VKN_UZUNLUK","VKN 10 hane olmalı",IF($C594="TUTAR_NEGATIF","Toplam negatif olamaz",IF($C594="DONEM_EKSIK","Dönem zorunlu","Elle incele"))))</f>
        <v/>
      </c>
      <c r="E594" s="16">
        <f>IF($C594="","",IF(OR($C594="TUTAR_NEGATIF",$C594="TARIH_BOS"),"YUKSEK","ORTA"))</f>
        <v/>
      </c>
      <c r="F594" s="16">
        <f>IF($C594="","",IF(OR($C594="TARIH_BOS",$C594="VKN_UZUNLUK",$C594="TUTAR_NEGATIF",$C594="DONEM_EKSIK"),$C594,"TANIMSIZ"))</f>
        <v/>
      </c>
      <c r="G594" s="16">
        <f>IF($C594="","",1)</f>
        <v/>
      </c>
    </row>
    <row r="595">
      <c r="A595" s="16">
        <f>IF('VERI_A'!$A595="","",ROW()-ROW(tblVeriA[[#Headers]]))</f>
        <v/>
      </c>
      <c r="B595" s="23">
        <f>IF('VERI_A'!$A595="","",'VERI_A'!$A595)</f>
        <v/>
      </c>
      <c r="C595" s="16">
        <f>IF($B595="","",IF(OR('VERI_A'!$B595="",'VERI_A'!$B595=0),"TARIH_BOS",IF(LEN(TRIM('VERI_A'!$C595&amp;""))&lt;&gt;dbe_vknUzunluk,"VKN_UZUNLUK",IF('VERI_A'!$G595&lt;0,"TUTAR_NEGATIF",IF('VERI_A'!$I595="","DONEM_EKSIK",""))))</f>
        <v/>
      </c>
      <c r="D595" s="16">
        <f>IF($C595="","",IF($C595="TARIH_BOS","Belge tarihi zorunlu",IF($C595="VKN_UZUNLUK","VKN 10 hane olmalı",IF($C595="TUTAR_NEGATIF","Toplam negatif olamaz",IF($C595="DONEM_EKSIK","Dönem zorunlu","Elle incele"))))</f>
        <v/>
      </c>
      <c r="E595" s="16">
        <f>IF($C595="","",IF(OR($C595="TUTAR_NEGATIF",$C595="TARIH_BOS"),"YUKSEK","ORTA"))</f>
        <v/>
      </c>
      <c r="F595" s="16">
        <f>IF($C595="","",IF(OR($C595="TARIH_BOS",$C595="VKN_UZUNLUK",$C595="TUTAR_NEGATIF",$C595="DONEM_EKSIK"),$C595,"TANIMSIZ"))</f>
        <v/>
      </c>
      <c r="G595" s="16">
        <f>IF($C595="","",1)</f>
        <v/>
      </c>
    </row>
    <row r="596">
      <c r="A596" s="16">
        <f>IF('VERI_A'!$A596="","",ROW()-ROW(tblVeriA[[#Headers]]))</f>
        <v/>
      </c>
      <c r="B596" s="23">
        <f>IF('VERI_A'!$A596="","",'VERI_A'!$A596)</f>
        <v/>
      </c>
      <c r="C596" s="16">
        <f>IF($B596="","",IF(OR('VERI_A'!$B596="",'VERI_A'!$B596=0),"TARIH_BOS",IF(LEN(TRIM('VERI_A'!$C596&amp;""))&lt;&gt;dbe_vknUzunluk,"VKN_UZUNLUK",IF('VERI_A'!$G596&lt;0,"TUTAR_NEGATIF",IF('VERI_A'!$I596="","DONEM_EKSIK",""))))</f>
        <v/>
      </c>
      <c r="D596" s="16">
        <f>IF($C596="","",IF($C596="TARIH_BOS","Belge tarihi zorunlu",IF($C596="VKN_UZUNLUK","VKN 10 hane olmalı",IF($C596="TUTAR_NEGATIF","Toplam negatif olamaz",IF($C596="DONEM_EKSIK","Dönem zorunlu","Elle incele"))))</f>
        <v/>
      </c>
      <c r="E596" s="16">
        <f>IF($C596="","",IF(OR($C596="TUTAR_NEGATIF",$C596="TARIH_BOS"),"YUKSEK","ORTA"))</f>
        <v/>
      </c>
      <c r="F596" s="16">
        <f>IF($C596="","",IF(OR($C596="TARIH_BOS",$C596="VKN_UZUNLUK",$C596="TUTAR_NEGATIF",$C596="DONEM_EKSIK"),$C596,"TANIMSIZ"))</f>
        <v/>
      </c>
      <c r="G596" s="16">
        <f>IF($C596="","",1)</f>
        <v/>
      </c>
    </row>
    <row r="597">
      <c r="A597" s="16">
        <f>IF('VERI_A'!$A597="","",ROW()-ROW(tblVeriA[[#Headers]]))</f>
        <v/>
      </c>
      <c r="B597" s="23">
        <f>IF('VERI_A'!$A597="","",'VERI_A'!$A597)</f>
        <v/>
      </c>
      <c r="C597" s="16">
        <f>IF($B597="","",IF(OR('VERI_A'!$B597="",'VERI_A'!$B597=0),"TARIH_BOS",IF(LEN(TRIM('VERI_A'!$C597&amp;""))&lt;&gt;dbe_vknUzunluk,"VKN_UZUNLUK",IF('VERI_A'!$G597&lt;0,"TUTAR_NEGATIF",IF('VERI_A'!$I597="","DONEM_EKSIK",""))))</f>
        <v/>
      </c>
      <c r="D597" s="16">
        <f>IF($C597="","",IF($C597="TARIH_BOS","Belge tarihi zorunlu",IF($C597="VKN_UZUNLUK","VKN 10 hane olmalı",IF($C597="TUTAR_NEGATIF","Toplam negatif olamaz",IF($C597="DONEM_EKSIK","Dönem zorunlu","Elle incele"))))</f>
        <v/>
      </c>
      <c r="E597" s="16">
        <f>IF($C597="","",IF(OR($C597="TUTAR_NEGATIF",$C597="TARIH_BOS"),"YUKSEK","ORTA"))</f>
        <v/>
      </c>
      <c r="F597" s="16">
        <f>IF($C597="","",IF(OR($C597="TARIH_BOS",$C597="VKN_UZUNLUK",$C597="TUTAR_NEGATIF",$C597="DONEM_EKSIK"),$C597,"TANIMSIZ"))</f>
        <v/>
      </c>
      <c r="G597" s="16">
        <f>IF($C597="","",1)</f>
        <v/>
      </c>
    </row>
    <row r="598">
      <c r="A598" s="16">
        <f>IF('VERI_A'!$A598="","",ROW()-ROW(tblVeriA[[#Headers]]))</f>
        <v/>
      </c>
      <c r="B598" s="23">
        <f>IF('VERI_A'!$A598="","",'VERI_A'!$A598)</f>
        <v/>
      </c>
      <c r="C598" s="16">
        <f>IF($B598="","",IF(OR('VERI_A'!$B598="",'VERI_A'!$B598=0),"TARIH_BOS",IF(LEN(TRIM('VERI_A'!$C598&amp;""))&lt;&gt;dbe_vknUzunluk,"VKN_UZUNLUK",IF('VERI_A'!$G598&lt;0,"TUTAR_NEGATIF",IF('VERI_A'!$I598="","DONEM_EKSIK",""))))</f>
        <v/>
      </c>
      <c r="D598" s="16">
        <f>IF($C598="","",IF($C598="TARIH_BOS","Belge tarihi zorunlu",IF($C598="VKN_UZUNLUK","VKN 10 hane olmalı",IF($C598="TUTAR_NEGATIF","Toplam negatif olamaz",IF($C598="DONEM_EKSIK","Dönem zorunlu","Elle incele"))))</f>
        <v/>
      </c>
      <c r="E598" s="16">
        <f>IF($C598="","",IF(OR($C598="TUTAR_NEGATIF",$C598="TARIH_BOS"),"YUKSEK","ORTA"))</f>
        <v/>
      </c>
      <c r="F598" s="16">
        <f>IF($C598="","",IF(OR($C598="TARIH_BOS",$C598="VKN_UZUNLUK",$C598="TUTAR_NEGATIF",$C598="DONEM_EKSIK"),$C598,"TANIMSIZ"))</f>
        <v/>
      </c>
      <c r="G598" s="16">
        <f>IF($C598="","",1)</f>
        <v/>
      </c>
    </row>
    <row r="599">
      <c r="A599" s="16">
        <f>IF('VERI_A'!$A599="","",ROW()-ROW(tblVeriA[[#Headers]]))</f>
        <v/>
      </c>
      <c r="B599" s="23">
        <f>IF('VERI_A'!$A599="","",'VERI_A'!$A599)</f>
        <v/>
      </c>
      <c r="C599" s="16">
        <f>IF($B599="","",IF(OR('VERI_A'!$B599="",'VERI_A'!$B599=0),"TARIH_BOS",IF(LEN(TRIM('VERI_A'!$C599&amp;""))&lt;&gt;dbe_vknUzunluk,"VKN_UZUNLUK",IF('VERI_A'!$G599&lt;0,"TUTAR_NEGATIF",IF('VERI_A'!$I599="","DONEM_EKSIK",""))))</f>
        <v/>
      </c>
      <c r="D599" s="16">
        <f>IF($C599="","",IF($C599="TARIH_BOS","Belge tarihi zorunlu",IF($C599="VKN_UZUNLUK","VKN 10 hane olmalı",IF($C599="TUTAR_NEGATIF","Toplam negatif olamaz",IF($C599="DONEM_EKSIK","Dönem zorunlu","Elle incele"))))</f>
        <v/>
      </c>
      <c r="E599" s="16">
        <f>IF($C599="","",IF(OR($C599="TUTAR_NEGATIF",$C599="TARIH_BOS"),"YUKSEK","ORTA"))</f>
        <v/>
      </c>
      <c r="F599" s="16">
        <f>IF($C599="","",IF(OR($C599="TARIH_BOS",$C599="VKN_UZUNLUK",$C599="TUTAR_NEGATIF",$C599="DONEM_EKSIK"),$C599,"TANIMSIZ"))</f>
        <v/>
      </c>
      <c r="G599" s="16">
        <f>IF($C599="","",1)</f>
        <v/>
      </c>
    </row>
    <row r="600">
      <c r="A600" s="16">
        <f>IF('VERI_A'!$A600="","",ROW()-ROW(tblVeriA[[#Headers]]))</f>
        <v/>
      </c>
      <c r="B600" s="23">
        <f>IF('VERI_A'!$A600="","",'VERI_A'!$A600)</f>
        <v/>
      </c>
      <c r="C600" s="16">
        <f>IF($B600="","",IF(OR('VERI_A'!$B600="",'VERI_A'!$B600=0),"TARIH_BOS",IF(LEN(TRIM('VERI_A'!$C600&amp;""))&lt;&gt;dbe_vknUzunluk,"VKN_UZUNLUK",IF('VERI_A'!$G600&lt;0,"TUTAR_NEGATIF",IF('VERI_A'!$I600="","DONEM_EKSIK",""))))</f>
        <v/>
      </c>
      <c r="D600" s="16">
        <f>IF($C600="","",IF($C600="TARIH_BOS","Belge tarihi zorunlu",IF($C600="VKN_UZUNLUK","VKN 10 hane olmalı",IF($C600="TUTAR_NEGATIF","Toplam negatif olamaz",IF($C600="DONEM_EKSIK","Dönem zorunlu","Elle incele"))))</f>
        <v/>
      </c>
      <c r="E600" s="16">
        <f>IF($C600="","",IF(OR($C600="TUTAR_NEGATIF",$C600="TARIH_BOS"),"YUKSEK","ORTA"))</f>
        <v/>
      </c>
      <c r="F600" s="16">
        <f>IF($C600="","",IF(OR($C600="TARIH_BOS",$C600="VKN_UZUNLUK",$C600="TUTAR_NEGATIF",$C600="DONEM_EKSIK"),$C600,"TANIMSIZ"))</f>
        <v/>
      </c>
      <c r="G600" s="16">
        <f>IF($C600="","",1)</f>
        <v/>
      </c>
    </row>
    <row r="601">
      <c r="A601" s="16">
        <f>IF('VERI_A'!$A601="","",ROW()-ROW(tblVeriA[[#Headers]]))</f>
        <v/>
      </c>
      <c r="B601" s="23">
        <f>IF('VERI_A'!$A601="","",'VERI_A'!$A601)</f>
        <v/>
      </c>
      <c r="C601" s="16">
        <f>IF($B601="","",IF(OR('VERI_A'!$B601="",'VERI_A'!$B601=0),"TARIH_BOS",IF(LEN(TRIM('VERI_A'!$C601&amp;""))&lt;&gt;dbe_vknUzunluk,"VKN_UZUNLUK",IF('VERI_A'!$G601&lt;0,"TUTAR_NEGATIF",IF('VERI_A'!$I601="","DONEM_EKSIK",""))))</f>
        <v/>
      </c>
      <c r="D601" s="16">
        <f>IF($C601="","",IF($C601="TARIH_BOS","Belge tarihi zorunlu",IF($C601="VKN_UZUNLUK","VKN 10 hane olmalı",IF($C601="TUTAR_NEGATIF","Toplam negatif olamaz",IF($C601="DONEM_EKSIK","Dönem zorunlu","Elle incele"))))</f>
        <v/>
      </c>
      <c r="E601" s="16">
        <f>IF($C601="","",IF(OR($C601="TUTAR_NEGATIF",$C601="TARIH_BOS"),"YUKSEK","ORTA"))</f>
        <v/>
      </c>
      <c r="F601" s="16">
        <f>IF($C601="","",IF(OR($C601="TARIH_BOS",$C601="VKN_UZUNLUK",$C601="TUTAR_NEGATIF",$C601="DONEM_EKSIK"),$C601,"TANIMSIZ"))</f>
        <v/>
      </c>
      <c r="G601" s="16">
        <f>IF($C601="","",1)</f>
        <v/>
      </c>
    </row>
    <row r="602">
      <c r="A602" s="16">
        <f>IF('VERI_A'!$A602="","",ROW()-ROW(tblVeriA[[#Headers]]))</f>
        <v/>
      </c>
      <c r="B602" s="23">
        <f>IF('VERI_A'!$A602="","",'VERI_A'!$A602)</f>
        <v/>
      </c>
      <c r="C602" s="16">
        <f>IF($B602="","",IF(OR('VERI_A'!$B602="",'VERI_A'!$B602=0),"TARIH_BOS",IF(LEN(TRIM('VERI_A'!$C602&amp;""))&lt;&gt;dbe_vknUzunluk,"VKN_UZUNLUK",IF('VERI_A'!$G602&lt;0,"TUTAR_NEGATIF",IF('VERI_A'!$I602="","DONEM_EKSIK",""))))</f>
        <v/>
      </c>
      <c r="D602" s="16">
        <f>IF($C602="","",IF($C602="TARIH_BOS","Belge tarihi zorunlu",IF($C602="VKN_UZUNLUK","VKN 10 hane olmalı",IF($C602="TUTAR_NEGATIF","Toplam negatif olamaz",IF($C602="DONEM_EKSIK","Dönem zorunlu","Elle incele"))))</f>
        <v/>
      </c>
      <c r="E602" s="16">
        <f>IF($C602="","",IF(OR($C602="TUTAR_NEGATIF",$C602="TARIH_BOS"),"YUKSEK","ORTA"))</f>
        <v/>
      </c>
      <c r="F602" s="16">
        <f>IF($C602="","",IF(OR($C602="TARIH_BOS",$C602="VKN_UZUNLUK",$C602="TUTAR_NEGATIF",$C602="DONEM_EKSIK"),$C602,"TANIMSIZ"))</f>
        <v/>
      </c>
      <c r="G602" s="16">
        <f>IF($C602="","",1)</f>
        <v/>
      </c>
    </row>
    <row r="603">
      <c r="A603" s="16">
        <f>IF('VERI_A'!$A603="","",ROW()-ROW(tblVeriA[[#Headers]]))</f>
        <v/>
      </c>
      <c r="B603" s="23">
        <f>IF('VERI_A'!$A603="","",'VERI_A'!$A603)</f>
        <v/>
      </c>
      <c r="C603" s="16">
        <f>IF($B603="","",IF(OR('VERI_A'!$B603="",'VERI_A'!$B603=0),"TARIH_BOS",IF(LEN(TRIM('VERI_A'!$C603&amp;""))&lt;&gt;dbe_vknUzunluk,"VKN_UZUNLUK",IF('VERI_A'!$G603&lt;0,"TUTAR_NEGATIF",IF('VERI_A'!$I603="","DONEM_EKSIK",""))))</f>
        <v/>
      </c>
      <c r="D603" s="16">
        <f>IF($C603="","",IF($C603="TARIH_BOS","Belge tarihi zorunlu",IF($C603="VKN_UZUNLUK","VKN 10 hane olmalı",IF($C603="TUTAR_NEGATIF","Toplam negatif olamaz",IF($C603="DONEM_EKSIK","Dönem zorunlu","Elle incele"))))</f>
        <v/>
      </c>
      <c r="E603" s="16">
        <f>IF($C603="","",IF(OR($C603="TUTAR_NEGATIF",$C603="TARIH_BOS"),"YUKSEK","ORTA"))</f>
        <v/>
      </c>
      <c r="F603" s="16">
        <f>IF($C603="","",IF(OR($C603="TARIH_BOS",$C603="VKN_UZUNLUK",$C603="TUTAR_NEGATIF",$C603="DONEM_EKSIK"),$C603,"TANIMSIZ"))</f>
        <v/>
      </c>
      <c r="G603" s="16">
        <f>IF($C603="","",1)</f>
        <v/>
      </c>
    </row>
    <row r="604">
      <c r="A604" s="16">
        <f>IF('VERI_A'!$A604="","",ROW()-ROW(tblVeriA[[#Headers]]))</f>
        <v/>
      </c>
      <c r="B604" s="23">
        <f>IF('VERI_A'!$A604="","",'VERI_A'!$A604)</f>
        <v/>
      </c>
      <c r="C604" s="16">
        <f>IF($B604="","",IF(OR('VERI_A'!$B604="",'VERI_A'!$B604=0),"TARIH_BOS",IF(LEN(TRIM('VERI_A'!$C604&amp;""))&lt;&gt;dbe_vknUzunluk,"VKN_UZUNLUK",IF('VERI_A'!$G604&lt;0,"TUTAR_NEGATIF",IF('VERI_A'!$I604="","DONEM_EKSIK",""))))</f>
        <v/>
      </c>
      <c r="D604" s="16">
        <f>IF($C604="","",IF($C604="TARIH_BOS","Belge tarihi zorunlu",IF($C604="VKN_UZUNLUK","VKN 10 hane olmalı",IF($C604="TUTAR_NEGATIF","Toplam negatif olamaz",IF($C604="DONEM_EKSIK","Dönem zorunlu","Elle incele"))))</f>
        <v/>
      </c>
      <c r="E604" s="16">
        <f>IF($C604="","",IF(OR($C604="TUTAR_NEGATIF",$C604="TARIH_BOS"),"YUKSEK","ORTA"))</f>
        <v/>
      </c>
      <c r="F604" s="16">
        <f>IF($C604="","",IF(OR($C604="TARIH_BOS",$C604="VKN_UZUNLUK",$C604="TUTAR_NEGATIF",$C604="DONEM_EKSIK"),$C604,"TANIMSIZ"))</f>
        <v/>
      </c>
      <c r="G604" s="16">
        <f>IF($C604="","",1)</f>
        <v/>
      </c>
    </row>
    <row r="605">
      <c r="A605" s="16">
        <f>IF('VERI_A'!$A605="","",ROW()-ROW(tblVeriA[[#Headers]]))</f>
        <v/>
      </c>
      <c r="B605" s="23">
        <f>IF('VERI_A'!$A605="","",'VERI_A'!$A605)</f>
        <v/>
      </c>
      <c r="C605" s="16">
        <f>IF($B605="","",IF(OR('VERI_A'!$B605="",'VERI_A'!$B605=0),"TARIH_BOS",IF(LEN(TRIM('VERI_A'!$C605&amp;""))&lt;&gt;dbe_vknUzunluk,"VKN_UZUNLUK",IF('VERI_A'!$G605&lt;0,"TUTAR_NEGATIF",IF('VERI_A'!$I605="","DONEM_EKSIK",""))))</f>
        <v/>
      </c>
      <c r="D605" s="16">
        <f>IF($C605="","",IF($C605="TARIH_BOS","Belge tarihi zorunlu",IF($C605="VKN_UZUNLUK","VKN 10 hane olmalı",IF($C605="TUTAR_NEGATIF","Toplam negatif olamaz",IF($C605="DONEM_EKSIK","Dönem zorunlu","Elle incele"))))</f>
        <v/>
      </c>
      <c r="E605" s="16">
        <f>IF($C605="","",IF(OR($C605="TUTAR_NEGATIF",$C605="TARIH_BOS"),"YUKSEK","ORTA"))</f>
        <v/>
      </c>
      <c r="F605" s="16">
        <f>IF($C605="","",IF(OR($C605="TARIH_BOS",$C605="VKN_UZUNLUK",$C605="TUTAR_NEGATIF",$C605="DONEM_EKSIK"),$C605,"TANIMSIZ"))</f>
        <v/>
      </c>
      <c r="G605" s="16">
        <f>IF($C605="","",1)</f>
        <v/>
      </c>
    </row>
    <row r="606">
      <c r="A606" s="16">
        <f>IF('VERI_A'!$A606="","",ROW()-ROW(tblVeriA[[#Headers]]))</f>
        <v/>
      </c>
      <c r="B606" s="23">
        <f>IF('VERI_A'!$A606="","",'VERI_A'!$A606)</f>
        <v/>
      </c>
      <c r="C606" s="16">
        <f>IF($B606="","",IF(OR('VERI_A'!$B606="",'VERI_A'!$B606=0),"TARIH_BOS",IF(LEN(TRIM('VERI_A'!$C606&amp;""))&lt;&gt;dbe_vknUzunluk,"VKN_UZUNLUK",IF('VERI_A'!$G606&lt;0,"TUTAR_NEGATIF",IF('VERI_A'!$I606="","DONEM_EKSIK",""))))</f>
        <v/>
      </c>
      <c r="D606" s="16">
        <f>IF($C606="","",IF($C606="TARIH_BOS","Belge tarihi zorunlu",IF($C606="VKN_UZUNLUK","VKN 10 hane olmalı",IF($C606="TUTAR_NEGATIF","Toplam negatif olamaz",IF($C606="DONEM_EKSIK","Dönem zorunlu","Elle incele"))))</f>
        <v/>
      </c>
      <c r="E606" s="16">
        <f>IF($C606="","",IF(OR($C606="TUTAR_NEGATIF",$C606="TARIH_BOS"),"YUKSEK","ORTA"))</f>
        <v/>
      </c>
      <c r="F606" s="16">
        <f>IF($C606="","",IF(OR($C606="TARIH_BOS",$C606="VKN_UZUNLUK",$C606="TUTAR_NEGATIF",$C606="DONEM_EKSIK"),$C606,"TANIMSIZ"))</f>
        <v/>
      </c>
      <c r="G606" s="16">
        <f>IF($C606="","",1)</f>
        <v/>
      </c>
    </row>
    <row r="607">
      <c r="A607" s="16">
        <f>IF('VERI_A'!$A607="","",ROW()-ROW(tblVeriA[[#Headers]]))</f>
        <v/>
      </c>
      <c r="B607" s="23">
        <f>IF('VERI_A'!$A607="","",'VERI_A'!$A607)</f>
        <v/>
      </c>
      <c r="C607" s="16">
        <f>IF($B607="","",IF(OR('VERI_A'!$B607="",'VERI_A'!$B607=0),"TARIH_BOS",IF(LEN(TRIM('VERI_A'!$C607&amp;""))&lt;&gt;dbe_vknUzunluk,"VKN_UZUNLUK",IF('VERI_A'!$G607&lt;0,"TUTAR_NEGATIF",IF('VERI_A'!$I607="","DONEM_EKSIK",""))))</f>
        <v/>
      </c>
      <c r="D607" s="16">
        <f>IF($C607="","",IF($C607="TARIH_BOS","Belge tarihi zorunlu",IF($C607="VKN_UZUNLUK","VKN 10 hane olmalı",IF($C607="TUTAR_NEGATIF","Toplam negatif olamaz",IF($C607="DONEM_EKSIK","Dönem zorunlu","Elle incele"))))</f>
        <v/>
      </c>
      <c r="E607" s="16">
        <f>IF($C607="","",IF(OR($C607="TUTAR_NEGATIF",$C607="TARIH_BOS"),"YUKSEK","ORTA"))</f>
        <v/>
      </c>
      <c r="F607" s="16">
        <f>IF($C607="","",IF(OR($C607="TARIH_BOS",$C607="VKN_UZUNLUK",$C607="TUTAR_NEGATIF",$C607="DONEM_EKSIK"),$C607,"TANIMSIZ"))</f>
        <v/>
      </c>
      <c r="G607" s="16">
        <f>IF($C607="","",1)</f>
        <v/>
      </c>
    </row>
    <row r="608">
      <c r="A608" s="16">
        <f>IF('VERI_A'!$A608="","",ROW()-ROW(tblVeriA[[#Headers]]))</f>
        <v/>
      </c>
      <c r="B608" s="23">
        <f>IF('VERI_A'!$A608="","",'VERI_A'!$A608)</f>
        <v/>
      </c>
      <c r="C608" s="16">
        <f>IF($B608="","",IF(OR('VERI_A'!$B608="",'VERI_A'!$B608=0),"TARIH_BOS",IF(LEN(TRIM('VERI_A'!$C608&amp;""))&lt;&gt;dbe_vknUzunluk,"VKN_UZUNLUK",IF('VERI_A'!$G608&lt;0,"TUTAR_NEGATIF",IF('VERI_A'!$I608="","DONEM_EKSIK",""))))</f>
        <v/>
      </c>
      <c r="D608" s="16">
        <f>IF($C608="","",IF($C608="TARIH_BOS","Belge tarihi zorunlu",IF($C608="VKN_UZUNLUK","VKN 10 hane olmalı",IF($C608="TUTAR_NEGATIF","Toplam negatif olamaz",IF($C608="DONEM_EKSIK","Dönem zorunlu","Elle incele"))))</f>
        <v/>
      </c>
      <c r="E608" s="16">
        <f>IF($C608="","",IF(OR($C608="TUTAR_NEGATIF",$C608="TARIH_BOS"),"YUKSEK","ORTA"))</f>
        <v/>
      </c>
      <c r="F608" s="16">
        <f>IF($C608="","",IF(OR($C608="TARIH_BOS",$C608="VKN_UZUNLUK",$C608="TUTAR_NEGATIF",$C608="DONEM_EKSIK"),$C608,"TANIMSIZ"))</f>
        <v/>
      </c>
      <c r="G608" s="16">
        <f>IF($C608="","",1)</f>
        <v/>
      </c>
    </row>
    <row r="609">
      <c r="A609" s="16">
        <f>IF('VERI_A'!$A609="","",ROW()-ROW(tblVeriA[[#Headers]]))</f>
        <v/>
      </c>
      <c r="B609" s="23">
        <f>IF('VERI_A'!$A609="","",'VERI_A'!$A609)</f>
        <v/>
      </c>
      <c r="C609" s="16">
        <f>IF($B609="","",IF(OR('VERI_A'!$B609="",'VERI_A'!$B609=0),"TARIH_BOS",IF(LEN(TRIM('VERI_A'!$C609&amp;""))&lt;&gt;dbe_vknUzunluk,"VKN_UZUNLUK",IF('VERI_A'!$G609&lt;0,"TUTAR_NEGATIF",IF('VERI_A'!$I609="","DONEM_EKSIK",""))))</f>
        <v/>
      </c>
      <c r="D609" s="16">
        <f>IF($C609="","",IF($C609="TARIH_BOS","Belge tarihi zorunlu",IF($C609="VKN_UZUNLUK","VKN 10 hane olmalı",IF($C609="TUTAR_NEGATIF","Toplam negatif olamaz",IF($C609="DONEM_EKSIK","Dönem zorunlu","Elle incele"))))</f>
        <v/>
      </c>
      <c r="E609" s="16">
        <f>IF($C609="","",IF(OR($C609="TUTAR_NEGATIF",$C609="TARIH_BOS"),"YUKSEK","ORTA"))</f>
        <v/>
      </c>
      <c r="F609" s="16">
        <f>IF($C609="","",IF(OR($C609="TARIH_BOS",$C609="VKN_UZUNLUK",$C609="TUTAR_NEGATIF",$C609="DONEM_EKSIK"),$C609,"TANIMSIZ"))</f>
        <v/>
      </c>
      <c r="G609" s="16">
        <f>IF($C609="","",1)</f>
        <v/>
      </c>
    </row>
    <row r="610">
      <c r="A610" s="16">
        <f>IF('VERI_A'!$A610="","",ROW()-ROW(tblVeriA[[#Headers]]))</f>
        <v/>
      </c>
      <c r="B610" s="23">
        <f>IF('VERI_A'!$A610="","",'VERI_A'!$A610)</f>
        <v/>
      </c>
      <c r="C610" s="16">
        <f>IF($B610="","",IF(OR('VERI_A'!$B610="",'VERI_A'!$B610=0),"TARIH_BOS",IF(LEN(TRIM('VERI_A'!$C610&amp;""))&lt;&gt;dbe_vknUzunluk,"VKN_UZUNLUK",IF('VERI_A'!$G610&lt;0,"TUTAR_NEGATIF",IF('VERI_A'!$I610="","DONEM_EKSIK",""))))</f>
        <v/>
      </c>
      <c r="D610" s="16">
        <f>IF($C610="","",IF($C610="TARIH_BOS","Belge tarihi zorunlu",IF($C610="VKN_UZUNLUK","VKN 10 hane olmalı",IF($C610="TUTAR_NEGATIF","Toplam negatif olamaz",IF($C610="DONEM_EKSIK","Dönem zorunlu","Elle incele"))))</f>
        <v/>
      </c>
      <c r="E610" s="16">
        <f>IF($C610="","",IF(OR($C610="TUTAR_NEGATIF",$C610="TARIH_BOS"),"YUKSEK","ORTA"))</f>
        <v/>
      </c>
      <c r="F610" s="16">
        <f>IF($C610="","",IF(OR($C610="TARIH_BOS",$C610="VKN_UZUNLUK",$C610="TUTAR_NEGATIF",$C610="DONEM_EKSIK"),$C610,"TANIMSIZ"))</f>
        <v/>
      </c>
      <c r="G610" s="16">
        <f>IF($C610="","",1)</f>
        <v/>
      </c>
    </row>
    <row r="611">
      <c r="A611" s="16">
        <f>IF('VERI_A'!$A611="","",ROW()-ROW(tblVeriA[[#Headers]]))</f>
        <v/>
      </c>
      <c r="B611" s="23">
        <f>IF('VERI_A'!$A611="","",'VERI_A'!$A611)</f>
        <v/>
      </c>
      <c r="C611" s="16">
        <f>IF($B611="","",IF(OR('VERI_A'!$B611="",'VERI_A'!$B611=0),"TARIH_BOS",IF(LEN(TRIM('VERI_A'!$C611&amp;""))&lt;&gt;dbe_vknUzunluk,"VKN_UZUNLUK",IF('VERI_A'!$G611&lt;0,"TUTAR_NEGATIF",IF('VERI_A'!$I611="","DONEM_EKSIK",""))))</f>
        <v/>
      </c>
      <c r="D611" s="16">
        <f>IF($C611="","",IF($C611="TARIH_BOS","Belge tarihi zorunlu",IF($C611="VKN_UZUNLUK","VKN 10 hane olmalı",IF($C611="TUTAR_NEGATIF","Toplam negatif olamaz",IF($C611="DONEM_EKSIK","Dönem zorunlu","Elle incele"))))</f>
        <v/>
      </c>
      <c r="E611" s="16">
        <f>IF($C611="","",IF(OR($C611="TUTAR_NEGATIF",$C611="TARIH_BOS"),"YUKSEK","ORTA"))</f>
        <v/>
      </c>
      <c r="F611" s="16">
        <f>IF($C611="","",IF(OR($C611="TARIH_BOS",$C611="VKN_UZUNLUK",$C611="TUTAR_NEGATIF",$C611="DONEM_EKSIK"),$C611,"TANIMSIZ"))</f>
        <v/>
      </c>
      <c r="G611" s="16">
        <f>IF($C611="","",1)</f>
        <v/>
      </c>
    </row>
    <row r="612">
      <c r="A612" s="16">
        <f>IF('VERI_A'!$A612="","",ROW()-ROW(tblVeriA[[#Headers]]))</f>
        <v/>
      </c>
      <c r="B612" s="23">
        <f>IF('VERI_A'!$A612="","",'VERI_A'!$A612)</f>
        <v/>
      </c>
      <c r="C612" s="16">
        <f>IF($B612="","",IF(OR('VERI_A'!$B612="",'VERI_A'!$B612=0),"TARIH_BOS",IF(LEN(TRIM('VERI_A'!$C612&amp;""))&lt;&gt;dbe_vknUzunluk,"VKN_UZUNLUK",IF('VERI_A'!$G612&lt;0,"TUTAR_NEGATIF",IF('VERI_A'!$I612="","DONEM_EKSIK",""))))</f>
        <v/>
      </c>
      <c r="D612" s="16">
        <f>IF($C612="","",IF($C612="TARIH_BOS","Belge tarihi zorunlu",IF($C612="VKN_UZUNLUK","VKN 10 hane olmalı",IF($C612="TUTAR_NEGATIF","Toplam negatif olamaz",IF($C612="DONEM_EKSIK","Dönem zorunlu","Elle incele"))))</f>
        <v/>
      </c>
      <c r="E612" s="16">
        <f>IF($C612="","",IF(OR($C612="TUTAR_NEGATIF",$C612="TARIH_BOS"),"YUKSEK","ORTA"))</f>
        <v/>
      </c>
      <c r="F612" s="16">
        <f>IF($C612="","",IF(OR($C612="TARIH_BOS",$C612="VKN_UZUNLUK",$C612="TUTAR_NEGATIF",$C612="DONEM_EKSIK"),$C612,"TANIMSIZ"))</f>
        <v/>
      </c>
      <c r="G612" s="16">
        <f>IF($C612="","",1)</f>
        <v/>
      </c>
    </row>
    <row r="613">
      <c r="A613" s="16">
        <f>IF('VERI_A'!$A613="","",ROW()-ROW(tblVeriA[[#Headers]]))</f>
        <v/>
      </c>
      <c r="B613" s="23">
        <f>IF('VERI_A'!$A613="","",'VERI_A'!$A613)</f>
        <v/>
      </c>
      <c r="C613" s="16">
        <f>IF($B613="","",IF(OR('VERI_A'!$B613="",'VERI_A'!$B613=0),"TARIH_BOS",IF(LEN(TRIM('VERI_A'!$C613&amp;""))&lt;&gt;dbe_vknUzunluk,"VKN_UZUNLUK",IF('VERI_A'!$G613&lt;0,"TUTAR_NEGATIF",IF('VERI_A'!$I613="","DONEM_EKSIK",""))))</f>
        <v/>
      </c>
      <c r="D613" s="16">
        <f>IF($C613="","",IF($C613="TARIH_BOS","Belge tarihi zorunlu",IF($C613="VKN_UZUNLUK","VKN 10 hane olmalı",IF($C613="TUTAR_NEGATIF","Toplam negatif olamaz",IF($C613="DONEM_EKSIK","Dönem zorunlu","Elle incele"))))</f>
        <v/>
      </c>
      <c r="E613" s="16">
        <f>IF($C613="","",IF(OR($C613="TUTAR_NEGATIF",$C613="TARIH_BOS"),"YUKSEK","ORTA"))</f>
        <v/>
      </c>
      <c r="F613" s="16">
        <f>IF($C613="","",IF(OR($C613="TARIH_BOS",$C613="VKN_UZUNLUK",$C613="TUTAR_NEGATIF",$C613="DONEM_EKSIK"),$C613,"TANIMSIZ"))</f>
        <v/>
      </c>
      <c r="G613" s="16">
        <f>IF($C613="","",1)</f>
        <v/>
      </c>
    </row>
    <row r="614">
      <c r="A614" s="16">
        <f>IF('VERI_A'!$A614="","",ROW()-ROW(tblVeriA[[#Headers]]))</f>
        <v/>
      </c>
      <c r="B614" s="23">
        <f>IF('VERI_A'!$A614="","",'VERI_A'!$A614)</f>
        <v/>
      </c>
      <c r="C614" s="16">
        <f>IF($B614="","",IF(OR('VERI_A'!$B614="",'VERI_A'!$B614=0),"TARIH_BOS",IF(LEN(TRIM('VERI_A'!$C614&amp;""))&lt;&gt;dbe_vknUzunluk,"VKN_UZUNLUK",IF('VERI_A'!$G614&lt;0,"TUTAR_NEGATIF",IF('VERI_A'!$I614="","DONEM_EKSIK",""))))</f>
        <v/>
      </c>
      <c r="D614" s="16">
        <f>IF($C614="","",IF($C614="TARIH_BOS","Belge tarihi zorunlu",IF($C614="VKN_UZUNLUK","VKN 10 hane olmalı",IF($C614="TUTAR_NEGATIF","Toplam negatif olamaz",IF($C614="DONEM_EKSIK","Dönem zorunlu","Elle incele"))))</f>
        <v/>
      </c>
      <c r="E614" s="16">
        <f>IF($C614="","",IF(OR($C614="TUTAR_NEGATIF",$C614="TARIH_BOS"),"YUKSEK","ORTA"))</f>
        <v/>
      </c>
      <c r="F614" s="16">
        <f>IF($C614="","",IF(OR($C614="TARIH_BOS",$C614="VKN_UZUNLUK",$C614="TUTAR_NEGATIF",$C614="DONEM_EKSIK"),$C614,"TANIMSIZ"))</f>
        <v/>
      </c>
      <c r="G614" s="16">
        <f>IF($C614="","",1)</f>
        <v/>
      </c>
    </row>
    <row r="615">
      <c r="A615" s="16">
        <f>IF('VERI_A'!$A615="","",ROW()-ROW(tblVeriA[[#Headers]]))</f>
        <v/>
      </c>
      <c r="B615" s="23">
        <f>IF('VERI_A'!$A615="","",'VERI_A'!$A615)</f>
        <v/>
      </c>
      <c r="C615" s="16">
        <f>IF($B615="","",IF(OR('VERI_A'!$B615="",'VERI_A'!$B615=0),"TARIH_BOS",IF(LEN(TRIM('VERI_A'!$C615&amp;""))&lt;&gt;dbe_vknUzunluk,"VKN_UZUNLUK",IF('VERI_A'!$G615&lt;0,"TUTAR_NEGATIF",IF('VERI_A'!$I615="","DONEM_EKSIK",""))))</f>
        <v/>
      </c>
      <c r="D615" s="16">
        <f>IF($C615="","",IF($C615="TARIH_BOS","Belge tarihi zorunlu",IF($C615="VKN_UZUNLUK","VKN 10 hane olmalı",IF($C615="TUTAR_NEGATIF","Toplam negatif olamaz",IF($C615="DONEM_EKSIK","Dönem zorunlu","Elle incele"))))</f>
        <v/>
      </c>
      <c r="E615" s="16">
        <f>IF($C615="","",IF(OR($C615="TUTAR_NEGATIF",$C615="TARIH_BOS"),"YUKSEK","ORTA"))</f>
        <v/>
      </c>
      <c r="F615" s="16">
        <f>IF($C615="","",IF(OR($C615="TARIH_BOS",$C615="VKN_UZUNLUK",$C615="TUTAR_NEGATIF",$C615="DONEM_EKSIK"),$C615,"TANIMSIZ"))</f>
        <v/>
      </c>
      <c r="G615" s="16">
        <f>IF($C615="","",1)</f>
        <v/>
      </c>
    </row>
    <row r="616">
      <c r="A616" s="16">
        <f>IF('VERI_A'!$A616="","",ROW()-ROW(tblVeriA[[#Headers]]))</f>
        <v/>
      </c>
      <c r="B616" s="23">
        <f>IF('VERI_A'!$A616="","",'VERI_A'!$A616)</f>
        <v/>
      </c>
      <c r="C616" s="16">
        <f>IF($B616="","",IF(OR('VERI_A'!$B616="",'VERI_A'!$B616=0),"TARIH_BOS",IF(LEN(TRIM('VERI_A'!$C616&amp;""))&lt;&gt;dbe_vknUzunluk,"VKN_UZUNLUK",IF('VERI_A'!$G616&lt;0,"TUTAR_NEGATIF",IF('VERI_A'!$I616="","DONEM_EKSIK",""))))</f>
        <v/>
      </c>
      <c r="D616" s="16">
        <f>IF($C616="","",IF($C616="TARIH_BOS","Belge tarihi zorunlu",IF($C616="VKN_UZUNLUK","VKN 10 hane olmalı",IF($C616="TUTAR_NEGATIF","Toplam negatif olamaz",IF($C616="DONEM_EKSIK","Dönem zorunlu","Elle incele"))))</f>
        <v/>
      </c>
      <c r="E616" s="16">
        <f>IF($C616="","",IF(OR($C616="TUTAR_NEGATIF",$C616="TARIH_BOS"),"YUKSEK","ORTA"))</f>
        <v/>
      </c>
      <c r="F616" s="16">
        <f>IF($C616="","",IF(OR($C616="TARIH_BOS",$C616="VKN_UZUNLUK",$C616="TUTAR_NEGATIF",$C616="DONEM_EKSIK"),$C616,"TANIMSIZ"))</f>
        <v/>
      </c>
      <c r="G616" s="16">
        <f>IF($C616="","",1)</f>
        <v/>
      </c>
    </row>
    <row r="617">
      <c r="A617" s="16">
        <f>IF('VERI_A'!$A617="","",ROW()-ROW(tblVeriA[[#Headers]]))</f>
        <v/>
      </c>
      <c r="B617" s="23">
        <f>IF('VERI_A'!$A617="","",'VERI_A'!$A617)</f>
        <v/>
      </c>
      <c r="C617" s="16">
        <f>IF($B617="","",IF(OR('VERI_A'!$B617="",'VERI_A'!$B617=0),"TARIH_BOS",IF(LEN(TRIM('VERI_A'!$C617&amp;""))&lt;&gt;dbe_vknUzunluk,"VKN_UZUNLUK",IF('VERI_A'!$G617&lt;0,"TUTAR_NEGATIF",IF('VERI_A'!$I617="","DONEM_EKSIK",""))))</f>
        <v/>
      </c>
      <c r="D617" s="16">
        <f>IF($C617="","",IF($C617="TARIH_BOS","Belge tarihi zorunlu",IF($C617="VKN_UZUNLUK","VKN 10 hane olmalı",IF($C617="TUTAR_NEGATIF","Toplam negatif olamaz",IF($C617="DONEM_EKSIK","Dönem zorunlu","Elle incele"))))</f>
        <v/>
      </c>
      <c r="E617" s="16">
        <f>IF($C617="","",IF(OR($C617="TUTAR_NEGATIF",$C617="TARIH_BOS"),"YUKSEK","ORTA"))</f>
        <v/>
      </c>
      <c r="F617" s="16">
        <f>IF($C617="","",IF(OR($C617="TARIH_BOS",$C617="VKN_UZUNLUK",$C617="TUTAR_NEGATIF",$C617="DONEM_EKSIK"),$C617,"TANIMSIZ"))</f>
        <v/>
      </c>
      <c r="G617" s="16">
        <f>IF($C617="","",1)</f>
        <v/>
      </c>
    </row>
    <row r="618">
      <c r="A618" s="16">
        <f>IF('VERI_A'!$A618="","",ROW()-ROW(tblVeriA[[#Headers]]))</f>
        <v/>
      </c>
      <c r="B618" s="23">
        <f>IF('VERI_A'!$A618="","",'VERI_A'!$A618)</f>
        <v/>
      </c>
      <c r="C618" s="16">
        <f>IF($B618="","",IF(OR('VERI_A'!$B618="",'VERI_A'!$B618=0),"TARIH_BOS",IF(LEN(TRIM('VERI_A'!$C618&amp;""))&lt;&gt;dbe_vknUzunluk,"VKN_UZUNLUK",IF('VERI_A'!$G618&lt;0,"TUTAR_NEGATIF",IF('VERI_A'!$I618="","DONEM_EKSIK",""))))</f>
        <v/>
      </c>
      <c r="D618" s="16">
        <f>IF($C618="","",IF($C618="TARIH_BOS","Belge tarihi zorunlu",IF($C618="VKN_UZUNLUK","VKN 10 hane olmalı",IF($C618="TUTAR_NEGATIF","Toplam negatif olamaz",IF($C618="DONEM_EKSIK","Dönem zorunlu","Elle incele"))))</f>
        <v/>
      </c>
      <c r="E618" s="16">
        <f>IF($C618="","",IF(OR($C618="TUTAR_NEGATIF",$C618="TARIH_BOS"),"YUKSEK","ORTA"))</f>
        <v/>
      </c>
      <c r="F618" s="16">
        <f>IF($C618="","",IF(OR($C618="TARIH_BOS",$C618="VKN_UZUNLUK",$C618="TUTAR_NEGATIF",$C618="DONEM_EKSIK"),$C618,"TANIMSIZ"))</f>
        <v/>
      </c>
      <c r="G618" s="16">
        <f>IF($C618="","",1)</f>
        <v/>
      </c>
    </row>
    <row r="619">
      <c r="A619" s="16">
        <f>IF('VERI_A'!$A619="","",ROW()-ROW(tblVeriA[[#Headers]]))</f>
        <v/>
      </c>
      <c r="B619" s="23">
        <f>IF('VERI_A'!$A619="","",'VERI_A'!$A619)</f>
        <v/>
      </c>
      <c r="C619" s="16">
        <f>IF($B619="","",IF(OR('VERI_A'!$B619="",'VERI_A'!$B619=0),"TARIH_BOS",IF(LEN(TRIM('VERI_A'!$C619&amp;""))&lt;&gt;dbe_vknUzunluk,"VKN_UZUNLUK",IF('VERI_A'!$G619&lt;0,"TUTAR_NEGATIF",IF('VERI_A'!$I619="","DONEM_EKSIK",""))))</f>
        <v/>
      </c>
      <c r="D619" s="16">
        <f>IF($C619="","",IF($C619="TARIH_BOS","Belge tarihi zorunlu",IF($C619="VKN_UZUNLUK","VKN 10 hane olmalı",IF($C619="TUTAR_NEGATIF","Toplam negatif olamaz",IF($C619="DONEM_EKSIK","Dönem zorunlu","Elle incele"))))</f>
        <v/>
      </c>
      <c r="E619" s="16">
        <f>IF($C619="","",IF(OR($C619="TUTAR_NEGATIF",$C619="TARIH_BOS"),"YUKSEK","ORTA"))</f>
        <v/>
      </c>
      <c r="F619" s="16">
        <f>IF($C619="","",IF(OR($C619="TARIH_BOS",$C619="VKN_UZUNLUK",$C619="TUTAR_NEGATIF",$C619="DONEM_EKSIK"),$C619,"TANIMSIZ"))</f>
        <v/>
      </c>
      <c r="G619" s="16">
        <f>IF($C619="","",1)</f>
        <v/>
      </c>
    </row>
    <row r="620">
      <c r="A620" s="16">
        <f>IF('VERI_A'!$A620="","",ROW()-ROW(tblVeriA[[#Headers]]))</f>
        <v/>
      </c>
      <c r="B620" s="23">
        <f>IF('VERI_A'!$A620="","",'VERI_A'!$A620)</f>
        <v/>
      </c>
      <c r="C620" s="16">
        <f>IF($B620="","",IF(OR('VERI_A'!$B620="",'VERI_A'!$B620=0),"TARIH_BOS",IF(LEN(TRIM('VERI_A'!$C620&amp;""))&lt;&gt;dbe_vknUzunluk,"VKN_UZUNLUK",IF('VERI_A'!$G620&lt;0,"TUTAR_NEGATIF",IF('VERI_A'!$I620="","DONEM_EKSIK",""))))</f>
        <v/>
      </c>
      <c r="D620" s="16">
        <f>IF($C620="","",IF($C620="TARIH_BOS","Belge tarihi zorunlu",IF($C620="VKN_UZUNLUK","VKN 10 hane olmalı",IF($C620="TUTAR_NEGATIF","Toplam negatif olamaz",IF($C620="DONEM_EKSIK","Dönem zorunlu","Elle incele"))))</f>
        <v/>
      </c>
      <c r="E620" s="16">
        <f>IF($C620="","",IF(OR($C620="TUTAR_NEGATIF",$C620="TARIH_BOS"),"YUKSEK","ORTA"))</f>
        <v/>
      </c>
      <c r="F620" s="16">
        <f>IF($C620="","",IF(OR($C620="TARIH_BOS",$C620="VKN_UZUNLUK",$C620="TUTAR_NEGATIF",$C620="DONEM_EKSIK"),$C620,"TANIMSIZ"))</f>
        <v/>
      </c>
      <c r="G620" s="16">
        <f>IF($C620="","",1)</f>
        <v/>
      </c>
    </row>
    <row r="621">
      <c r="A621" s="16">
        <f>IF('VERI_A'!$A621="","",ROW()-ROW(tblVeriA[[#Headers]]))</f>
        <v/>
      </c>
      <c r="B621" s="23">
        <f>IF('VERI_A'!$A621="","",'VERI_A'!$A621)</f>
        <v/>
      </c>
      <c r="C621" s="16">
        <f>IF($B621="","",IF(OR('VERI_A'!$B621="",'VERI_A'!$B621=0),"TARIH_BOS",IF(LEN(TRIM('VERI_A'!$C621&amp;""))&lt;&gt;dbe_vknUzunluk,"VKN_UZUNLUK",IF('VERI_A'!$G621&lt;0,"TUTAR_NEGATIF",IF('VERI_A'!$I621="","DONEM_EKSIK",""))))</f>
        <v/>
      </c>
      <c r="D621" s="16">
        <f>IF($C621="","",IF($C621="TARIH_BOS","Belge tarihi zorunlu",IF($C621="VKN_UZUNLUK","VKN 10 hane olmalı",IF($C621="TUTAR_NEGATIF","Toplam negatif olamaz",IF($C621="DONEM_EKSIK","Dönem zorunlu","Elle incele"))))</f>
        <v/>
      </c>
      <c r="E621" s="16">
        <f>IF($C621="","",IF(OR($C621="TUTAR_NEGATIF",$C621="TARIH_BOS"),"YUKSEK","ORTA"))</f>
        <v/>
      </c>
      <c r="F621" s="16">
        <f>IF($C621="","",IF(OR($C621="TARIH_BOS",$C621="VKN_UZUNLUK",$C621="TUTAR_NEGATIF",$C621="DONEM_EKSIK"),$C621,"TANIMSIZ"))</f>
        <v/>
      </c>
      <c r="G621" s="16">
        <f>IF($C621="","",1)</f>
        <v/>
      </c>
    </row>
    <row r="622">
      <c r="A622" s="16">
        <f>IF('VERI_A'!$A622="","",ROW()-ROW(tblVeriA[[#Headers]]))</f>
        <v/>
      </c>
      <c r="B622" s="23">
        <f>IF('VERI_A'!$A622="","",'VERI_A'!$A622)</f>
        <v/>
      </c>
      <c r="C622" s="16">
        <f>IF($B622="","",IF(OR('VERI_A'!$B622="",'VERI_A'!$B622=0),"TARIH_BOS",IF(LEN(TRIM('VERI_A'!$C622&amp;""))&lt;&gt;dbe_vknUzunluk,"VKN_UZUNLUK",IF('VERI_A'!$G622&lt;0,"TUTAR_NEGATIF",IF('VERI_A'!$I622="","DONEM_EKSIK",""))))</f>
        <v/>
      </c>
      <c r="D622" s="16">
        <f>IF($C622="","",IF($C622="TARIH_BOS","Belge tarihi zorunlu",IF($C622="VKN_UZUNLUK","VKN 10 hane olmalı",IF($C622="TUTAR_NEGATIF","Toplam negatif olamaz",IF($C622="DONEM_EKSIK","Dönem zorunlu","Elle incele"))))</f>
        <v/>
      </c>
      <c r="E622" s="16">
        <f>IF($C622="","",IF(OR($C622="TUTAR_NEGATIF",$C622="TARIH_BOS"),"YUKSEK","ORTA"))</f>
        <v/>
      </c>
      <c r="F622" s="16">
        <f>IF($C622="","",IF(OR($C622="TARIH_BOS",$C622="VKN_UZUNLUK",$C622="TUTAR_NEGATIF",$C622="DONEM_EKSIK"),$C622,"TANIMSIZ"))</f>
        <v/>
      </c>
      <c r="G622" s="16">
        <f>IF($C622="","",1)</f>
        <v/>
      </c>
    </row>
    <row r="623">
      <c r="A623" s="16">
        <f>IF('VERI_A'!$A623="","",ROW()-ROW(tblVeriA[[#Headers]]))</f>
        <v/>
      </c>
      <c r="B623" s="23">
        <f>IF('VERI_A'!$A623="","",'VERI_A'!$A623)</f>
        <v/>
      </c>
      <c r="C623" s="16">
        <f>IF($B623="","",IF(OR('VERI_A'!$B623="",'VERI_A'!$B623=0),"TARIH_BOS",IF(LEN(TRIM('VERI_A'!$C623&amp;""))&lt;&gt;dbe_vknUzunluk,"VKN_UZUNLUK",IF('VERI_A'!$G623&lt;0,"TUTAR_NEGATIF",IF('VERI_A'!$I623="","DONEM_EKSIK",""))))</f>
        <v/>
      </c>
      <c r="D623" s="16">
        <f>IF($C623="","",IF($C623="TARIH_BOS","Belge tarihi zorunlu",IF($C623="VKN_UZUNLUK","VKN 10 hane olmalı",IF($C623="TUTAR_NEGATIF","Toplam negatif olamaz",IF($C623="DONEM_EKSIK","Dönem zorunlu","Elle incele"))))</f>
        <v/>
      </c>
      <c r="E623" s="16">
        <f>IF($C623="","",IF(OR($C623="TUTAR_NEGATIF",$C623="TARIH_BOS"),"YUKSEK","ORTA"))</f>
        <v/>
      </c>
      <c r="F623" s="16">
        <f>IF($C623="","",IF(OR($C623="TARIH_BOS",$C623="VKN_UZUNLUK",$C623="TUTAR_NEGATIF",$C623="DONEM_EKSIK"),$C623,"TANIMSIZ"))</f>
        <v/>
      </c>
      <c r="G623" s="16">
        <f>IF($C623="","",1)</f>
        <v/>
      </c>
    </row>
    <row r="624">
      <c r="A624" s="16">
        <f>IF('VERI_A'!$A624="","",ROW()-ROW(tblVeriA[[#Headers]]))</f>
        <v/>
      </c>
      <c r="B624" s="23">
        <f>IF('VERI_A'!$A624="","",'VERI_A'!$A624)</f>
        <v/>
      </c>
      <c r="C624" s="16">
        <f>IF($B624="","",IF(OR('VERI_A'!$B624="",'VERI_A'!$B624=0),"TARIH_BOS",IF(LEN(TRIM('VERI_A'!$C624&amp;""))&lt;&gt;dbe_vknUzunluk,"VKN_UZUNLUK",IF('VERI_A'!$G624&lt;0,"TUTAR_NEGATIF",IF('VERI_A'!$I624="","DONEM_EKSIK",""))))</f>
        <v/>
      </c>
      <c r="D624" s="16">
        <f>IF($C624="","",IF($C624="TARIH_BOS","Belge tarihi zorunlu",IF($C624="VKN_UZUNLUK","VKN 10 hane olmalı",IF($C624="TUTAR_NEGATIF","Toplam negatif olamaz",IF($C624="DONEM_EKSIK","Dönem zorunlu","Elle incele"))))</f>
        <v/>
      </c>
      <c r="E624" s="16">
        <f>IF($C624="","",IF(OR($C624="TUTAR_NEGATIF",$C624="TARIH_BOS"),"YUKSEK","ORTA"))</f>
        <v/>
      </c>
      <c r="F624" s="16">
        <f>IF($C624="","",IF(OR($C624="TARIH_BOS",$C624="VKN_UZUNLUK",$C624="TUTAR_NEGATIF",$C624="DONEM_EKSIK"),$C624,"TANIMSIZ"))</f>
        <v/>
      </c>
      <c r="G624" s="16">
        <f>IF($C624="","",1)</f>
        <v/>
      </c>
    </row>
    <row r="625">
      <c r="A625" s="16">
        <f>IF('VERI_A'!$A625="","",ROW()-ROW(tblVeriA[[#Headers]]))</f>
        <v/>
      </c>
      <c r="B625" s="23">
        <f>IF('VERI_A'!$A625="","",'VERI_A'!$A625)</f>
        <v/>
      </c>
      <c r="C625" s="16">
        <f>IF($B625="","",IF(OR('VERI_A'!$B625="",'VERI_A'!$B625=0),"TARIH_BOS",IF(LEN(TRIM('VERI_A'!$C625&amp;""))&lt;&gt;dbe_vknUzunluk,"VKN_UZUNLUK",IF('VERI_A'!$G625&lt;0,"TUTAR_NEGATIF",IF('VERI_A'!$I625="","DONEM_EKSIK",""))))</f>
        <v/>
      </c>
      <c r="D625" s="16">
        <f>IF($C625="","",IF($C625="TARIH_BOS","Belge tarihi zorunlu",IF($C625="VKN_UZUNLUK","VKN 10 hane olmalı",IF($C625="TUTAR_NEGATIF","Toplam negatif olamaz",IF($C625="DONEM_EKSIK","Dönem zorunlu","Elle incele"))))</f>
        <v/>
      </c>
      <c r="E625" s="16">
        <f>IF($C625="","",IF(OR($C625="TUTAR_NEGATIF",$C625="TARIH_BOS"),"YUKSEK","ORTA"))</f>
        <v/>
      </c>
      <c r="F625" s="16">
        <f>IF($C625="","",IF(OR($C625="TARIH_BOS",$C625="VKN_UZUNLUK",$C625="TUTAR_NEGATIF",$C625="DONEM_EKSIK"),$C625,"TANIMSIZ"))</f>
        <v/>
      </c>
      <c r="G625" s="16">
        <f>IF($C625="","",1)</f>
        <v/>
      </c>
    </row>
    <row r="626">
      <c r="A626" s="16">
        <f>IF('VERI_A'!$A626="","",ROW()-ROW(tblVeriA[[#Headers]]))</f>
        <v/>
      </c>
      <c r="B626" s="23">
        <f>IF('VERI_A'!$A626="","",'VERI_A'!$A626)</f>
        <v/>
      </c>
      <c r="C626" s="16">
        <f>IF($B626="","",IF(OR('VERI_A'!$B626="",'VERI_A'!$B626=0),"TARIH_BOS",IF(LEN(TRIM('VERI_A'!$C626&amp;""))&lt;&gt;dbe_vknUzunluk,"VKN_UZUNLUK",IF('VERI_A'!$G626&lt;0,"TUTAR_NEGATIF",IF('VERI_A'!$I626="","DONEM_EKSIK",""))))</f>
        <v/>
      </c>
      <c r="D626" s="16">
        <f>IF($C626="","",IF($C626="TARIH_BOS","Belge tarihi zorunlu",IF($C626="VKN_UZUNLUK","VKN 10 hane olmalı",IF($C626="TUTAR_NEGATIF","Toplam negatif olamaz",IF($C626="DONEM_EKSIK","Dönem zorunlu","Elle incele"))))</f>
        <v/>
      </c>
      <c r="E626" s="16">
        <f>IF($C626="","",IF(OR($C626="TUTAR_NEGATIF",$C626="TARIH_BOS"),"YUKSEK","ORTA"))</f>
        <v/>
      </c>
      <c r="F626" s="16">
        <f>IF($C626="","",IF(OR($C626="TARIH_BOS",$C626="VKN_UZUNLUK",$C626="TUTAR_NEGATIF",$C626="DONEM_EKSIK"),$C626,"TANIMSIZ"))</f>
        <v/>
      </c>
      <c r="G626" s="16">
        <f>IF($C626="","",1)</f>
        <v/>
      </c>
    </row>
    <row r="627">
      <c r="A627" s="16">
        <f>IF('VERI_A'!$A627="","",ROW()-ROW(tblVeriA[[#Headers]]))</f>
        <v/>
      </c>
      <c r="B627" s="23">
        <f>IF('VERI_A'!$A627="","",'VERI_A'!$A627)</f>
        <v/>
      </c>
      <c r="C627" s="16">
        <f>IF($B627="","",IF(OR('VERI_A'!$B627="",'VERI_A'!$B627=0),"TARIH_BOS",IF(LEN(TRIM('VERI_A'!$C627&amp;""))&lt;&gt;dbe_vknUzunluk,"VKN_UZUNLUK",IF('VERI_A'!$G627&lt;0,"TUTAR_NEGATIF",IF('VERI_A'!$I627="","DONEM_EKSIK",""))))</f>
        <v/>
      </c>
      <c r="D627" s="16">
        <f>IF($C627="","",IF($C627="TARIH_BOS","Belge tarihi zorunlu",IF($C627="VKN_UZUNLUK","VKN 10 hane olmalı",IF($C627="TUTAR_NEGATIF","Toplam negatif olamaz",IF($C627="DONEM_EKSIK","Dönem zorunlu","Elle incele"))))</f>
        <v/>
      </c>
      <c r="E627" s="16">
        <f>IF($C627="","",IF(OR($C627="TUTAR_NEGATIF",$C627="TARIH_BOS"),"YUKSEK","ORTA"))</f>
        <v/>
      </c>
      <c r="F627" s="16">
        <f>IF($C627="","",IF(OR($C627="TARIH_BOS",$C627="VKN_UZUNLUK",$C627="TUTAR_NEGATIF",$C627="DONEM_EKSIK"),$C627,"TANIMSIZ"))</f>
        <v/>
      </c>
      <c r="G627" s="16">
        <f>IF($C627="","",1)</f>
        <v/>
      </c>
    </row>
    <row r="628">
      <c r="A628" s="16">
        <f>IF('VERI_A'!$A628="","",ROW()-ROW(tblVeriA[[#Headers]]))</f>
        <v/>
      </c>
      <c r="B628" s="23">
        <f>IF('VERI_A'!$A628="","",'VERI_A'!$A628)</f>
        <v/>
      </c>
      <c r="C628" s="16">
        <f>IF($B628="","",IF(OR('VERI_A'!$B628="",'VERI_A'!$B628=0),"TARIH_BOS",IF(LEN(TRIM('VERI_A'!$C628&amp;""))&lt;&gt;dbe_vknUzunluk,"VKN_UZUNLUK",IF('VERI_A'!$G628&lt;0,"TUTAR_NEGATIF",IF('VERI_A'!$I628="","DONEM_EKSIK",""))))</f>
        <v/>
      </c>
      <c r="D628" s="16">
        <f>IF($C628="","",IF($C628="TARIH_BOS","Belge tarihi zorunlu",IF($C628="VKN_UZUNLUK","VKN 10 hane olmalı",IF($C628="TUTAR_NEGATIF","Toplam negatif olamaz",IF($C628="DONEM_EKSIK","Dönem zorunlu","Elle incele"))))</f>
        <v/>
      </c>
      <c r="E628" s="16">
        <f>IF($C628="","",IF(OR($C628="TUTAR_NEGATIF",$C628="TARIH_BOS"),"YUKSEK","ORTA"))</f>
        <v/>
      </c>
      <c r="F628" s="16">
        <f>IF($C628="","",IF(OR($C628="TARIH_BOS",$C628="VKN_UZUNLUK",$C628="TUTAR_NEGATIF",$C628="DONEM_EKSIK"),$C628,"TANIMSIZ"))</f>
        <v/>
      </c>
      <c r="G628" s="16">
        <f>IF($C628="","",1)</f>
        <v/>
      </c>
    </row>
    <row r="629">
      <c r="A629" s="16">
        <f>IF('VERI_A'!$A629="","",ROW()-ROW(tblVeriA[[#Headers]]))</f>
        <v/>
      </c>
      <c r="B629" s="23">
        <f>IF('VERI_A'!$A629="","",'VERI_A'!$A629)</f>
        <v/>
      </c>
      <c r="C629" s="16">
        <f>IF($B629="","",IF(OR('VERI_A'!$B629="",'VERI_A'!$B629=0),"TARIH_BOS",IF(LEN(TRIM('VERI_A'!$C629&amp;""))&lt;&gt;dbe_vknUzunluk,"VKN_UZUNLUK",IF('VERI_A'!$G629&lt;0,"TUTAR_NEGATIF",IF('VERI_A'!$I629="","DONEM_EKSIK",""))))</f>
        <v/>
      </c>
      <c r="D629" s="16">
        <f>IF($C629="","",IF($C629="TARIH_BOS","Belge tarihi zorunlu",IF($C629="VKN_UZUNLUK","VKN 10 hane olmalı",IF($C629="TUTAR_NEGATIF","Toplam negatif olamaz",IF($C629="DONEM_EKSIK","Dönem zorunlu","Elle incele"))))</f>
        <v/>
      </c>
      <c r="E629" s="16">
        <f>IF($C629="","",IF(OR($C629="TUTAR_NEGATIF",$C629="TARIH_BOS"),"YUKSEK","ORTA"))</f>
        <v/>
      </c>
      <c r="F629" s="16">
        <f>IF($C629="","",IF(OR($C629="TARIH_BOS",$C629="VKN_UZUNLUK",$C629="TUTAR_NEGATIF",$C629="DONEM_EKSIK"),$C629,"TANIMSIZ"))</f>
        <v/>
      </c>
      <c r="G629" s="16">
        <f>IF($C629="","",1)</f>
        <v/>
      </c>
    </row>
    <row r="630">
      <c r="A630" s="16">
        <f>IF('VERI_A'!$A630="","",ROW()-ROW(tblVeriA[[#Headers]]))</f>
        <v/>
      </c>
      <c r="B630" s="23">
        <f>IF('VERI_A'!$A630="","",'VERI_A'!$A630)</f>
        <v/>
      </c>
      <c r="C630" s="16">
        <f>IF($B630="","",IF(OR('VERI_A'!$B630="",'VERI_A'!$B630=0),"TARIH_BOS",IF(LEN(TRIM('VERI_A'!$C630&amp;""))&lt;&gt;dbe_vknUzunluk,"VKN_UZUNLUK",IF('VERI_A'!$G630&lt;0,"TUTAR_NEGATIF",IF('VERI_A'!$I630="","DONEM_EKSIK",""))))</f>
        <v/>
      </c>
      <c r="D630" s="16">
        <f>IF($C630="","",IF($C630="TARIH_BOS","Belge tarihi zorunlu",IF($C630="VKN_UZUNLUK","VKN 10 hane olmalı",IF($C630="TUTAR_NEGATIF","Toplam negatif olamaz",IF($C630="DONEM_EKSIK","Dönem zorunlu","Elle incele"))))</f>
        <v/>
      </c>
      <c r="E630" s="16">
        <f>IF($C630="","",IF(OR($C630="TUTAR_NEGATIF",$C630="TARIH_BOS"),"YUKSEK","ORTA"))</f>
        <v/>
      </c>
      <c r="F630" s="16">
        <f>IF($C630="","",IF(OR($C630="TARIH_BOS",$C630="VKN_UZUNLUK",$C630="TUTAR_NEGATIF",$C630="DONEM_EKSIK"),$C630,"TANIMSIZ"))</f>
        <v/>
      </c>
      <c r="G630" s="16">
        <f>IF($C630="","",1)</f>
        <v/>
      </c>
    </row>
    <row r="631">
      <c r="A631" s="16">
        <f>IF('VERI_A'!$A631="","",ROW()-ROW(tblVeriA[[#Headers]]))</f>
        <v/>
      </c>
      <c r="B631" s="23">
        <f>IF('VERI_A'!$A631="","",'VERI_A'!$A631)</f>
        <v/>
      </c>
      <c r="C631" s="16">
        <f>IF($B631="","",IF(OR('VERI_A'!$B631="",'VERI_A'!$B631=0),"TARIH_BOS",IF(LEN(TRIM('VERI_A'!$C631&amp;""))&lt;&gt;dbe_vknUzunluk,"VKN_UZUNLUK",IF('VERI_A'!$G631&lt;0,"TUTAR_NEGATIF",IF('VERI_A'!$I631="","DONEM_EKSIK",""))))</f>
        <v/>
      </c>
      <c r="D631" s="16">
        <f>IF($C631="","",IF($C631="TARIH_BOS","Belge tarihi zorunlu",IF($C631="VKN_UZUNLUK","VKN 10 hane olmalı",IF($C631="TUTAR_NEGATIF","Toplam negatif olamaz",IF($C631="DONEM_EKSIK","Dönem zorunlu","Elle incele"))))</f>
        <v/>
      </c>
      <c r="E631" s="16">
        <f>IF($C631="","",IF(OR($C631="TUTAR_NEGATIF",$C631="TARIH_BOS"),"YUKSEK","ORTA"))</f>
        <v/>
      </c>
      <c r="F631" s="16">
        <f>IF($C631="","",IF(OR($C631="TARIH_BOS",$C631="VKN_UZUNLUK",$C631="TUTAR_NEGATIF",$C631="DONEM_EKSIK"),$C631,"TANIMSIZ"))</f>
        <v/>
      </c>
      <c r="G631" s="16">
        <f>IF($C631="","",1)</f>
        <v/>
      </c>
    </row>
    <row r="632">
      <c r="A632" s="16">
        <f>IF('VERI_A'!$A632="","",ROW()-ROW(tblVeriA[[#Headers]]))</f>
        <v/>
      </c>
      <c r="B632" s="23">
        <f>IF('VERI_A'!$A632="","",'VERI_A'!$A632)</f>
        <v/>
      </c>
      <c r="C632" s="16">
        <f>IF($B632="","",IF(OR('VERI_A'!$B632="",'VERI_A'!$B632=0),"TARIH_BOS",IF(LEN(TRIM('VERI_A'!$C632&amp;""))&lt;&gt;dbe_vknUzunluk,"VKN_UZUNLUK",IF('VERI_A'!$G632&lt;0,"TUTAR_NEGATIF",IF('VERI_A'!$I632="","DONEM_EKSIK",""))))</f>
        <v/>
      </c>
      <c r="D632" s="16">
        <f>IF($C632="","",IF($C632="TARIH_BOS","Belge tarihi zorunlu",IF($C632="VKN_UZUNLUK","VKN 10 hane olmalı",IF($C632="TUTAR_NEGATIF","Toplam negatif olamaz",IF($C632="DONEM_EKSIK","Dönem zorunlu","Elle incele"))))</f>
        <v/>
      </c>
      <c r="E632" s="16">
        <f>IF($C632="","",IF(OR($C632="TUTAR_NEGATIF",$C632="TARIH_BOS"),"YUKSEK","ORTA"))</f>
        <v/>
      </c>
      <c r="F632" s="16">
        <f>IF($C632="","",IF(OR($C632="TARIH_BOS",$C632="VKN_UZUNLUK",$C632="TUTAR_NEGATIF",$C632="DONEM_EKSIK"),$C632,"TANIMSIZ"))</f>
        <v/>
      </c>
      <c r="G632" s="16">
        <f>IF($C632="","",1)</f>
        <v/>
      </c>
    </row>
    <row r="633">
      <c r="A633" s="16">
        <f>IF('VERI_A'!$A633="","",ROW()-ROW(tblVeriA[[#Headers]]))</f>
        <v/>
      </c>
      <c r="B633" s="23">
        <f>IF('VERI_A'!$A633="","",'VERI_A'!$A633)</f>
        <v/>
      </c>
      <c r="C633" s="16">
        <f>IF($B633="","",IF(OR('VERI_A'!$B633="",'VERI_A'!$B633=0),"TARIH_BOS",IF(LEN(TRIM('VERI_A'!$C633&amp;""))&lt;&gt;dbe_vknUzunluk,"VKN_UZUNLUK",IF('VERI_A'!$G633&lt;0,"TUTAR_NEGATIF",IF('VERI_A'!$I633="","DONEM_EKSIK",""))))</f>
        <v/>
      </c>
      <c r="D633" s="16">
        <f>IF($C633="","",IF($C633="TARIH_BOS","Belge tarihi zorunlu",IF($C633="VKN_UZUNLUK","VKN 10 hane olmalı",IF($C633="TUTAR_NEGATIF","Toplam negatif olamaz",IF($C633="DONEM_EKSIK","Dönem zorunlu","Elle incele"))))</f>
        <v/>
      </c>
      <c r="E633" s="16">
        <f>IF($C633="","",IF(OR($C633="TUTAR_NEGATIF",$C633="TARIH_BOS"),"YUKSEK","ORTA"))</f>
        <v/>
      </c>
      <c r="F633" s="16">
        <f>IF($C633="","",IF(OR($C633="TARIH_BOS",$C633="VKN_UZUNLUK",$C633="TUTAR_NEGATIF",$C633="DONEM_EKSIK"),$C633,"TANIMSIZ"))</f>
        <v/>
      </c>
      <c r="G633" s="16">
        <f>IF($C633="","",1)</f>
        <v/>
      </c>
    </row>
    <row r="634">
      <c r="A634" s="16">
        <f>IF('VERI_A'!$A634="","",ROW()-ROW(tblVeriA[[#Headers]]))</f>
        <v/>
      </c>
      <c r="B634" s="23">
        <f>IF('VERI_A'!$A634="","",'VERI_A'!$A634)</f>
        <v/>
      </c>
      <c r="C634" s="16">
        <f>IF($B634="","",IF(OR('VERI_A'!$B634="",'VERI_A'!$B634=0),"TARIH_BOS",IF(LEN(TRIM('VERI_A'!$C634&amp;""))&lt;&gt;dbe_vknUzunluk,"VKN_UZUNLUK",IF('VERI_A'!$G634&lt;0,"TUTAR_NEGATIF",IF('VERI_A'!$I634="","DONEM_EKSIK",""))))</f>
        <v/>
      </c>
      <c r="D634" s="16">
        <f>IF($C634="","",IF($C634="TARIH_BOS","Belge tarihi zorunlu",IF($C634="VKN_UZUNLUK","VKN 10 hane olmalı",IF($C634="TUTAR_NEGATIF","Toplam negatif olamaz",IF($C634="DONEM_EKSIK","Dönem zorunlu","Elle incele"))))</f>
        <v/>
      </c>
      <c r="E634" s="16">
        <f>IF($C634="","",IF(OR($C634="TUTAR_NEGATIF",$C634="TARIH_BOS"),"YUKSEK","ORTA"))</f>
        <v/>
      </c>
      <c r="F634" s="16">
        <f>IF($C634="","",IF(OR($C634="TARIH_BOS",$C634="VKN_UZUNLUK",$C634="TUTAR_NEGATIF",$C634="DONEM_EKSIK"),$C634,"TANIMSIZ"))</f>
        <v/>
      </c>
      <c r="G634" s="16">
        <f>IF($C634="","",1)</f>
        <v/>
      </c>
    </row>
    <row r="635">
      <c r="A635" s="16">
        <f>IF('VERI_A'!$A635="","",ROW()-ROW(tblVeriA[[#Headers]]))</f>
        <v/>
      </c>
      <c r="B635" s="23">
        <f>IF('VERI_A'!$A635="","",'VERI_A'!$A635)</f>
        <v/>
      </c>
      <c r="C635" s="16">
        <f>IF($B635="","",IF(OR('VERI_A'!$B635="",'VERI_A'!$B635=0),"TARIH_BOS",IF(LEN(TRIM('VERI_A'!$C635&amp;""))&lt;&gt;dbe_vknUzunluk,"VKN_UZUNLUK",IF('VERI_A'!$G635&lt;0,"TUTAR_NEGATIF",IF('VERI_A'!$I635="","DONEM_EKSIK",""))))</f>
        <v/>
      </c>
      <c r="D635" s="16">
        <f>IF($C635="","",IF($C635="TARIH_BOS","Belge tarihi zorunlu",IF($C635="VKN_UZUNLUK","VKN 10 hane olmalı",IF($C635="TUTAR_NEGATIF","Toplam negatif olamaz",IF($C635="DONEM_EKSIK","Dönem zorunlu","Elle incele"))))</f>
        <v/>
      </c>
      <c r="E635" s="16">
        <f>IF($C635="","",IF(OR($C635="TUTAR_NEGATIF",$C635="TARIH_BOS"),"YUKSEK","ORTA"))</f>
        <v/>
      </c>
      <c r="F635" s="16">
        <f>IF($C635="","",IF(OR($C635="TARIH_BOS",$C635="VKN_UZUNLUK",$C635="TUTAR_NEGATIF",$C635="DONEM_EKSIK"),$C635,"TANIMSIZ"))</f>
        <v/>
      </c>
      <c r="G635" s="16">
        <f>IF($C635="","",1)</f>
        <v/>
      </c>
    </row>
    <row r="636">
      <c r="A636" s="16">
        <f>IF('VERI_A'!$A636="","",ROW()-ROW(tblVeriA[[#Headers]]))</f>
        <v/>
      </c>
      <c r="B636" s="23">
        <f>IF('VERI_A'!$A636="","",'VERI_A'!$A636)</f>
        <v/>
      </c>
      <c r="C636" s="16">
        <f>IF($B636="","",IF(OR('VERI_A'!$B636="",'VERI_A'!$B636=0),"TARIH_BOS",IF(LEN(TRIM('VERI_A'!$C636&amp;""))&lt;&gt;dbe_vknUzunluk,"VKN_UZUNLUK",IF('VERI_A'!$G636&lt;0,"TUTAR_NEGATIF",IF('VERI_A'!$I636="","DONEM_EKSIK",""))))</f>
        <v/>
      </c>
      <c r="D636" s="16">
        <f>IF($C636="","",IF($C636="TARIH_BOS","Belge tarihi zorunlu",IF($C636="VKN_UZUNLUK","VKN 10 hane olmalı",IF($C636="TUTAR_NEGATIF","Toplam negatif olamaz",IF($C636="DONEM_EKSIK","Dönem zorunlu","Elle incele"))))</f>
        <v/>
      </c>
      <c r="E636" s="16">
        <f>IF($C636="","",IF(OR($C636="TUTAR_NEGATIF",$C636="TARIH_BOS"),"YUKSEK","ORTA"))</f>
        <v/>
      </c>
      <c r="F636" s="16">
        <f>IF($C636="","",IF(OR($C636="TARIH_BOS",$C636="VKN_UZUNLUK",$C636="TUTAR_NEGATIF",$C636="DONEM_EKSIK"),$C636,"TANIMSIZ"))</f>
        <v/>
      </c>
      <c r="G636" s="16">
        <f>IF($C636="","",1)</f>
        <v/>
      </c>
    </row>
    <row r="637">
      <c r="A637" s="16">
        <f>IF('VERI_A'!$A637="","",ROW()-ROW(tblVeriA[[#Headers]]))</f>
        <v/>
      </c>
      <c r="B637" s="23">
        <f>IF('VERI_A'!$A637="","",'VERI_A'!$A637)</f>
        <v/>
      </c>
      <c r="C637" s="16">
        <f>IF($B637="","",IF(OR('VERI_A'!$B637="",'VERI_A'!$B637=0),"TARIH_BOS",IF(LEN(TRIM('VERI_A'!$C637&amp;""))&lt;&gt;dbe_vknUzunluk,"VKN_UZUNLUK",IF('VERI_A'!$G637&lt;0,"TUTAR_NEGATIF",IF('VERI_A'!$I637="","DONEM_EKSIK",""))))</f>
        <v/>
      </c>
      <c r="D637" s="16">
        <f>IF($C637="","",IF($C637="TARIH_BOS","Belge tarihi zorunlu",IF($C637="VKN_UZUNLUK","VKN 10 hane olmalı",IF($C637="TUTAR_NEGATIF","Toplam negatif olamaz",IF($C637="DONEM_EKSIK","Dönem zorunlu","Elle incele"))))</f>
        <v/>
      </c>
      <c r="E637" s="16">
        <f>IF($C637="","",IF(OR($C637="TUTAR_NEGATIF",$C637="TARIH_BOS"),"YUKSEK","ORTA"))</f>
        <v/>
      </c>
      <c r="F637" s="16">
        <f>IF($C637="","",IF(OR($C637="TARIH_BOS",$C637="VKN_UZUNLUK",$C637="TUTAR_NEGATIF",$C637="DONEM_EKSIK"),$C637,"TANIMSIZ"))</f>
        <v/>
      </c>
      <c r="G637" s="16">
        <f>IF($C637="","",1)</f>
        <v/>
      </c>
    </row>
    <row r="638">
      <c r="A638" s="16">
        <f>IF('VERI_A'!$A638="","",ROW()-ROW(tblVeriA[[#Headers]]))</f>
        <v/>
      </c>
      <c r="B638" s="23">
        <f>IF('VERI_A'!$A638="","",'VERI_A'!$A638)</f>
        <v/>
      </c>
      <c r="C638" s="16">
        <f>IF($B638="","",IF(OR('VERI_A'!$B638="",'VERI_A'!$B638=0),"TARIH_BOS",IF(LEN(TRIM('VERI_A'!$C638&amp;""))&lt;&gt;dbe_vknUzunluk,"VKN_UZUNLUK",IF('VERI_A'!$G638&lt;0,"TUTAR_NEGATIF",IF('VERI_A'!$I638="","DONEM_EKSIK",""))))</f>
        <v/>
      </c>
      <c r="D638" s="16">
        <f>IF($C638="","",IF($C638="TARIH_BOS","Belge tarihi zorunlu",IF($C638="VKN_UZUNLUK","VKN 10 hane olmalı",IF($C638="TUTAR_NEGATIF","Toplam negatif olamaz",IF($C638="DONEM_EKSIK","Dönem zorunlu","Elle incele"))))</f>
        <v/>
      </c>
      <c r="E638" s="16">
        <f>IF($C638="","",IF(OR($C638="TUTAR_NEGATIF",$C638="TARIH_BOS"),"YUKSEK","ORTA"))</f>
        <v/>
      </c>
      <c r="F638" s="16">
        <f>IF($C638="","",IF(OR($C638="TARIH_BOS",$C638="VKN_UZUNLUK",$C638="TUTAR_NEGATIF",$C638="DONEM_EKSIK"),$C638,"TANIMSIZ"))</f>
        <v/>
      </c>
      <c r="G638" s="16">
        <f>IF($C638="","",1)</f>
        <v/>
      </c>
    </row>
    <row r="639">
      <c r="A639" s="16">
        <f>IF('VERI_A'!$A639="","",ROW()-ROW(tblVeriA[[#Headers]]))</f>
        <v/>
      </c>
      <c r="B639" s="23">
        <f>IF('VERI_A'!$A639="","",'VERI_A'!$A639)</f>
        <v/>
      </c>
      <c r="C639" s="16">
        <f>IF($B639="","",IF(OR('VERI_A'!$B639="",'VERI_A'!$B639=0),"TARIH_BOS",IF(LEN(TRIM('VERI_A'!$C639&amp;""))&lt;&gt;dbe_vknUzunluk,"VKN_UZUNLUK",IF('VERI_A'!$G639&lt;0,"TUTAR_NEGATIF",IF('VERI_A'!$I639="","DONEM_EKSIK",""))))</f>
        <v/>
      </c>
      <c r="D639" s="16">
        <f>IF($C639="","",IF($C639="TARIH_BOS","Belge tarihi zorunlu",IF($C639="VKN_UZUNLUK","VKN 10 hane olmalı",IF($C639="TUTAR_NEGATIF","Toplam negatif olamaz",IF($C639="DONEM_EKSIK","Dönem zorunlu","Elle incele"))))</f>
        <v/>
      </c>
      <c r="E639" s="16">
        <f>IF($C639="","",IF(OR($C639="TUTAR_NEGATIF",$C639="TARIH_BOS"),"YUKSEK","ORTA"))</f>
        <v/>
      </c>
      <c r="F639" s="16">
        <f>IF($C639="","",IF(OR($C639="TARIH_BOS",$C639="VKN_UZUNLUK",$C639="TUTAR_NEGATIF",$C639="DONEM_EKSIK"),$C639,"TANIMSIZ"))</f>
        <v/>
      </c>
      <c r="G639" s="16">
        <f>IF($C639="","",1)</f>
        <v/>
      </c>
    </row>
    <row r="640">
      <c r="A640" s="16">
        <f>IF('VERI_A'!$A640="","",ROW()-ROW(tblVeriA[[#Headers]]))</f>
        <v/>
      </c>
      <c r="B640" s="23">
        <f>IF('VERI_A'!$A640="","",'VERI_A'!$A640)</f>
        <v/>
      </c>
      <c r="C640" s="16">
        <f>IF($B640="","",IF(OR('VERI_A'!$B640="",'VERI_A'!$B640=0),"TARIH_BOS",IF(LEN(TRIM('VERI_A'!$C640&amp;""))&lt;&gt;dbe_vknUzunluk,"VKN_UZUNLUK",IF('VERI_A'!$G640&lt;0,"TUTAR_NEGATIF",IF('VERI_A'!$I640="","DONEM_EKSIK",""))))</f>
        <v/>
      </c>
      <c r="D640" s="16">
        <f>IF($C640="","",IF($C640="TARIH_BOS","Belge tarihi zorunlu",IF($C640="VKN_UZUNLUK","VKN 10 hane olmalı",IF($C640="TUTAR_NEGATIF","Toplam negatif olamaz",IF($C640="DONEM_EKSIK","Dönem zorunlu","Elle incele"))))</f>
        <v/>
      </c>
      <c r="E640" s="16">
        <f>IF($C640="","",IF(OR($C640="TUTAR_NEGATIF",$C640="TARIH_BOS"),"YUKSEK","ORTA"))</f>
        <v/>
      </c>
      <c r="F640" s="16">
        <f>IF($C640="","",IF(OR($C640="TARIH_BOS",$C640="VKN_UZUNLUK",$C640="TUTAR_NEGATIF",$C640="DONEM_EKSIK"),$C640,"TANIMSIZ"))</f>
        <v/>
      </c>
      <c r="G640" s="16">
        <f>IF($C640="","",1)</f>
        <v/>
      </c>
    </row>
    <row r="641">
      <c r="A641" s="16">
        <f>IF('VERI_A'!$A641="","",ROW()-ROW(tblVeriA[[#Headers]]))</f>
        <v/>
      </c>
      <c r="B641" s="23">
        <f>IF('VERI_A'!$A641="","",'VERI_A'!$A641)</f>
        <v/>
      </c>
      <c r="C641" s="16">
        <f>IF($B641="","",IF(OR('VERI_A'!$B641="",'VERI_A'!$B641=0),"TARIH_BOS",IF(LEN(TRIM('VERI_A'!$C641&amp;""))&lt;&gt;dbe_vknUzunluk,"VKN_UZUNLUK",IF('VERI_A'!$G641&lt;0,"TUTAR_NEGATIF",IF('VERI_A'!$I641="","DONEM_EKSIK",""))))</f>
        <v/>
      </c>
      <c r="D641" s="16">
        <f>IF($C641="","",IF($C641="TARIH_BOS","Belge tarihi zorunlu",IF($C641="VKN_UZUNLUK","VKN 10 hane olmalı",IF($C641="TUTAR_NEGATIF","Toplam negatif olamaz",IF($C641="DONEM_EKSIK","Dönem zorunlu","Elle incele"))))</f>
        <v/>
      </c>
      <c r="E641" s="16">
        <f>IF($C641="","",IF(OR($C641="TUTAR_NEGATIF",$C641="TARIH_BOS"),"YUKSEK","ORTA"))</f>
        <v/>
      </c>
      <c r="F641" s="16">
        <f>IF($C641="","",IF(OR($C641="TARIH_BOS",$C641="VKN_UZUNLUK",$C641="TUTAR_NEGATIF",$C641="DONEM_EKSIK"),$C641,"TANIMSIZ"))</f>
        <v/>
      </c>
      <c r="G641" s="16">
        <f>IF($C641="","",1)</f>
        <v/>
      </c>
    </row>
    <row r="642">
      <c r="A642" s="16">
        <f>IF('VERI_A'!$A642="","",ROW()-ROW(tblVeriA[[#Headers]]))</f>
        <v/>
      </c>
      <c r="B642" s="23">
        <f>IF('VERI_A'!$A642="","",'VERI_A'!$A642)</f>
        <v/>
      </c>
      <c r="C642" s="16">
        <f>IF($B642="","",IF(OR('VERI_A'!$B642="",'VERI_A'!$B642=0),"TARIH_BOS",IF(LEN(TRIM('VERI_A'!$C642&amp;""))&lt;&gt;dbe_vknUzunluk,"VKN_UZUNLUK",IF('VERI_A'!$G642&lt;0,"TUTAR_NEGATIF",IF('VERI_A'!$I642="","DONEM_EKSIK",""))))</f>
        <v/>
      </c>
      <c r="D642" s="16">
        <f>IF($C642="","",IF($C642="TARIH_BOS","Belge tarihi zorunlu",IF($C642="VKN_UZUNLUK","VKN 10 hane olmalı",IF($C642="TUTAR_NEGATIF","Toplam negatif olamaz",IF($C642="DONEM_EKSIK","Dönem zorunlu","Elle incele"))))</f>
        <v/>
      </c>
      <c r="E642" s="16">
        <f>IF($C642="","",IF(OR($C642="TUTAR_NEGATIF",$C642="TARIH_BOS"),"YUKSEK","ORTA"))</f>
        <v/>
      </c>
      <c r="F642" s="16">
        <f>IF($C642="","",IF(OR($C642="TARIH_BOS",$C642="VKN_UZUNLUK",$C642="TUTAR_NEGATIF",$C642="DONEM_EKSIK"),$C642,"TANIMSIZ"))</f>
        <v/>
      </c>
      <c r="G642" s="16">
        <f>IF($C642="","",1)</f>
        <v/>
      </c>
    </row>
    <row r="643">
      <c r="A643" s="16">
        <f>IF('VERI_A'!$A643="","",ROW()-ROW(tblVeriA[[#Headers]]))</f>
        <v/>
      </c>
      <c r="B643" s="23">
        <f>IF('VERI_A'!$A643="","",'VERI_A'!$A643)</f>
        <v/>
      </c>
      <c r="C643" s="16">
        <f>IF($B643="","",IF(OR('VERI_A'!$B643="",'VERI_A'!$B643=0),"TARIH_BOS",IF(LEN(TRIM('VERI_A'!$C643&amp;""))&lt;&gt;dbe_vknUzunluk,"VKN_UZUNLUK",IF('VERI_A'!$G643&lt;0,"TUTAR_NEGATIF",IF('VERI_A'!$I643="","DONEM_EKSIK",""))))</f>
        <v/>
      </c>
      <c r="D643" s="16">
        <f>IF($C643="","",IF($C643="TARIH_BOS","Belge tarihi zorunlu",IF($C643="VKN_UZUNLUK","VKN 10 hane olmalı",IF($C643="TUTAR_NEGATIF","Toplam negatif olamaz",IF($C643="DONEM_EKSIK","Dönem zorunlu","Elle incele"))))</f>
        <v/>
      </c>
      <c r="E643" s="16">
        <f>IF($C643="","",IF(OR($C643="TUTAR_NEGATIF",$C643="TARIH_BOS"),"YUKSEK","ORTA"))</f>
        <v/>
      </c>
      <c r="F643" s="16">
        <f>IF($C643="","",IF(OR($C643="TARIH_BOS",$C643="VKN_UZUNLUK",$C643="TUTAR_NEGATIF",$C643="DONEM_EKSIK"),$C643,"TANIMSIZ"))</f>
        <v/>
      </c>
      <c r="G643" s="16">
        <f>IF($C643="","",1)</f>
        <v/>
      </c>
    </row>
    <row r="644">
      <c r="A644" s="16">
        <f>IF('VERI_A'!$A644="","",ROW()-ROW(tblVeriA[[#Headers]]))</f>
        <v/>
      </c>
      <c r="B644" s="23">
        <f>IF('VERI_A'!$A644="","",'VERI_A'!$A644)</f>
        <v/>
      </c>
      <c r="C644" s="16">
        <f>IF($B644="","",IF(OR('VERI_A'!$B644="",'VERI_A'!$B644=0),"TARIH_BOS",IF(LEN(TRIM('VERI_A'!$C644&amp;""))&lt;&gt;dbe_vknUzunluk,"VKN_UZUNLUK",IF('VERI_A'!$G644&lt;0,"TUTAR_NEGATIF",IF('VERI_A'!$I644="","DONEM_EKSIK",""))))</f>
        <v/>
      </c>
      <c r="D644" s="16">
        <f>IF($C644="","",IF($C644="TARIH_BOS","Belge tarihi zorunlu",IF($C644="VKN_UZUNLUK","VKN 10 hane olmalı",IF($C644="TUTAR_NEGATIF","Toplam negatif olamaz",IF($C644="DONEM_EKSIK","Dönem zorunlu","Elle incele"))))</f>
        <v/>
      </c>
      <c r="E644" s="16">
        <f>IF($C644="","",IF(OR($C644="TUTAR_NEGATIF",$C644="TARIH_BOS"),"YUKSEK","ORTA"))</f>
        <v/>
      </c>
      <c r="F644" s="16">
        <f>IF($C644="","",IF(OR($C644="TARIH_BOS",$C644="VKN_UZUNLUK",$C644="TUTAR_NEGATIF",$C644="DONEM_EKSIK"),$C644,"TANIMSIZ"))</f>
        <v/>
      </c>
      <c r="G644" s="16">
        <f>IF($C644="","",1)</f>
        <v/>
      </c>
    </row>
    <row r="645">
      <c r="A645" s="16">
        <f>IF('VERI_A'!$A645="","",ROW()-ROW(tblVeriA[[#Headers]]))</f>
        <v/>
      </c>
      <c r="B645" s="23">
        <f>IF('VERI_A'!$A645="","",'VERI_A'!$A645)</f>
        <v/>
      </c>
      <c r="C645" s="16">
        <f>IF($B645="","",IF(OR('VERI_A'!$B645="",'VERI_A'!$B645=0),"TARIH_BOS",IF(LEN(TRIM('VERI_A'!$C645&amp;""))&lt;&gt;dbe_vknUzunluk,"VKN_UZUNLUK",IF('VERI_A'!$G645&lt;0,"TUTAR_NEGATIF",IF('VERI_A'!$I645="","DONEM_EKSIK",""))))</f>
        <v/>
      </c>
      <c r="D645" s="16">
        <f>IF($C645="","",IF($C645="TARIH_BOS","Belge tarihi zorunlu",IF($C645="VKN_UZUNLUK","VKN 10 hane olmalı",IF($C645="TUTAR_NEGATIF","Toplam negatif olamaz",IF($C645="DONEM_EKSIK","Dönem zorunlu","Elle incele"))))</f>
        <v/>
      </c>
      <c r="E645" s="16">
        <f>IF($C645="","",IF(OR($C645="TUTAR_NEGATIF",$C645="TARIH_BOS"),"YUKSEK","ORTA"))</f>
        <v/>
      </c>
      <c r="F645" s="16">
        <f>IF($C645="","",IF(OR($C645="TARIH_BOS",$C645="VKN_UZUNLUK",$C645="TUTAR_NEGATIF",$C645="DONEM_EKSIK"),$C645,"TANIMSIZ"))</f>
        <v/>
      </c>
      <c r="G645" s="16">
        <f>IF($C645="","",1)</f>
        <v/>
      </c>
    </row>
    <row r="646">
      <c r="A646" s="16">
        <f>IF('VERI_A'!$A646="","",ROW()-ROW(tblVeriA[[#Headers]]))</f>
        <v/>
      </c>
      <c r="B646" s="23">
        <f>IF('VERI_A'!$A646="","",'VERI_A'!$A646)</f>
        <v/>
      </c>
      <c r="C646" s="16">
        <f>IF($B646="","",IF(OR('VERI_A'!$B646="",'VERI_A'!$B646=0),"TARIH_BOS",IF(LEN(TRIM('VERI_A'!$C646&amp;""))&lt;&gt;dbe_vknUzunluk,"VKN_UZUNLUK",IF('VERI_A'!$G646&lt;0,"TUTAR_NEGATIF",IF('VERI_A'!$I646="","DONEM_EKSIK",""))))</f>
        <v/>
      </c>
      <c r="D646" s="16">
        <f>IF($C646="","",IF($C646="TARIH_BOS","Belge tarihi zorunlu",IF($C646="VKN_UZUNLUK","VKN 10 hane olmalı",IF($C646="TUTAR_NEGATIF","Toplam negatif olamaz",IF($C646="DONEM_EKSIK","Dönem zorunlu","Elle incele"))))</f>
        <v/>
      </c>
      <c r="E646" s="16">
        <f>IF($C646="","",IF(OR($C646="TUTAR_NEGATIF",$C646="TARIH_BOS"),"YUKSEK","ORTA"))</f>
        <v/>
      </c>
      <c r="F646" s="16">
        <f>IF($C646="","",IF(OR($C646="TARIH_BOS",$C646="VKN_UZUNLUK",$C646="TUTAR_NEGATIF",$C646="DONEM_EKSIK"),$C646,"TANIMSIZ"))</f>
        <v/>
      </c>
      <c r="G646" s="16">
        <f>IF($C646="","",1)</f>
        <v/>
      </c>
    </row>
    <row r="647">
      <c r="A647" s="16">
        <f>IF('VERI_A'!$A647="","",ROW()-ROW(tblVeriA[[#Headers]]))</f>
        <v/>
      </c>
      <c r="B647" s="23">
        <f>IF('VERI_A'!$A647="","",'VERI_A'!$A647)</f>
        <v/>
      </c>
      <c r="C647" s="16">
        <f>IF($B647="","",IF(OR('VERI_A'!$B647="",'VERI_A'!$B647=0),"TARIH_BOS",IF(LEN(TRIM('VERI_A'!$C647&amp;""))&lt;&gt;dbe_vknUzunluk,"VKN_UZUNLUK",IF('VERI_A'!$G647&lt;0,"TUTAR_NEGATIF",IF('VERI_A'!$I647="","DONEM_EKSIK",""))))</f>
        <v/>
      </c>
      <c r="D647" s="16">
        <f>IF($C647="","",IF($C647="TARIH_BOS","Belge tarihi zorunlu",IF($C647="VKN_UZUNLUK","VKN 10 hane olmalı",IF($C647="TUTAR_NEGATIF","Toplam negatif olamaz",IF($C647="DONEM_EKSIK","Dönem zorunlu","Elle incele"))))</f>
        <v/>
      </c>
      <c r="E647" s="16">
        <f>IF($C647="","",IF(OR($C647="TUTAR_NEGATIF",$C647="TARIH_BOS"),"YUKSEK","ORTA"))</f>
        <v/>
      </c>
      <c r="F647" s="16">
        <f>IF($C647="","",IF(OR($C647="TARIH_BOS",$C647="VKN_UZUNLUK",$C647="TUTAR_NEGATIF",$C647="DONEM_EKSIK"),$C647,"TANIMSIZ"))</f>
        <v/>
      </c>
      <c r="G647" s="16">
        <f>IF($C647="","",1)</f>
        <v/>
      </c>
    </row>
    <row r="648">
      <c r="A648" s="16">
        <f>IF('VERI_A'!$A648="","",ROW()-ROW(tblVeriA[[#Headers]]))</f>
        <v/>
      </c>
      <c r="B648" s="23">
        <f>IF('VERI_A'!$A648="","",'VERI_A'!$A648)</f>
        <v/>
      </c>
      <c r="C648" s="16">
        <f>IF($B648="","",IF(OR('VERI_A'!$B648="",'VERI_A'!$B648=0),"TARIH_BOS",IF(LEN(TRIM('VERI_A'!$C648&amp;""))&lt;&gt;dbe_vknUzunluk,"VKN_UZUNLUK",IF('VERI_A'!$G648&lt;0,"TUTAR_NEGATIF",IF('VERI_A'!$I648="","DONEM_EKSIK",""))))</f>
        <v/>
      </c>
      <c r="D648" s="16">
        <f>IF($C648="","",IF($C648="TARIH_BOS","Belge tarihi zorunlu",IF($C648="VKN_UZUNLUK","VKN 10 hane olmalı",IF($C648="TUTAR_NEGATIF","Toplam negatif olamaz",IF($C648="DONEM_EKSIK","Dönem zorunlu","Elle incele"))))</f>
        <v/>
      </c>
      <c r="E648" s="16">
        <f>IF($C648="","",IF(OR($C648="TUTAR_NEGATIF",$C648="TARIH_BOS"),"YUKSEK","ORTA"))</f>
        <v/>
      </c>
      <c r="F648" s="16">
        <f>IF($C648="","",IF(OR($C648="TARIH_BOS",$C648="VKN_UZUNLUK",$C648="TUTAR_NEGATIF",$C648="DONEM_EKSIK"),$C648,"TANIMSIZ"))</f>
        <v/>
      </c>
      <c r="G648" s="16">
        <f>IF($C648="","",1)</f>
        <v/>
      </c>
    </row>
    <row r="649">
      <c r="A649" s="16">
        <f>IF('VERI_A'!$A649="","",ROW()-ROW(tblVeriA[[#Headers]]))</f>
        <v/>
      </c>
      <c r="B649" s="23">
        <f>IF('VERI_A'!$A649="","",'VERI_A'!$A649)</f>
        <v/>
      </c>
      <c r="C649" s="16">
        <f>IF($B649="","",IF(OR('VERI_A'!$B649="",'VERI_A'!$B649=0),"TARIH_BOS",IF(LEN(TRIM('VERI_A'!$C649&amp;""))&lt;&gt;dbe_vknUzunluk,"VKN_UZUNLUK",IF('VERI_A'!$G649&lt;0,"TUTAR_NEGATIF",IF('VERI_A'!$I649="","DONEM_EKSIK",""))))</f>
        <v/>
      </c>
      <c r="D649" s="16">
        <f>IF($C649="","",IF($C649="TARIH_BOS","Belge tarihi zorunlu",IF($C649="VKN_UZUNLUK","VKN 10 hane olmalı",IF($C649="TUTAR_NEGATIF","Toplam negatif olamaz",IF($C649="DONEM_EKSIK","Dönem zorunlu","Elle incele"))))</f>
        <v/>
      </c>
      <c r="E649" s="16">
        <f>IF($C649="","",IF(OR($C649="TUTAR_NEGATIF",$C649="TARIH_BOS"),"YUKSEK","ORTA"))</f>
        <v/>
      </c>
      <c r="F649" s="16">
        <f>IF($C649="","",IF(OR($C649="TARIH_BOS",$C649="VKN_UZUNLUK",$C649="TUTAR_NEGATIF",$C649="DONEM_EKSIK"),$C649,"TANIMSIZ"))</f>
        <v/>
      </c>
      <c r="G649" s="16">
        <f>IF($C649="","",1)</f>
        <v/>
      </c>
    </row>
    <row r="650">
      <c r="A650" s="16">
        <f>IF('VERI_A'!$A650="","",ROW()-ROW(tblVeriA[[#Headers]]))</f>
        <v/>
      </c>
      <c r="B650" s="23">
        <f>IF('VERI_A'!$A650="","",'VERI_A'!$A650)</f>
        <v/>
      </c>
      <c r="C650" s="16">
        <f>IF($B650="","",IF(OR('VERI_A'!$B650="",'VERI_A'!$B650=0),"TARIH_BOS",IF(LEN(TRIM('VERI_A'!$C650&amp;""))&lt;&gt;dbe_vknUzunluk,"VKN_UZUNLUK",IF('VERI_A'!$G650&lt;0,"TUTAR_NEGATIF",IF('VERI_A'!$I650="","DONEM_EKSIK",""))))</f>
        <v/>
      </c>
      <c r="D650" s="16">
        <f>IF($C650="","",IF($C650="TARIH_BOS","Belge tarihi zorunlu",IF($C650="VKN_UZUNLUK","VKN 10 hane olmalı",IF($C650="TUTAR_NEGATIF","Toplam negatif olamaz",IF($C650="DONEM_EKSIK","Dönem zorunlu","Elle incele"))))</f>
        <v/>
      </c>
      <c r="E650" s="16">
        <f>IF($C650="","",IF(OR($C650="TUTAR_NEGATIF",$C650="TARIH_BOS"),"YUKSEK","ORTA"))</f>
        <v/>
      </c>
      <c r="F650" s="16">
        <f>IF($C650="","",IF(OR($C650="TARIH_BOS",$C650="VKN_UZUNLUK",$C650="TUTAR_NEGATIF",$C650="DONEM_EKSIK"),$C650,"TANIMSIZ"))</f>
        <v/>
      </c>
      <c r="G650" s="16">
        <f>IF($C650="","",1)</f>
        <v/>
      </c>
    </row>
    <row r="651">
      <c r="A651" s="16">
        <f>IF('VERI_A'!$A651="","",ROW()-ROW(tblVeriA[[#Headers]]))</f>
        <v/>
      </c>
      <c r="B651" s="23">
        <f>IF('VERI_A'!$A651="","",'VERI_A'!$A651)</f>
        <v/>
      </c>
      <c r="C651" s="16">
        <f>IF($B651="","",IF(OR('VERI_A'!$B651="",'VERI_A'!$B651=0),"TARIH_BOS",IF(LEN(TRIM('VERI_A'!$C651&amp;""))&lt;&gt;dbe_vknUzunluk,"VKN_UZUNLUK",IF('VERI_A'!$G651&lt;0,"TUTAR_NEGATIF",IF('VERI_A'!$I651="","DONEM_EKSIK",""))))</f>
        <v/>
      </c>
      <c r="D651" s="16">
        <f>IF($C651="","",IF($C651="TARIH_BOS","Belge tarihi zorunlu",IF($C651="VKN_UZUNLUK","VKN 10 hane olmalı",IF($C651="TUTAR_NEGATIF","Toplam negatif olamaz",IF($C651="DONEM_EKSIK","Dönem zorunlu","Elle incele"))))</f>
        <v/>
      </c>
      <c r="E651" s="16">
        <f>IF($C651="","",IF(OR($C651="TUTAR_NEGATIF",$C651="TARIH_BOS"),"YUKSEK","ORTA"))</f>
        <v/>
      </c>
      <c r="F651" s="16">
        <f>IF($C651="","",IF(OR($C651="TARIH_BOS",$C651="VKN_UZUNLUK",$C651="TUTAR_NEGATIF",$C651="DONEM_EKSIK"),$C651,"TANIMSIZ"))</f>
        <v/>
      </c>
      <c r="G651" s="16">
        <f>IF($C651="","",1)</f>
        <v/>
      </c>
    </row>
    <row r="652">
      <c r="A652" s="16">
        <f>IF('VERI_A'!$A652="","",ROW()-ROW(tblVeriA[[#Headers]]))</f>
        <v/>
      </c>
      <c r="B652" s="23">
        <f>IF('VERI_A'!$A652="","",'VERI_A'!$A652)</f>
        <v/>
      </c>
      <c r="C652" s="16">
        <f>IF($B652="","",IF(OR('VERI_A'!$B652="",'VERI_A'!$B652=0),"TARIH_BOS",IF(LEN(TRIM('VERI_A'!$C652&amp;""))&lt;&gt;dbe_vknUzunluk,"VKN_UZUNLUK",IF('VERI_A'!$G652&lt;0,"TUTAR_NEGATIF",IF('VERI_A'!$I652="","DONEM_EKSIK",""))))</f>
        <v/>
      </c>
      <c r="D652" s="16">
        <f>IF($C652="","",IF($C652="TARIH_BOS","Belge tarihi zorunlu",IF($C652="VKN_UZUNLUK","VKN 10 hane olmalı",IF($C652="TUTAR_NEGATIF","Toplam negatif olamaz",IF($C652="DONEM_EKSIK","Dönem zorunlu","Elle incele"))))</f>
        <v/>
      </c>
      <c r="E652" s="16">
        <f>IF($C652="","",IF(OR($C652="TUTAR_NEGATIF",$C652="TARIH_BOS"),"YUKSEK","ORTA"))</f>
        <v/>
      </c>
      <c r="F652" s="16">
        <f>IF($C652="","",IF(OR($C652="TARIH_BOS",$C652="VKN_UZUNLUK",$C652="TUTAR_NEGATIF",$C652="DONEM_EKSIK"),$C652,"TANIMSIZ"))</f>
        <v/>
      </c>
      <c r="G652" s="16">
        <f>IF($C652="","",1)</f>
        <v/>
      </c>
    </row>
    <row r="653">
      <c r="A653" s="16">
        <f>IF('VERI_A'!$A653="","",ROW()-ROW(tblVeriA[[#Headers]]))</f>
        <v/>
      </c>
      <c r="B653" s="23">
        <f>IF('VERI_A'!$A653="","",'VERI_A'!$A653)</f>
        <v/>
      </c>
      <c r="C653" s="16">
        <f>IF($B653="","",IF(OR('VERI_A'!$B653="",'VERI_A'!$B653=0),"TARIH_BOS",IF(LEN(TRIM('VERI_A'!$C653&amp;""))&lt;&gt;dbe_vknUzunluk,"VKN_UZUNLUK",IF('VERI_A'!$G653&lt;0,"TUTAR_NEGATIF",IF('VERI_A'!$I653="","DONEM_EKSIK",""))))</f>
        <v/>
      </c>
      <c r="D653" s="16">
        <f>IF($C653="","",IF($C653="TARIH_BOS","Belge tarihi zorunlu",IF($C653="VKN_UZUNLUK","VKN 10 hane olmalı",IF($C653="TUTAR_NEGATIF","Toplam negatif olamaz",IF($C653="DONEM_EKSIK","Dönem zorunlu","Elle incele"))))</f>
        <v/>
      </c>
      <c r="E653" s="16">
        <f>IF($C653="","",IF(OR($C653="TUTAR_NEGATIF",$C653="TARIH_BOS"),"YUKSEK","ORTA"))</f>
        <v/>
      </c>
      <c r="F653" s="16">
        <f>IF($C653="","",IF(OR($C653="TARIH_BOS",$C653="VKN_UZUNLUK",$C653="TUTAR_NEGATIF",$C653="DONEM_EKSIK"),$C653,"TANIMSIZ"))</f>
        <v/>
      </c>
      <c r="G653" s="16">
        <f>IF($C653="","",1)</f>
        <v/>
      </c>
    </row>
    <row r="654">
      <c r="A654" s="16">
        <f>IF('VERI_A'!$A654="","",ROW()-ROW(tblVeriA[[#Headers]]))</f>
        <v/>
      </c>
      <c r="B654" s="23">
        <f>IF('VERI_A'!$A654="","",'VERI_A'!$A654)</f>
        <v/>
      </c>
      <c r="C654" s="16">
        <f>IF($B654="","",IF(OR('VERI_A'!$B654="",'VERI_A'!$B654=0),"TARIH_BOS",IF(LEN(TRIM('VERI_A'!$C654&amp;""))&lt;&gt;dbe_vknUzunluk,"VKN_UZUNLUK",IF('VERI_A'!$G654&lt;0,"TUTAR_NEGATIF",IF('VERI_A'!$I654="","DONEM_EKSIK",""))))</f>
        <v/>
      </c>
      <c r="D654" s="16">
        <f>IF($C654="","",IF($C654="TARIH_BOS","Belge tarihi zorunlu",IF($C654="VKN_UZUNLUK","VKN 10 hane olmalı",IF($C654="TUTAR_NEGATIF","Toplam negatif olamaz",IF($C654="DONEM_EKSIK","Dönem zorunlu","Elle incele"))))</f>
        <v/>
      </c>
      <c r="E654" s="16">
        <f>IF($C654="","",IF(OR($C654="TUTAR_NEGATIF",$C654="TARIH_BOS"),"YUKSEK","ORTA"))</f>
        <v/>
      </c>
      <c r="F654" s="16">
        <f>IF($C654="","",IF(OR($C654="TARIH_BOS",$C654="VKN_UZUNLUK",$C654="TUTAR_NEGATIF",$C654="DONEM_EKSIK"),$C654,"TANIMSIZ"))</f>
        <v/>
      </c>
      <c r="G654" s="16">
        <f>IF($C654="","",1)</f>
        <v/>
      </c>
    </row>
    <row r="655">
      <c r="A655" s="16">
        <f>IF('VERI_A'!$A655="","",ROW()-ROW(tblVeriA[[#Headers]]))</f>
        <v/>
      </c>
      <c r="B655" s="23">
        <f>IF('VERI_A'!$A655="","",'VERI_A'!$A655)</f>
        <v/>
      </c>
      <c r="C655" s="16">
        <f>IF($B655="","",IF(OR('VERI_A'!$B655="",'VERI_A'!$B655=0),"TARIH_BOS",IF(LEN(TRIM('VERI_A'!$C655&amp;""))&lt;&gt;dbe_vknUzunluk,"VKN_UZUNLUK",IF('VERI_A'!$G655&lt;0,"TUTAR_NEGATIF",IF('VERI_A'!$I655="","DONEM_EKSIK",""))))</f>
        <v/>
      </c>
      <c r="D655" s="16">
        <f>IF($C655="","",IF($C655="TARIH_BOS","Belge tarihi zorunlu",IF($C655="VKN_UZUNLUK","VKN 10 hane olmalı",IF($C655="TUTAR_NEGATIF","Toplam negatif olamaz",IF($C655="DONEM_EKSIK","Dönem zorunlu","Elle incele"))))</f>
        <v/>
      </c>
      <c r="E655" s="16">
        <f>IF($C655="","",IF(OR($C655="TUTAR_NEGATIF",$C655="TARIH_BOS"),"YUKSEK","ORTA"))</f>
        <v/>
      </c>
      <c r="F655" s="16">
        <f>IF($C655="","",IF(OR($C655="TARIH_BOS",$C655="VKN_UZUNLUK",$C655="TUTAR_NEGATIF",$C655="DONEM_EKSIK"),$C655,"TANIMSIZ"))</f>
        <v/>
      </c>
      <c r="G655" s="16">
        <f>IF($C655="","",1)</f>
        <v/>
      </c>
    </row>
    <row r="656">
      <c r="A656" s="16">
        <f>IF('VERI_A'!$A656="","",ROW()-ROW(tblVeriA[[#Headers]]))</f>
        <v/>
      </c>
      <c r="B656" s="23">
        <f>IF('VERI_A'!$A656="","",'VERI_A'!$A656)</f>
        <v/>
      </c>
      <c r="C656" s="16">
        <f>IF($B656="","",IF(OR('VERI_A'!$B656="",'VERI_A'!$B656=0),"TARIH_BOS",IF(LEN(TRIM('VERI_A'!$C656&amp;""))&lt;&gt;dbe_vknUzunluk,"VKN_UZUNLUK",IF('VERI_A'!$G656&lt;0,"TUTAR_NEGATIF",IF('VERI_A'!$I656="","DONEM_EKSIK",""))))</f>
        <v/>
      </c>
      <c r="D656" s="16">
        <f>IF($C656="","",IF($C656="TARIH_BOS","Belge tarihi zorunlu",IF($C656="VKN_UZUNLUK","VKN 10 hane olmalı",IF($C656="TUTAR_NEGATIF","Toplam negatif olamaz",IF($C656="DONEM_EKSIK","Dönem zorunlu","Elle incele"))))</f>
        <v/>
      </c>
      <c r="E656" s="16">
        <f>IF($C656="","",IF(OR($C656="TUTAR_NEGATIF",$C656="TARIH_BOS"),"YUKSEK","ORTA"))</f>
        <v/>
      </c>
      <c r="F656" s="16">
        <f>IF($C656="","",IF(OR($C656="TARIH_BOS",$C656="VKN_UZUNLUK",$C656="TUTAR_NEGATIF",$C656="DONEM_EKSIK"),$C656,"TANIMSIZ"))</f>
        <v/>
      </c>
      <c r="G656" s="16">
        <f>IF($C656="","",1)</f>
        <v/>
      </c>
    </row>
    <row r="657">
      <c r="A657" s="16">
        <f>IF('VERI_A'!$A657="","",ROW()-ROW(tblVeriA[[#Headers]]))</f>
        <v/>
      </c>
      <c r="B657" s="23">
        <f>IF('VERI_A'!$A657="","",'VERI_A'!$A657)</f>
        <v/>
      </c>
      <c r="C657" s="16">
        <f>IF($B657="","",IF(OR('VERI_A'!$B657="",'VERI_A'!$B657=0),"TARIH_BOS",IF(LEN(TRIM('VERI_A'!$C657&amp;""))&lt;&gt;dbe_vknUzunluk,"VKN_UZUNLUK",IF('VERI_A'!$G657&lt;0,"TUTAR_NEGATIF",IF('VERI_A'!$I657="","DONEM_EKSIK",""))))</f>
        <v/>
      </c>
      <c r="D657" s="16">
        <f>IF($C657="","",IF($C657="TARIH_BOS","Belge tarihi zorunlu",IF($C657="VKN_UZUNLUK","VKN 10 hane olmalı",IF($C657="TUTAR_NEGATIF","Toplam negatif olamaz",IF($C657="DONEM_EKSIK","Dönem zorunlu","Elle incele"))))</f>
        <v/>
      </c>
      <c r="E657" s="16">
        <f>IF($C657="","",IF(OR($C657="TUTAR_NEGATIF",$C657="TARIH_BOS"),"YUKSEK","ORTA"))</f>
        <v/>
      </c>
      <c r="F657" s="16">
        <f>IF($C657="","",IF(OR($C657="TARIH_BOS",$C657="VKN_UZUNLUK",$C657="TUTAR_NEGATIF",$C657="DONEM_EKSIK"),$C657,"TANIMSIZ"))</f>
        <v/>
      </c>
      <c r="G657" s="16">
        <f>IF($C657="","",1)</f>
        <v/>
      </c>
    </row>
    <row r="658">
      <c r="A658" s="16">
        <f>IF('VERI_A'!$A658="","",ROW()-ROW(tblVeriA[[#Headers]]))</f>
        <v/>
      </c>
      <c r="B658" s="23">
        <f>IF('VERI_A'!$A658="","",'VERI_A'!$A658)</f>
        <v/>
      </c>
      <c r="C658" s="16">
        <f>IF($B658="","",IF(OR('VERI_A'!$B658="",'VERI_A'!$B658=0),"TARIH_BOS",IF(LEN(TRIM('VERI_A'!$C658&amp;""))&lt;&gt;dbe_vknUzunluk,"VKN_UZUNLUK",IF('VERI_A'!$G658&lt;0,"TUTAR_NEGATIF",IF('VERI_A'!$I658="","DONEM_EKSIK",""))))</f>
        <v/>
      </c>
      <c r="D658" s="16">
        <f>IF($C658="","",IF($C658="TARIH_BOS","Belge tarihi zorunlu",IF($C658="VKN_UZUNLUK","VKN 10 hane olmalı",IF($C658="TUTAR_NEGATIF","Toplam negatif olamaz",IF($C658="DONEM_EKSIK","Dönem zorunlu","Elle incele"))))</f>
        <v/>
      </c>
      <c r="E658" s="16">
        <f>IF($C658="","",IF(OR($C658="TUTAR_NEGATIF",$C658="TARIH_BOS"),"YUKSEK","ORTA"))</f>
        <v/>
      </c>
      <c r="F658" s="16">
        <f>IF($C658="","",IF(OR($C658="TARIH_BOS",$C658="VKN_UZUNLUK",$C658="TUTAR_NEGATIF",$C658="DONEM_EKSIK"),$C658,"TANIMSIZ"))</f>
        <v/>
      </c>
      <c r="G658" s="16">
        <f>IF($C658="","",1)</f>
        <v/>
      </c>
    </row>
    <row r="659">
      <c r="A659" s="16">
        <f>IF('VERI_A'!$A659="","",ROW()-ROW(tblVeriA[[#Headers]]))</f>
        <v/>
      </c>
      <c r="B659" s="23">
        <f>IF('VERI_A'!$A659="","",'VERI_A'!$A659)</f>
        <v/>
      </c>
      <c r="C659" s="16">
        <f>IF($B659="","",IF(OR('VERI_A'!$B659="",'VERI_A'!$B659=0),"TARIH_BOS",IF(LEN(TRIM('VERI_A'!$C659&amp;""))&lt;&gt;dbe_vknUzunluk,"VKN_UZUNLUK",IF('VERI_A'!$G659&lt;0,"TUTAR_NEGATIF",IF('VERI_A'!$I659="","DONEM_EKSIK",""))))</f>
        <v/>
      </c>
      <c r="D659" s="16">
        <f>IF($C659="","",IF($C659="TARIH_BOS","Belge tarihi zorunlu",IF($C659="VKN_UZUNLUK","VKN 10 hane olmalı",IF($C659="TUTAR_NEGATIF","Toplam negatif olamaz",IF($C659="DONEM_EKSIK","Dönem zorunlu","Elle incele"))))</f>
        <v/>
      </c>
      <c r="E659" s="16">
        <f>IF($C659="","",IF(OR($C659="TUTAR_NEGATIF",$C659="TARIH_BOS"),"YUKSEK","ORTA"))</f>
        <v/>
      </c>
      <c r="F659" s="16">
        <f>IF($C659="","",IF(OR($C659="TARIH_BOS",$C659="VKN_UZUNLUK",$C659="TUTAR_NEGATIF",$C659="DONEM_EKSIK"),$C659,"TANIMSIZ"))</f>
        <v/>
      </c>
      <c r="G659" s="16">
        <f>IF($C659="","",1)</f>
        <v/>
      </c>
    </row>
    <row r="660">
      <c r="A660" s="16">
        <f>IF('VERI_A'!$A660="","",ROW()-ROW(tblVeriA[[#Headers]]))</f>
        <v/>
      </c>
      <c r="B660" s="23">
        <f>IF('VERI_A'!$A660="","",'VERI_A'!$A660)</f>
        <v/>
      </c>
      <c r="C660" s="16">
        <f>IF($B660="","",IF(OR('VERI_A'!$B660="",'VERI_A'!$B660=0),"TARIH_BOS",IF(LEN(TRIM('VERI_A'!$C660&amp;""))&lt;&gt;dbe_vknUzunluk,"VKN_UZUNLUK",IF('VERI_A'!$G660&lt;0,"TUTAR_NEGATIF",IF('VERI_A'!$I660="","DONEM_EKSIK",""))))</f>
        <v/>
      </c>
      <c r="D660" s="16">
        <f>IF($C660="","",IF($C660="TARIH_BOS","Belge tarihi zorunlu",IF($C660="VKN_UZUNLUK","VKN 10 hane olmalı",IF($C660="TUTAR_NEGATIF","Toplam negatif olamaz",IF($C660="DONEM_EKSIK","Dönem zorunlu","Elle incele"))))</f>
        <v/>
      </c>
      <c r="E660" s="16">
        <f>IF($C660="","",IF(OR($C660="TUTAR_NEGATIF",$C660="TARIH_BOS"),"YUKSEK","ORTA"))</f>
        <v/>
      </c>
      <c r="F660" s="16">
        <f>IF($C660="","",IF(OR($C660="TARIH_BOS",$C660="VKN_UZUNLUK",$C660="TUTAR_NEGATIF",$C660="DONEM_EKSIK"),$C660,"TANIMSIZ"))</f>
        <v/>
      </c>
      <c r="G660" s="16">
        <f>IF($C660="","",1)</f>
        <v/>
      </c>
    </row>
    <row r="661">
      <c r="A661" s="16">
        <f>IF('VERI_A'!$A661="","",ROW()-ROW(tblVeriA[[#Headers]]))</f>
        <v/>
      </c>
      <c r="B661" s="23">
        <f>IF('VERI_A'!$A661="","",'VERI_A'!$A661)</f>
        <v/>
      </c>
      <c r="C661" s="16">
        <f>IF($B661="","",IF(OR('VERI_A'!$B661="",'VERI_A'!$B661=0),"TARIH_BOS",IF(LEN(TRIM('VERI_A'!$C661&amp;""))&lt;&gt;dbe_vknUzunluk,"VKN_UZUNLUK",IF('VERI_A'!$G661&lt;0,"TUTAR_NEGATIF",IF('VERI_A'!$I661="","DONEM_EKSIK",""))))</f>
        <v/>
      </c>
      <c r="D661" s="16">
        <f>IF($C661="","",IF($C661="TARIH_BOS","Belge tarihi zorunlu",IF($C661="VKN_UZUNLUK","VKN 10 hane olmalı",IF($C661="TUTAR_NEGATIF","Toplam negatif olamaz",IF($C661="DONEM_EKSIK","Dönem zorunlu","Elle incele"))))</f>
        <v/>
      </c>
      <c r="E661" s="16">
        <f>IF($C661="","",IF(OR($C661="TUTAR_NEGATIF",$C661="TARIH_BOS"),"YUKSEK","ORTA"))</f>
        <v/>
      </c>
      <c r="F661" s="16">
        <f>IF($C661="","",IF(OR($C661="TARIH_BOS",$C661="VKN_UZUNLUK",$C661="TUTAR_NEGATIF",$C661="DONEM_EKSIK"),$C661,"TANIMSIZ"))</f>
        <v/>
      </c>
      <c r="G661" s="16">
        <f>IF($C661="","",1)</f>
        <v/>
      </c>
    </row>
    <row r="662">
      <c r="A662" s="16">
        <f>IF('VERI_A'!$A662="","",ROW()-ROW(tblVeriA[[#Headers]]))</f>
        <v/>
      </c>
      <c r="B662" s="23">
        <f>IF('VERI_A'!$A662="","",'VERI_A'!$A662)</f>
        <v/>
      </c>
      <c r="C662" s="16">
        <f>IF($B662="","",IF(OR('VERI_A'!$B662="",'VERI_A'!$B662=0),"TARIH_BOS",IF(LEN(TRIM('VERI_A'!$C662&amp;""))&lt;&gt;dbe_vknUzunluk,"VKN_UZUNLUK",IF('VERI_A'!$G662&lt;0,"TUTAR_NEGATIF",IF('VERI_A'!$I662="","DONEM_EKSIK",""))))</f>
        <v/>
      </c>
      <c r="D662" s="16">
        <f>IF($C662="","",IF($C662="TARIH_BOS","Belge tarihi zorunlu",IF($C662="VKN_UZUNLUK","VKN 10 hane olmalı",IF($C662="TUTAR_NEGATIF","Toplam negatif olamaz",IF($C662="DONEM_EKSIK","Dönem zorunlu","Elle incele"))))</f>
        <v/>
      </c>
      <c r="E662" s="16">
        <f>IF($C662="","",IF(OR($C662="TUTAR_NEGATIF",$C662="TARIH_BOS"),"YUKSEK","ORTA"))</f>
        <v/>
      </c>
      <c r="F662" s="16">
        <f>IF($C662="","",IF(OR($C662="TARIH_BOS",$C662="VKN_UZUNLUK",$C662="TUTAR_NEGATIF",$C662="DONEM_EKSIK"),$C662,"TANIMSIZ"))</f>
        <v/>
      </c>
      <c r="G662" s="16">
        <f>IF($C662="","",1)</f>
        <v/>
      </c>
    </row>
    <row r="663">
      <c r="A663" s="16">
        <f>IF('VERI_A'!$A663="","",ROW()-ROW(tblVeriA[[#Headers]]))</f>
        <v/>
      </c>
      <c r="B663" s="23">
        <f>IF('VERI_A'!$A663="","",'VERI_A'!$A663)</f>
        <v/>
      </c>
      <c r="C663" s="16">
        <f>IF($B663="","",IF(OR('VERI_A'!$B663="",'VERI_A'!$B663=0),"TARIH_BOS",IF(LEN(TRIM('VERI_A'!$C663&amp;""))&lt;&gt;dbe_vknUzunluk,"VKN_UZUNLUK",IF('VERI_A'!$G663&lt;0,"TUTAR_NEGATIF",IF('VERI_A'!$I663="","DONEM_EKSIK",""))))</f>
        <v/>
      </c>
      <c r="D663" s="16">
        <f>IF($C663="","",IF($C663="TARIH_BOS","Belge tarihi zorunlu",IF($C663="VKN_UZUNLUK","VKN 10 hane olmalı",IF($C663="TUTAR_NEGATIF","Toplam negatif olamaz",IF($C663="DONEM_EKSIK","Dönem zorunlu","Elle incele"))))</f>
        <v/>
      </c>
      <c r="E663" s="16">
        <f>IF($C663="","",IF(OR($C663="TUTAR_NEGATIF",$C663="TARIH_BOS"),"YUKSEK","ORTA"))</f>
        <v/>
      </c>
      <c r="F663" s="16">
        <f>IF($C663="","",IF(OR($C663="TARIH_BOS",$C663="VKN_UZUNLUK",$C663="TUTAR_NEGATIF",$C663="DONEM_EKSIK"),$C663,"TANIMSIZ"))</f>
        <v/>
      </c>
      <c r="G663" s="16">
        <f>IF($C663="","",1)</f>
        <v/>
      </c>
    </row>
    <row r="664">
      <c r="A664" s="16">
        <f>IF('VERI_A'!$A664="","",ROW()-ROW(tblVeriA[[#Headers]]))</f>
        <v/>
      </c>
      <c r="B664" s="23">
        <f>IF('VERI_A'!$A664="","",'VERI_A'!$A664)</f>
        <v/>
      </c>
      <c r="C664" s="16">
        <f>IF($B664="","",IF(OR('VERI_A'!$B664="",'VERI_A'!$B664=0),"TARIH_BOS",IF(LEN(TRIM('VERI_A'!$C664&amp;""))&lt;&gt;dbe_vknUzunluk,"VKN_UZUNLUK",IF('VERI_A'!$G664&lt;0,"TUTAR_NEGATIF",IF('VERI_A'!$I664="","DONEM_EKSIK",""))))</f>
        <v/>
      </c>
      <c r="D664" s="16">
        <f>IF($C664="","",IF($C664="TARIH_BOS","Belge tarihi zorunlu",IF($C664="VKN_UZUNLUK","VKN 10 hane olmalı",IF($C664="TUTAR_NEGATIF","Toplam negatif olamaz",IF($C664="DONEM_EKSIK","Dönem zorunlu","Elle incele"))))</f>
        <v/>
      </c>
      <c r="E664" s="16">
        <f>IF($C664="","",IF(OR($C664="TUTAR_NEGATIF",$C664="TARIH_BOS"),"YUKSEK","ORTA"))</f>
        <v/>
      </c>
      <c r="F664" s="16">
        <f>IF($C664="","",IF(OR($C664="TARIH_BOS",$C664="VKN_UZUNLUK",$C664="TUTAR_NEGATIF",$C664="DONEM_EKSIK"),$C664,"TANIMSIZ"))</f>
        <v/>
      </c>
      <c r="G664" s="16">
        <f>IF($C664="","",1)</f>
        <v/>
      </c>
    </row>
    <row r="665">
      <c r="A665" s="16">
        <f>IF('VERI_A'!$A665="","",ROW()-ROW(tblVeriA[[#Headers]]))</f>
        <v/>
      </c>
      <c r="B665" s="23">
        <f>IF('VERI_A'!$A665="","",'VERI_A'!$A665)</f>
        <v/>
      </c>
      <c r="C665" s="16">
        <f>IF($B665="","",IF(OR('VERI_A'!$B665="",'VERI_A'!$B665=0),"TARIH_BOS",IF(LEN(TRIM('VERI_A'!$C665&amp;""))&lt;&gt;dbe_vknUzunluk,"VKN_UZUNLUK",IF('VERI_A'!$G665&lt;0,"TUTAR_NEGATIF",IF('VERI_A'!$I665="","DONEM_EKSIK",""))))</f>
        <v/>
      </c>
      <c r="D665" s="16">
        <f>IF($C665="","",IF($C665="TARIH_BOS","Belge tarihi zorunlu",IF($C665="VKN_UZUNLUK","VKN 10 hane olmalı",IF($C665="TUTAR_NEGATIF","Toplam negatif olamaz",IF($C665="DONEM_EKSIK","Dönem zorunlu","Elle incele"))))</f>
        <v/>
      </c>
      <c r="E665" s="16">
        <f>IF($C665="","",IF(OR($C665="TUTAR_NEGATIF",$C665="TARIH_BOS"),"YUKSEK","ORTA"))</f>
        <v/>
      </c>
      <c r="F665" s="16">
        <f>IF($C665="","",IF(OR($C665="TARIH_BOS",$C665="VKN_UZUNLUK",$C665="TUTAR_NEGATIF",$C665="DONEM_EKSIK"),$C665,"TANIMSIZ"))</f>
        <v/>
      </c>
      <c r="G665" s="16">
        <f>IF($C665="","",1)</f>
        <v/>
      </c>
    </row>
    <row r="666">
      <c r="A666" s="16">
        <f>IF('VERI_A'!$A666="","",ROW()-ROW(tblVeriA[[#Headers]]))</f>
        <v/>
      </c>
      <c r="B666" s="23">
        <f>IF('VERI_A'!$A666="","",'VERI_A'!$A666)</f>
        <v/>
      </c>
      <c r="C666" s="16">
        <f>IF($B666="","",IF(OR('VERI_A'!$B666="",'VERI_A'!$B666=0),"TARIH_BOS",IF(LEN(TRIM('VERI_A'!$C666&amp;""))&lt;&gt;dbe_vknUzunluk,"VKN_UZUNLUK",IF('VERI_A'!$G666&lt;0,"TUTAR_NEGATIF",IF('VERI_A'!$I666="","DONEM_EKSIK",""))))</f>
        <v/>
      </c>
      <c r="D666" s="16">
        <f>IF($C666="","",IF($C666="TARIH_BOS","Belge tarihi zorunlu",IF($C666="VKN_UZUNLUK","VKN 10 hane olmalı",IF($C666="TUTAR_NEGATIF","Toplam negatif olamaz",IF($C666="DONEM_EKSIK","Dönem zorunlu","Elle incele"))))</f>
        <v/>
      </c>
      <c r="E666" s="16">
        <f>IF($C666="","",IF(OR($C666="TUTAR_NEGATIF",$C666="TARIH_BOS"),"YUKSEK","ORTA"))</f>
        <v/>
      </c>
      <c r="F666" s="16">
        <f>IF($C666="","",IF(OR($C666="TARIH_BOS",$C666="VKN_UZUNLUK",$C666="TUTAR_NEGATIF",$C666="DONEM_EKSIK"),$C666,"TANIMSIZ"))</f>
        <v/>
      </c>
      <c r="G666" s="16">
        <f>IF($C666="","",1)</f>
        <v/>
      </c>
    </row>
    <row r="667">
      <c r="A667" s="16">
        <f>IF('VERI_A'!$A667="","",ROW()-ROW(tblVeriA[[#Headers]]))</f>
        <v/>
      </c>
      <c r="B667" s="23">
        <f>IF('VERI_A'!$A667="","",'VERI_A'!$A667)</f>
        <v/>
      </c>
      <c r="C667" s="16">
        <f>IF($B667="","",IF(OR('VERI_A'!$B667="",'VERI_A'!$B667=0),"TARIH_BOS",IF(LEN(TRIM('VERI_A'!$C667&amp;""))&lt;&gt;dbe_vknUzunluk,"VKN_UZUNLUK",IF('VERI_A'!$G667&lt;0,"TUTAR_NEGATIF",IF('VERI_A'!$I667="","DONEM_EKSIK",""))))</f>
        <v/>
      </c>
      <c r="D667" s="16">
        <f>IF($C667="","",IF($C667="TARIH_BOS","Belge tarihi zorunlu",IF($C667="VKN_UZUNLUK","VKN 10 hane olmalı",IF($C667="TUTAR_NEGATIF","Toplam negatif olamaz",IF($C667="DONEM_EKSIK","Dönem zorunlu","Elle incele"))))</f>
        <v/>
      </c>
      <c r="E667" s="16">
        <f>IF($C667="","",IF(OR($C667="TUTAR_NEGATIF",$C667="TARIH_BOS"),"YUKSEK","ORTA"))</f>
        <v/>
      </c>
      <c r="F667" s="16">
        <f>IF($C667="","",IF(OR($C667="TARIH_BOS",$C667="VKN_UZUNLUK",$C667="TUTAR_NEGATIF",$C667="DONEM_EKSIK"),$C667,"TANIMSIZ"))</f>
        <v/>
      </c>
      <c r="G667" s="16">
        <f>IF($C667="","",1)</f>
        <v/>
      </c>
    </row>
    <row r="668">
      <c r="A668" s="16">
        <f>IF('VERI_A'!$A668="","",ROW()-ROW(tblVeriA[[#Headers]]))</f>
        <v/>
      </c>
      <c r="B668" s="23">
        <f>IF('VERI_A'!$A668="","",'VERI_A'!$A668)</f>
        <v/>
      </c>
      <c r="C668" s="16">
        <f>IF($B668="","",IF(OR('VERI_A'!$B668="",'VERI_A'!$B668=0),"TARIH_BOS",IF(LEN(TRIM('VERI_A'!$C668&amp;""))&lt;&gt;dbe_vknUzunluk,"VKN_UZUNLUK",IF('VERI_A'!$G668&lt;0,"TUTAR_NEGATIF",IF('VERI_A'!$I668="","DONEM_EKSIK",""))))</f>
        <v/>
      </c>
      <c r="D668" s="16">
        <f>IF($C668="","",IF($C668="TARIH_BOS","Belge tarihi zorunlu",IF($C668="VKN_UZUNLUK","VKN 10 hane olmalı",IF($C668="TUTAR_NEGATIF","Toplam negatif olamaz",IF($C668="DONEM_EKSIK","Dönem zorunlu","Elle incele"))))</f>
        <v/>
      </c>
      <c r="E668" s="16">
        <f>IF($C668="","",IF(OR($C668="TUTAR_NEGATIF",$C668="TARIH_BOS"),"YUKSEK","ORTA"))</f>
        <v/>
      </c>
      <c r="F668" s="16">
        <f>IF($C668="","",IF(OR($C668="TARIH_BOS",$C668="VKN_UZUNLUK",$C668="TUTAR_NEGATIF",$C668="DONEM_EKSIK"),$C668,"TANIMSIZ"))</f>
        <v/>
      </c>
      <c r="G668" s="16">
        <f>IF($C668="","",1)</f>
        <v/>
      </c>
    </row>
    <row r="669">
      <c r="A669" s="16">
        <f>IF('VERI_A'!$A669="","",ROW()-ROW(tblVeriA[[#Headers]]))</f>
        <v/>
      </c>
      <c r="B669" s="23">
        <f>IF('VERI_A'!$A669="","",'VERI_A'!$A669)</f>
        <v/>
      </c>
      <c r="C669" s="16">
        <f>IF($B669="","",IF(OR('VERI_A'!$B669="",'VERI_A'!$B669=0),"TARIH_BOS",IF(LEN(TRIM('VERI_A'!$C669&amp;""))&lt;&gt;dbe_vknUzunluk,"VKN_UZUNLUK",IF('VERI_A'!$G669&lt;0,"TUTAR_NEGATIF",IF('VERI_A'!$I669="","DONEM_EKSIK",""))))</f>
        <v/>
      </c>
      <c r="D669" s="16">
        <f>IF($C669="","",IF($C669="TARIH_BOS","Belge tarihi zorunlu",IF($C669="VKN_UZUNLUK","VKN 10 hane olmalı",IF($C669="TUTAR_NEGATIF","Toplam negatif olamaz",IF($C669="DONEM_EKSIK","Dönem zorunlu","Elle incele"))))</f>
        <v/>
      </c>
      <c r="E669" s="16">
        <f>IF($C669="","",IF(OR($C669="TUTAR_NEGATIF",$C669="TARIH_BOS"),"YUKSEK","ORTA"))</f>
        <v/>
      </c>
      <c r="F669" s="16">
        <f>IF($C669="","",IF(OR($C669="TARIH_BOS",$C669="VKN_UZUNLUK",$C669="TUTAR_NEGATIF",$C669="DONEM_EKSIK"),$C669,"TANIMSIZ"))</f>
        <v/>
      </c>
      <c r="G669" s="16">
        <f>IF($C669="","",1)</f>
        <v/>
      </c>
    </row>
    <row r="670">
      <c r="A670" s="16">
        <f>IF('VERI_A'!$A670="","",ROW()-ROW(tblVeriA[[#Headers]]))</f>
        <v/>
      </c>
      <c r="B670" s="23">
        <f>IF('VERI_A'!$A670="","",'VERI_A'!$A670)</f>
        <v/>
      </c>
      <c r="C670" s="16">
        <f>IF($B670="","",IF(OR('VERI_A'!$B670="",'VERI_A'!$B670=0),"TARIH_BOS",IF(LEN(TRIM('VERI_A'!$C670&amp;""))&lt;&gt;dbe_vknUzunluk,"VKN_UZUNLUK",IF('VERI_A'!$G670&lt;0,"TUTAR_NEGATIF",IF('VERI_A'!$I670="","DONEM_EKSIK",""))))</f>
        <v/>
      </c>
      <c r="D670" s="16">
        <f>IF($C670="","",IF($C670="TARIH_BOS","Belge tarihi zorunlu",IF($C670="VKN_UZUNLUK","VKN 10 hane olmalı",IF($C670="TUTAR_NEGATIF","Toplam negatif olamaz",IF($C670="DONEM_EKSIK","Dönem zorunlu","Elle incele"))))</f>
        <v/>
      </c>
      <c r="E670" s="16">
        <f>IF($C670="","",IF(OR($C670="TUTAR_NEGATIF",$C670="TARIH_BOS"),"YUKSEK","ORTA"))</f>
        <v/>
      </c>
      <c r="F670" s="16">
        <f>IF($C670="","",IF(OR($C670="TARIH_BOS",$C670="VKN_UZUNLUK",$C670="TUTAR_NEGATIF",$C670="DONEM_EKSIK"),$C670,"TANIMSIZ"))</f>
        <v/>
      </c>
      <c r="G670" s="16">
        <f>IF($C670="","",1)</f>
        <v/>
      </c>
    </row>
    <row r="671">
      <c r="A671" s="16">
        <f>IF('VERI_A'!$A671="","",ROW()-ROW(tblVeriA[[#Headers]]))</f>
        <v/>
      </c>
      <c r="B671" s="23">
        <f>IF('VERI_A'!$A671="","",'VERI_A'!$A671)</f>
        <v/>
      </c>
      <c r="C671" s="16">
        <f>IF($B671="","",IF(OR('VERI_A'!$B671="",'VERI_A'!$B671=0),"TARIH_BOS",IF(LEN(TRIM('VERI_A'!$C671&amp;""))&lt;&gt;dbe_vknUzunluk,"VKN_UZUNLUK",IF('VERI_A'!$G671&lt;0,"TUTAR_NEGATIF",IF('VERI_A'!$I671="","DONEM_EKSIK",""))))</f>
        <v/>
      </c>
      <c r="D671" s="16">
        <f>IF($C671="","",IF($C671="TARIH_BOS","Belge tarihi zorunlu",IF($C671="VKN_UZUNLUK","VKN 10 hane olmalı",IF($C671="TUTAR_NEGATIF","Toplam negatif olamaz",IF($C671="DONEM_EKSIK","Dönem zorunlu","Elle incele"))))</f>
        <v/>
      </c>
      <c r="E671" s="16">
        <f>IF($C671="","",IF(OR($C671="TUTAR_NEGATIF",$C671="TARIH_BOS"),"YUKSEK","ORTA"))</f>
        <v/>
      </c>
      <c r="F671" s="16">
        <f>IF($C671="","",IF(OR($C671="TARIH_BOS",$C671="VKN_UZUNLUK",$C671="TUTAR_NEGATIF",$C671="DONEM_EKSIK"),$C671,"TANIMSIZ"))</f>
        <v/>
      </c>
      <c r="G671" s="16">
        <f>IF($C671="","",1)</f>
        <v/>
      </c>
    </row>
    <row r="672">
      <c r="A672" s="16">
        <f>IF('VERI_A'!$A672="","",ROW()-ROW(tblVeriA[[#Headers]]))</f>
        <v/>
      </c>
      <c r="B672" s="23">
        <f>IF('VERI_A'!$A672="","",'VERI_A'!$A672)</f>
        <v/>
      </c>
      <c r="C672" s="16">
        <f>IF($B672="","",IF(OR('VERI_A'!$B672="",'VERI_A'!$B672=0),"TARIH_BOS",IF(LEN(TRIM('VERI_A'!$C672&amp;""))&lt;&gt;dbe_vknUzunluk,"VKN_UZUNLUK",IF('VERI_A'!$G672&lt;0,"TUTAR_NEGATIF",IF('VERI_A'!$I672="","DONEM_EKSIK",""))))</f>
        <v/>
      </c>
      <c r="D672" s="16">
        <f>IF($C672="","",IF($C672="TARIH_BOS","Belge tarihi zorunlu",IF($C672="VKN_UZUNLUK","VKN 10 hane olmalı",IF($C672="TUTAR_NEGATIF","Toplam negatif olamaz",IF($C672="DONEM_EKSIK","Dönem zorunlu","Elle incele"))))</f>
        <v/>
      </c>
      <c r="E672" s="16">
        <f>IF($C672="","",IF(OR($C672="TUTAR_NEGATIF",$C672="TARIH_BOS"),"YUKSEK","ORTA"))</f>
        <v/>
      </c>
      <c r="F672" s="16">
        <f>IF($C672="","",IF(OR($C672="TARIH_BOS",$C672="VKN_UZUNLUK",$C672="TUTAR_NEGATIF",$C672="DONEM_EKSIK"),$C672,"TANIMSIZ"))</f>
        <v/>
      </c>
      <c r="G672" s="16">
        <f>IF($C672="","",1)</f>
        <v/>
      </c>
    </row>
    <row r="673">
      <c r="A673" s="16">
        <f>IF('VERI_A'!$A673="","",ROW()-ROW(tblVeriA[[#Headers]]))</f>
        <v/>
      </c>
      <c r="B673" s="23">
        <f>IF('VERI_A'!$A673="","",'VERI_A'!$A673)</f>
        <v/>
      </c>
      <c r="C673" s="16">
        <f>IF($B673="","",IF(OR('VERI_A'!$B673="",'VERI_A'!$B673=0),"TARIH_BOS",IF(LEN(TRIM('VERI_A'!$C673&amp;""))&lt;&gt;dbe_vknUzunluk,"VKN_UZUNLUK",IF('VERI_A'!$G673&lt;0,"TUTAR_NEGATIF",IF('VERI_A'!$I673="","DONEM_EKSIK",""))))</f>
        <v/>
      </c>
      <c r="D673" s="16">
        <f>IF($C673="","",IF($C673="TARIH_BOS","Belge tarihi zorunlu",IF($C673="VKN_UZUNLUK","VKN 10 hane olmalı",IF($C673="TUTAR_NEGATIF","Toplam negatif olamaz",IF($C673="DONEM_EKSIK","Dönem zorunlu","Elle incele"))))</f>
        <v/>
      </c>
      <c r="E673" s="16">
        <f>IF($C673="","",IF(OR($C673="TUTAR_NEGATIF",$C673="TARIH_BOS"),"YUKSEK","ORTA"))</f>
        <v/>
      </c>
      <c r="F673" s="16">
        <f>IF($C673="","",IF(OR($C673="TARIH_BOS",$C673="VKN_UZUNLUK",$C673="TUTAR_NEGATIF",$C673="DONEM_EKSIK"),$C673,"TANIMSIZ"))</f>
        <v/>
      </c>
      <c r="G673" s="16">
        <f>IF($C673="","",1)</f>
        <v/>
      </c>
    </row>
    <row r="674">
      <c r="A674" s="16">
        <f>IF('VERI_A'!$A674="","",ROW()-ROW(tblVeriA[[#Headers]]))</f>
        <v/>
      </c>
      <c r="B674" s="23">
        <f>IF('VERI_A'!$A674="","",'VERI_A'!$A674)</f>
        <v/>
      </c>
      <c r="C674" s="16">
        <f>IF($B674="","",IF(OR('VERI_A'!$B674="",'VERI_A'!$B674=0),"TARIH_BOS",IF(LEN(TRIM('VERI_A'!$C674&amp;""))&lt;&gt;dbe_vknUzunluk,"VKN_UZUNLUK",IF('VERI_A'!$G674&lt;0,"TUTAR_NEGATIF",IF('VERI_A'!$I674="","DONEM_EKSIK",""))))</f>
        <v/>
      </c>
      <c r="D674" s="16">
        <f>IF($C674="","",IF($C674="TARIH_BOS","Belge tarihi zorunlu",IF($C674="VKN_UZUNLUK","VKN 10 hane olmalı",IF($C674="TUTAR_NEGATIF","Toplam negatif olamaz",IF($C674="DONEM_EKSIK","Dönem zorunlu","Elle incele"))))</f>
        <v/>
      </c>
      <c r="E674" s="16">
        <f>IF($C674="","",IF(OR($C674="TUTAR_NEGATIF",$C674="TARIH_BOS"),"YUKSEK","ORTA"))</f>
        <v/>
      </c>
      <c r="F674" s="16">
        <f>IF($C674="","",IF(OR($C674="TARIH_BOS",$C674="VKN_UZUNLUK",$C674="TUTAR_NEGATIF",$C674="DONEM_EKSIK"),$C674,"TANIMSIZ"))</f>
        <v/>
      </c>
      <c r="G674" s="16">
        <f>IF($C674="","",1)</f>
        <v/>
      </c>
    </row>
    <row r="675">
      <c r="A675" s="16">
        <f>IF('VERI_A'!$A675="","",ROW()-ROW(tblVeriA[[#Headers]]))</f>
        <v/>
      </c>
      <c r="B675" s="23">
        <f>IF('VERI_A'!$A675="","",'VERI_A'!$A675)</f>
        <v/>
      </c>
      <c r="C675" s="16">
        <f>IF($B675="","",IF(OR('VERI_A'!$B675="",'VERI_A'!$B675=0),"TARIH_BOS",IF(LEN(TRIM('VERI_A'!$C675&amp;""))&lt;&gt;dbe_vknUzunluk,"VKN_UZUNLUK",IF('VERI_A'!$G675&lt;0,"TUTAR_NEGATIF",IF('VERI_A'!$I675="","DONEM_EKSIK",""))))</f>
        <v/>
      </c>
      <c r="D675" s="16">
        <f>IF($C675="","",IF($C675="TARIH_BOS","Belge tarihi zorunlu",IF($C675="VKN_UZUNLUK","VKN 10 hane olmalı",IF($C675="TUTAR_NEGATIF","Toplam negatif olamaz",IF($C675="DONEM_EKSIK","Dönem zorunlu","Elle incele"))))</f>
        <v/>
      </c>
      <c r="E675" s="16">
        <f>IF($C675="","",IF(OR($C675="TUTAR_NEGATIF",$C675="TARIH_BOS"),"YUKSEK","ORTA"))</f>
        <v/>
      </c>
      <c r="F675" s="16">
        <f>IF($C675="","",IF(OR($C675="TARIH_BOS",$C675="VKN_UZUNLUK",$C675="TUTAR_NEGATIF",$C675="DONEM_EKSIK"),$C675,"TANIMSIZ"))</f>
        <v/>
      </c>
      <c r="G675" s="16">
        <f>IF($C675="","",1)</f>
        <v/>
      </c>
    </row>
    <row r="676">
      <c r="A676" s="16">
        <f>IF('VERI_A'!$A676="","",ROW()-ROW(tblVeriA[[#Headers]]))</f>
        <v/>
      </c>
      <c r="B676" s="23">
        <f>IF('VERI_A'!$A676="","",'VERI_A'!$A676)</f>
        <v/>
      </c>
      <c r="C676" s="16">
        <f>IF($B676="","",IF(OR('VERI_A'!$B676="",'VERI_A'!$B676=0),"TARIH_BOS",IF(LEN(TRIM('VERI_A'!$C676&amp;""))&lt;&gt;dbe_vknUzunluk,"VKN_UZUNLUK",IF('VERI_A'!$G676&lt;0,"TUTAR_NEGATIF",IF('VERI_A'!$I676="","DONEM_EKSIK",""))))</f>
        <v/>
      </c>
      <c r="D676" s="16">
        <f>IF($C676="","",IF($C676="TARIH_BOS","Belge tarihi zorunlu",IF($C676="VKN_UZUNLUK","VKN 10 hane olmalı",IF($C676="TUTAR_NEGATIF","Toplam negatif olamaz",IF($C676="DONEM_EKSIK","Dönem zorunlu","Elle incele"))))</f>
        <v/>
      </c>
      <c r="E676" s="16">
        <f>IF($C676="","",IF(OR($C676="TUTAR_NEGATIF",$C676="TARIH_BOS"),"YUKSEK","ORTA"))</f>
        <v/>
      </c>
      <c r="F676" s="16">
        <f>IF($C676="","",IF(OR($C676="TARIH_BOS",$C676="VKN_UZUNLUK",$C676="TUTAR_NEGATIF",$C676="DONEM_EKSIK"),$C676,"TANIMSIZ"))</f>
        <v/>
      </c>
      <c r="G676" s="16">
        <f>IF($C676="","",1)</f>
        <v/>
      </c>
    </row>
    <row r="677">
      <c r="A677" s="16">
        <f>IF('VERI_A'!$A677="","",ROW()-ROW(tblVeriA[[#Headers]]))</f>
        <v/>
      </c>
      <c r="B677" s="23">
        <f>IF('VERI_A'!$A677="","",'VERI_A'!$A677)</f>
        <v/>
      </c>
      <c r="C677" s="16">
        <f>IF($B677="","",IF(OR('VERI_A'!$B677="",'VERI_A'!$B677=0),"TARIH_BOS",IF(LEN(TRIM('VERI_A'!$C677&amp;""))&lt;&gt;dbe_vknUzunluk,"VKN_UZUNLUK",IF('VERI_A'!$G677&lt;0,"TUTAR_NEGATIF",IF('VERI_A'!$I677="","DONEM_EKSIK",""))))</f>
        <v/>
      </c>
      <c r="D677" s="16">
        <f>IF($C677="","",IF($C677="TARIH_BOS","Belge tarihi zorunlu",IF($C677="VKN_UZUNLUK","VKN 10 hane olmalı",IF($C677="TUTAR_NEGATIF","Toplam negatif olamaz",IF($C677="DONEM_EKSIK","Dönem zorunlu","Elle incele"))))</f>
        <v/>
      </c>
      <c r="E677" s="16">
        <f>IF($C677="","",IF(OR($C677="TUTAR_NEGATIF",$C677="TARIH_BOS"),"YUKSEK","ORTA"))</f>
        <v/>
      </c>
      <c r="F677" s="16">
        <f>IF($C677="","",IF(OR($C677="TARIH_BOS",$C677="VKN_UZUNLUK",$C677="TUTAR_NEGATIF",$C677="DONEM_EKSIK"),$C677,"TANIMSIZ"))</f>
        <v/>
      </c>
      <c r="G677" s="16">
        <f>IF($C677="","",1)</f>
        <v/>
      </c>
    </row>
    <row r="678">
      <c r="A678" s="16">
        <f>IF('VERI_A'!$A678="","",ROW()-ROW(tblVeriA[[#Headers]]))</f>
        <v/>
      </c>
      <c r="B678" s="23">
        <f>IF('VERI_A'!$A678="","",'VERI_A'!$A678)</f>
        <v/>
      </c>
      <c r="C678" s="16">
        <f>IF($B678="","",IF(OR('VERI_A'!$B678="",'VERI_A'!$B678=0),"TARIH_BOS",IF(LEN(TRIM('VERI_A'!$C678&amp;""))&lt;&gt;dbe_vknUzunluk,"VKN_UZUNLUK",IF('VERI_A'!$G678&lt;0,"TUTAR_NEGATIF",IF('VERI_A'!$I678="","DONEM_EKSIK",""))))</f>
        <v/>
      </c>
      <c r="D678" s="16">
        <f>IF($C678="","",IF($C678="TARIH_BOS","Belge tarihi zorunlu",IF($C678="VKN_UZUNLUK","VKN 10 hane olmalı",IF($C678="TUTAR_NEGATIF","Toplam negatif olamaz",IF($C678="DONEM_EKSIK","Dönem zorunlu","Elle incele"))))</f>
        <v/>
      </c>
      <c r="E678" s="16">
        <f>IF($C678="","",IF(OR($C678="TUTAR_NEGATIF",$C678="TARIH_BOS"),"YUKSEK","ORTA"))</f>
        <v/>
      </c>
      <c r="F678" s="16">
        <f>IF($C678="","",IF(OR($C678="TARIH_BOS",$C678="VKN_UZUNLUK",$C678="TUTAR_NEGATIF",$C678="DONEM_EKSIK"),$C678,"TANIMSIZ"))</f>
        <v/>
      </c>
      <c r="G678" s="16">
        <f>IF($C678="","",1)</f>
        <v/>
      </c>
    </row>
    <row r="679">
      <c r="A679" s="16">
        <f>IF('VERI_A'!$A679="","",ROW()-ROW(tblVeriA[[#Headers]]))</f>
        <v/>
      </c>
      <c r="B679" s="23">
        <f>IF('VERI_A'!$A679="","",'VERI_A'!$A679)</f>
        <v/>
      </c>
      <c r="C679" s="16">
        <f>IF($B679="","",IF(OR('VERI_A'!$B679="",'VERI_A'!$B679=0),"TARIH_BOS",IF(LEN(TRIM('VERI_A'!$C679&amp;""))&lt;&gt;dbe_vknUzunluk,"VKN_UZUNLUK",IF('VERI_A'!$G679&lt;0,"TUTAR_NEGATIF",IF('VERI_A'!$I679="","DONEM_EKSIK",""))))</f>
        <v/>
      </c>
      <c r="D679" s="16">
        <f>IF($C679="","",IF($C679="TARIH_BOS","Belge tarihi zorunlu",IF($C679="VKN_UZUNLUK","VKN 10 hane olmalı",IF($C679="TUTAR_NEGATIF","Toplam negatif olamaz",IF($C679="DONEM_EKSIK","Dönem zorunlu","Elle incele"))))</f>
        <v/>
      </c>
      <c r="E679" s="16">
        <f>IF($C679="","",IF(OR($C679="TUTAR_NEGATIF",$C679="TARIH_BOS"),"YUKSEK","ORTA"))</f>
        <v/>
      </c>
      <c r="F679" s="16">
        <f>IF($C679="","",IF(OR($C679="TARIH_BOS",$C679="VKN_UZUNLUK",$C679="TUTAR_NEGATIF",$C679="DONEM_EKSIK"),$C679,"TANIMSIZ"))</f>
        <v/>
      </c>
      <c r="G679" s="16">
        <f>IF($C679="","",1)</f>
        <v/>
      </c>
    </row>
    <row r="680">
      <c r="A680" s="16">
        <f>IF('VERI_A'!$A680="","",ROW()-ROW(tblVeriA[[#Headers]]))</f>
        <v/>
      </c>
      <c r="B680" s="23">
        <f>IF('VERI_A'!$A680="","",'VERI_A'!$A680)</f>
        <v/>
      </c>
      <c r="C680" s="16">
        <f>IF($B680="","",IF(OR('VERI_A'!$B680="",'VERI_A'!$B680=0),"TARIH_BOS",IF(LEN(TRIM('VERI_A'!$C680&amp;""))&lt;&gt;dbe_vknUzunluk,"VKN_UZUNLUK",IF('VERI_A'!$G680&lt;0,"TUTAR_NEGATIF",IF('VERI_A'!$I680="","DONEM_EKSIK",""))))</f>
        <v/>
      </c>
      <c r="D680" s="16">
        <f>IF($C680="","",IF($C680="TARIH_BOS","Belge tarihi zorunlu",IF($C680="VKN_UZUNLUK","VKN 10 hane olmalı",IF($C680="TUTAR_NEGATIF","Toplam negatif olamaz",IF($C680="DONEM_EKSIK","Dönem zorunlu","Elle incele"))))</f>
        <v/>
      </c>
      <c r="E680" s="16">
        <f>IF($C680="","",IF(OR($C680="TUTAR_NEGATIF",$C680="TARIH_BOS"),"YUKSEK","ORTA"))</f>
        <v/>
      </c>
      <c r="F680" s="16">
        <f>IF($C680="","",IF(OR($C680="TARIH_BOS",$C680="VKN_UZUNLUK",$C680="TUTAR_NEGATIF",$C680="DONEM_EKSIK"),$C680,"TANIMSIZ"))</f>
        <v/>
      </c>
      <c r="G680" s="16">
        <f>IF($C680="","",1)</f>
        <v/>
      </c>
    </row>
    <row r="681">
      <c r="A681" s="16">
        <f>IF('VERI_A'!$A681="","",ROW()-ROW(tblVeriA[[#Headers]]))</f>
        <v/>
      </c>
      <c r="B681" s="23">
        <f>IF('VERI_A'!$A681="","",'VERI_A'!$A681)</f>
        <v/>
      </c>
      <c r="C681" s="16">
        <f>IF($B681="","",IF(OR('VERI_A'!$B681="",'VERI_A'!$B681=0),"TARIH_BOS",IF(LEN(TRIM('VERI_A'!$C681&amp;""))&lt;&gt;dbe_vknUzunluk,"VKN_UZUNLUK",IF('VERI_A'!$G681&lt;0,"TUTAR_NEGATIF",IF('VERI_A'!$I681="","DONEM_EKSIK",""))))</f>
        <v/>
      </c>
      <c r="D681" s="16">
        <f>IF($C681="","",IF($C681="TARIH_BOS","Belge tarihi zorunlu",IF($C681="VKN_UZUNLUK","VKN 10 hane olmalı",IF($C681="TUTAR_NEGATIF","Toplam negatif olamaz",IF($C681="DONEM_EKSIK","Dönem zorunlu","Elle incele"))))</f>
        <v/>
      </c>
      <c r="E681" s="16">
        <f>IF($C681="","",IF(OR($C681="TUTAR_NEGATIF",$C681="TARIH_BOS"),"YUKSEK","ORTA"))</f>
        <v/>
      </c>
      <c r="F681" s="16">
        <f>IF($C681="","",IF(OR($C681="TARIH_BOS",$C681="VKN_UZUNLUK",$C681="TUTAR_NEGATIF",$C681="DONEM_EKSIK"),$C681,"TANIMSIZ"))</f>
        <v/>
      </c>
      <c r="G681" s="16">
        <f>IF($C681="","",1)</f>
        <v/>
      </c>
    </row>
    <row r="682">
      <c r="A682" s="16">
        <f>IF('VERI_A'!$A682="","",ROW()-ROW(tblVeriA[[#Headers]]))</f>
        <v/>
      </c>
      <c r="B682" s="23">
        <f>IF('VERI_A'!$A682="","",'VERI_A'!$A682)</f>
        <v/>
      </c>
      <c r="C682" s="16">
        <f>IF($B682="","",IF(OR('VERI_A'!$B682="",'VERI_A'!$B682=0),"TARIH_BOS",IF(LEN(TRIM('VERI_A'!$C682&amp;""))&lt;&gt;dbe_vknUzunluk,"VKN_UZUNLUK",IF('VERI_A'!$G682&lt;0,"TUTAR_NEGATIF",IF('VERI_A'!$I682="","DONEM_EKSIK",""))))</f>
        <v/>
      </c>
      <c r="D682" s="16">
        <f>IF($C682="","",IF($C682="TARIH_BOS","Belge tarihi zorunlu",IF($C682="VKN_UZUNLUK","VKN 10 hane olmalı",IF($C682="TUTAR_NEGATIF","Toplam negatif olamaz",IF($C682="DONEM_EKSIK","Dönem zorunlu","Elle incele"))))</f>
        <v/>
      </c>
      <c r="E682" s="16">
        <f>IF($C682="","",IF(OR($C682="TUTAR_NEGATIF",$C682="TARIH_BOS"),"YUKSEK","ORTA"))</f>
        <v/>
      </c>
      <c r="F682" s="16">
        <f>IF($C682="","",IF(OR($C682="TARIH_BOS",$C682="VKN_UZUNLUK",$C682="TUTAR_NEGATIF",$C682="DONEM_EKSIK"),$C682,"TANIMSIZ"))</f>
        <v/>
      </c>
      <c r="G682" s="16">
        <f>IF($C682="","",1)</f>
        <v/>
      </c>
    </row>
    <row r="683">
      <c r="A683" s="16">
        <f>IF('VERI_A'!$A683="","",ROW()-ROW(tblVeriA[[#Headers]]))</f>
        <v/>
      </c>
      <c r="B683" s="23">
        <f>IF('VERI_A'!$A683="","",'VERI_A'!$A683)</f>
        <v/>
      </c>
      <c r="C683" s="16">
        <f>IF($B683="","",IF(OR('VERI_A'!$B683="",'VERI_A'!$B683=0),"TARIH_BOS",IF(LEN(TRIM('VERI_A'!$C683&amp;""))&lt;&gt;dbe_vknUzunluk,"VKN_UZUNLUK",IF('VERI_A'!$G683&lt;0,"TUTAR_NEGATIF",IF('VERI_A'!$I683="","DONEM_EKSIK",""))))</f>
        <v/>
      </c>
      <c r="D683" s="16">
        <f>IF($C683="","",IF($C683="TARIH_BOS","Belge tarihi zorunlu",IF($C683="VKN_UZUNLUK","VKN 10 hane olmalı",IF($C683="TUTAR_NEGATIF","Toplam negatif olamaz",IF($C683="DONEM_EKSIK","Dönem zorunlu","Elle incele"))))</f>
        <v/>
      </c>
      <c r="E683" s="16">
        <f>IF($C683="","",IF(OR($C683="TUTAR_NEGATIF",$C683="TARIH_BOS"),"YUKSEK","ORTA"))</f>
        <v/>
      </c>
      <c r="F683" s="16">
        <f>IF($C683="","",IF(OR($C683="TARIH_BOS",$C683="VKN_UZUNLUK",$C683="TUTAR_NEGATIF",$C683="DONEM_EKSIK"),$C683,"TANIMSIZ"))</f>
        <v/>
      </c>
      <c r="G683" s="16">
        <f>IF($C683="","",1)</f>
        <v/>
      </c>
    </row>
    <row r="684">
      <c r="A684" s="16">
        <f>IF('VERI_A'!$A684="","",ROW()-ROW(tblVeriA[[#Headers]]))</f>
        <v/>
      </c>
      <c r="B684" s="23">
        <f>IF('VERI_A'!$A684="","",'VERI_A'!$A684)</f>
        <v/>
      </c>
      <c r="C684" s="16">
        <f>IF($B684="","",IF(OR('VERI_A'!$B684="",'VERI_A'!$B684=0),"TARIH_BOS",IF(LEN(TRIM('VERI_A'!$C684&amp;""))&lt;&gt;dbe_vknUzunluk,"VKN_UZUNLUK",IF('VERI_A'!$G684&lt;0,"TUTAR_NEGATIF",IF('VERI_A'!$I684="","DONEM_EKSIK",""))))</f>
        <v/>
      </c>
      <c r="D684" s="16">
        <f>IF($C684="","",IF($C684="TARIH_BOS","Belge tarihi zorunlu",IF($C684="VKN_UZUNLUK","VKN 10 hane olmalı",IF($C684="TUTAR_NEGATIF","Toplam negatif olamaz",IF($C684="DONEM_EKSIK","Dönem zorunlu","Elle incele"))))</f>
        <v/>
      </c>
      <c r="E684" s="16">
        <f>IF($C684="","",IF(OR($C684="TUTAR_NEGATIF",$C684="TARIH_BOS"),"YUKSEK","ORTA"))</f>
        <v/>
      </c>
      <c r="F684" s="16">
        <f>IF($C684="","",IF(OR($C684="TARIH_BOS",$C684="VKN_UZUNLUK",$C684="TUTAR_NEGATIF",$C684="DONEM_EKSIK"),$C684,"TANIMSIZ"))</f>
        <v/>
      </c>
      <c r="G684" s="16">
        <f>IF($C684="","",1)</f>
        <v/>
      </c>
    </row>
    <row r="685">
      <c r="A685" s="16">
        <f>IF('VERI_A'!$A685="","",ROW()-ROW(tblVeriA[[#Headers]]))</f>
        <v/>
      </c>
      <c r="B685" s="23">
        <f>IF('VERI_A'!$A685="","",'VERI_A'!$A685)</f>
        <v/>
      </c>
      <c r="C685" s="16">
        <f>IF($B685="","",IF(OR('VERI_A'!$B685="",'VERI_A'!$B685=0),"TARIH_BOS",IF(LEN(TRIM('VERI_A'!$C685&amp;""))&lt;&gt;dbe_vknUzunluk,"VKN_UZUNLUK",IF('VERI_A'!$G685&lt;0,"TUTAR_NEGATIF",IF('VERI_A'!$I685="","DONEM_EKSIK",""))))</f>
        <v/>
      </c>
      <c r="D685" s="16">
        <f>IF($C685="","",IF($C685="TARIH_BOS","Belge tarihi zorunlu",IF($C685="VKN_UZUNLUK","VKN 10 hane olmalı",IF($C685="TUTAR_NEGATIF","Toplam negatif olamaz",IF($C685="DONEM_EKSIK","Dönem zorunlu","Elle incele"))))</f>
        <v/>
      </c>
      <c r="E685" s="16">
        <f>IF($C685="","",IF(OR($C685="TUTAR_NEGATIF",$C685="TARIH_BOS"),"YUKSEK","ORTA"))</f>
        <v/>
      </c>
      <c r="F685" s="16">
        <f>IF($C685="","",IF(OR($C685="TARIH_BOS",$C685="VKN_UZUNLUK",$C685="TUTAR_NEGATIF",$C685="DONEM_EKSIK"),$C685,"TANIMSIZ"))</f>
        <v/>
      </c>
      <c r="G685" s="16">
        <f>IF($C685="","",1)</f>
        <v/>
      </c>
    </row>
    <row r="686">
      <c r="A686" s="16">
        <f>IF('VERI_A'!$A686="","",ROW()-ROW(tblVeriA[[#Headers]]))</f>
        <v/>
      </c>
      <c r="B686" s="23">
        <f>IF('VERI_A'!$A686="","",'VERI_A'!$A686)</f>
        <v/>
      </c>
      <c r="C686" s="16">
        <f>IF($B686="","",IF(OR('VERI_A'!$B686="",'VERI_A'!$B686=0),"TARIH_BOS",IF(LEN(TRIM('VERI_A'!$C686&amp;""))&lt;&gt;dbe_vknUzunluk,"VKN_UZUNLUK",IF('VERI_A'!$G686&lt;0,"TUTAR_NEGATIF",IF('VERI_A'!$I686="","DONEM_EKSIK",""))))</f>
        <v/>
      </c>
      <c r="D686" s="16">
        <f>IF($C686="","",IF($C686="TARIH_BOS","Belge tarihi zorunlu",IF($C686="VKN_UZUNLUK","VKN 10 hane olmalı",IF($C686="TUTAR_NEGATIF","Toplam negatif olamaz",IF($C686="DONEM_EKSIK","Dönem zorunlu","Elle incele"))))</f>
        <v/>
      </c>
      <c r="E686" s="16">
        <f>IF($C686="","",IF(OR($C686="TUTAR_NEGATIF",$C686="TARIH_BOS"),"YUKSEK","ORTA"))</f>
        <v/>
      </c>
      <c r="F686" s="16">
        <f>IF($C686="","",IF(OR($C686="TARIH_BOS",$C686="VKN_UZUNLUK",$C686="TUTAR_NEGATIF",$C686="DONEM_EKSIK"),$C686,"TANIMSIZ"))</f>
        <v/>
      </c>
      <c r="G686" s="16">
        <f>IF($C686="","",1)</f>
        <v/>
      </c>
    </row>
    <row r="687">
      <c r="A687" s="16">
        <f>IF('VERI_A'!$A687="","",ROW()-ROW(tblVeriA[[#Headers]]))</f>
        <v/>
      </c>
      <c r="B687" s="23">
        <f>IF('VERI_A'!$A687="","",'VERI_A'!$A687)</f>
        <v/>
      </c>
      <c r="C687" s="16">
        <f>IF($B687="","",IF(OR('VERI_A'!$B687="",'VERI_A'!$B687=0),"TARIH_BOS",IF(LEN(TRIM('VERI_A'!$C687&amp;""))&lt;&gt;dbe_vknUzunluk,"VKN_UZUNLUK",IF('VERI_A'!$G687&lt;0,"TUTAR_NEGATIF",IF('VERI_A'!$I687="","DONEM_EKSIK",""))))</f>
        <v/>
      </c>
      <c r="D687" s="16">
        <f>IF($C687="","",IF($C687="TARIH_BOS","Belge tarihi zorunlu",IF($C687="VKN_UZUNLUK","VKN 10 hane olmalı",IF($C687="TUTAR_NEGATIF","Toplam negatif olamaz",IF($C687="DONEM_EKSIK","Dönem zorunlu","Elle incele"))))</f>
        <v/>
      </c>
      <c r="E687" s="16">
        <f>IF($C687="","",IF(OR($C687="TUTAR_NEGATIF",$C687="TARIH_BOS"),"YUKSEK","ORTA"))</f>
        <v/>
      </c>
      <c r="F687" s="16">
        <f>IF($C687="","",IF(OR($C687="TARIH_BOS",$C687="VKN_UZUNLUK",$C687="TUTAR_NEGATIF",$C687="DONEM_EKSIK"),$C687,"TANIMSIZ"))</f>
        <v/>
      </c>
      <c r="G687" s="16">
        <f>IF($C687="","",1)</f>
        <v/>
      </c>
    </row>
    <row r="688">
      <c r="A688" s="16">
        <f>IF('VERI_A'!$A688="","",ROW()-ROW(tblVeriA[[#Headers]]))</f>
        <v/>
      </c>
      <c r="B688" s="23">
        <f>IF('VERI_A'!$A688="","",'VERI_A'!$A688)</f>
        <v/>
      </c>
      <c r="C688" s="16">
        <f>IF($B688="","",IF(OR('VERI_A'!$B688="",'VERI_A'!$B688=0),"TARIH_BOS",IF(LEN(TRIM('VERI_A'!$C688&amp;""))&lt;&gt;dbe_vknUzunluk,"VKN_UZUNLUK",IF('VERI_A'!$G688&lt;0,"TUTAR_NEGATIF",IF('VERI_A'!$I688="","DONEM_EKSIK",""))))</f>
        <v/>
      </c>
      <c r="D688" s="16">
        <f>IF($C688="","",IF($C688="TARIH_BOS","Belge tarihi zorunlu",IF($C688="VKN_UZUNLUK","VKN 10 hane olmalı",IF($C688="TUTAR_NEGATIF","Toplam negatif olamaz",IF($C688="DONEM_EKSIK","Dönem zorunlu","Elle incele"))))</f>
        <v/>
      </c>
      <c r="E688" s="16">
        <f>IF($C688="","",IF(OR($C688="TUTAR_NEGATIF",$C688="TARIH_BOS"),"YUKSEK","ORTA"))</f>
        <v/>
      </c>
      <c r="F688" s="16">
        <f>IF($C688="","",IF(OR($C688="TARIH_BOS",$C688="VKN_UZUNLUK",$C688="TUTAR_NEGATIF",$C688="DONEM_EKSIK"),$C688,"TANIMSIZ"))</f>
        <v/>
      </c>
      <c r="G688" s="16">
        <f>IF($C688="","",1)</f>
        <v/>
      </c>
    </row>
    <row r="689">
      <c r="A689" s="16">
        <f>IF('VERI_A'!$A689="","",ROW()-ROW(tblVeriA[[#Headers]]))</f>
        <v/>
      </c>
      <c r="B689" s="23">
        <f>IF('VERI_A'!$A689="","",'VERI_A'!$A689)</f>
        <v/>
      </c>
      <c r="C689" s="16">
        <f>IF($B689="","",IF(OR('VERI_A'!$B689="",'VERI_A'!$B689=0),"TARIH_BOS",IF(LEN(TRIM('VERI_A'!$C689&amp;""))&lt;&gt;dbe_vknUzunluk,"VKN_UZUNLUK",IF('VERI_A'!$G689&lt;0,"TUTAR_NEGATIF",IF('VERI_A'!$I689="","DONEM_EKSIK",""))))</f>
        <v/>
      </c>
      <c r="D689" s="16">
        <f>IF($C689="","",IF($C689="TARIH_BOS","Belge tarihi zorunlu",IF($C689="VKN_UZUNLUK","VKN 10 hane olmalı",IF($C689="TUTAR_NEGATIF","Toplam negatif olamaz",IF($C689="DONEM_EKSIK","Dönem zorunlu","Elle incele"))))</f>
        <v/>
      </c>
      <c r="E689" s="16">
        <f>IF($C689="","",IF(OR($C689="TUTAR_NEGATIF",$C689="TARIH_BOS"),"YUKSEK","ORTA"))</f>
        <v/>
      </c>
      <c r="F689" s="16">
        <f>IF($C689="","",IF(OR($C689="TARIH_BOS",$C689="VKN_UZUNLUK",$C689="TUTAR_NEGATIF",$C689="DONEM_EKSIK"),$C689,"TANIMSIZ"))</f>
        <v/>
      </c>
      <c r="G689" s="16">
        <f>IF($C689="","",1)</f>
        <v/>
      </c>
    </row>
    <row r="690">
      <c r="A690" s="16">
        <f>IF('VERI_A'!$A690="","",ROW()-ROW(tblVeriA[[#Headers]]))</f>
        <v/>
      </c>
      <c r="B690" s="23">
        <f>IF('VERI_A'!$A690="","",'VERI_A'!$A690)</f>
        <v/>
      </c>
      <c r="C690" s="16">
        <f>IF($B690="","",IF(OR('VERI_A'!$B690="",'VERI_A'!$B690=0),"TARIH_BOS",IF(LEN(TRIM('VERI_A'!$C690&amp;""))&lt;&gt;dbe_vknUzunluk,"VKN_UZUNLUK",IF('VERI_A'!$G690&lt;0,"TUTAR_NEGATIF",IF('VERI_A'!$I690="","DONEM_EKSIK",""))))</f>
        <v/>
      </c>
      <c r="D690" s="16">
        <f>IF($C690="","",IF($C690="TARIH_BOS","Belge tarihi zorunlu",IF($C690="VKN_UZUNLUK","VKN 10 hane olmalı",IF($C690="TUTAR_NEGATIF","Toplam negatif olamaz",IF($C690="DONEM_EKSIK","Dönem zorunlu","Elle incele"))))</f>
        <v/>
      </c>
      <c r="E690" s="16">
        <f>IF($C690="","",IF(OR($C690="TUTAR_NEGATIF",$C690="TARIH_BOS"),"YUKSEK","ORTA"))</f>
        <v/>
      </c>
      <c r="F690" s="16">
        <f>IF($C690="","",IF(OR($C690="TARIH_BOS",$C690="VKN_UZUNLUK",$C690="TUTAR_NEGATIF",$C690="DONEM_EKSIK"),$C690,"TANIMSIZ"))</f>
        <v/>
      </c>
      <c r="G690" s="16">
        <f>IF($C690="","",1)</f>
        <v/>
      </c>
    </row>
    <row r="691">
      <c r="A691" s="16">
        <f>IF('VERI_A'!$A691="","",ROW()-ROW(tblVeriA[[#Headers]]))</f>
        <v/>
      </c>
      <c r="B691" s="23">
        <f>IF('VERI_A'!$A691="","",'VERI_A'!$A691)</f>
        <v/>
      </c>
      <c r="C691" s="16">
        <f>IF($B691="","",IF(OR('VERI_A'!$B691="",'VERI_A'!$B691=0),"TARIH_BOS",IF(LEN(TRIM('VERI_A'!$C691&amp;""))&lt;&gt;dbe_vknUzunluk,"VKN_UZUNLUK",IF('VERI_A'!$G691&lt;0,"TUTAR_NEGATIF",IF('VERI_A'!$I691="","DONEM_EKSIK",""))))</f>
        <v/>
      </c>
      <c r="D691" s="16">
        <f>IF($C691="","",IF($C691="TARIH_BOS","Belge tarihi zorunlu",IF($C691="VKN_UZUNLUK","VKN 10 hane olmalı",IF($C691="TUTAR_NEGATIF","Toplam negatif olamaz",IF($C691="DONEM_EKSIK","Dönem zorunlu","Elle incele"))))</f>
        <v/>
      </c>
      <c r="E691" s="16">
        <f>IF($C691="","",IF(OR($C691="TUTAR_NEGATIF",$C691="TARIH_BOS"),"YUKSEK","ORTA"))</f>
        <v/>
      </c>
      <c r="F691" s="16">
        <f>IF($C691="","",IF(OR($C691="TARIH_BOS",$C691="VKN_UZUNLUK",$C691="TUTAR_NEGATIF",$C691="DONEM_EKSIK"),$C691,"TANIMSIZ"))</f>
        <v/>
      </c>
      <c r="G691" s="16">
        <f>IF($C691="","",1)</f>
        <v/>
      </c>
    </row>
    <row r="692">
      <c r="A692" s="16">
        <f>IF('VERI_A'!$A692="","",ROW()-ROW(tblVeriA[[#Headers]]))</f>
        <v/>
      </c>
      <c r="B692" s="23">
        <f>IF('VERI_A'!$A692="","",'VERI_A'!$A692)</f>
        <v/>
      </c>
      <c r="C692" s="16">
        <f>IF($B692="","",IF(OR('VERI_A'!$B692="",'VERI_A'!$B692=0),"TARIH_BOS",IF(LEN(TRIM('VERI_A'!$C692&amp;""))&lt;&gt;dbe_vknUzunluk,"VKN_UZUNLUK",IF('VERI_A'!$G692&lt;0,"TUTAR_NEGATIF",IF('VERI_A'!$I692="","DONEM_EKSIK",""))))</f>
        <v/>
      </c>
      <c r="D692" s="16">
        <f>IF($C692="","",IF($C692="TARIH_BOS","Belge tarihi zorunlu",IF($C692="VKN_UZUNLUK","VKN 10 hane olmalı",IF($C692="TUTAR_NEGATIF","Toplam negatif olamaz",IF($C692="DONEM_EKSIK","Dönem zorunlu","Elle incele"))))</f>
        <v/>
      </c>
      <c r="E692" s="16">
        <f>IF($C692="","",IF(OR($C692="TUTAR_NEGATIF",$C692="TARIH_BOS"),"YUKSEK","ORTA"))</f>
        <v/>
      </c>
      <c r="F692" s="16">
        <f>IF($C692="","",IF(OR($C692="TARIH_BOS",$C692="VKN_UZUNLUK",$C692="TUTAR_NEGATIF",$C692="DONEM_EKSIK"),$C692,"TANIMSIZ"))</f>
        <v/>
      </c>
      <c r="G692" s="16">
        <f>IF($C692="","",1)</f>
        <v/>
      </c>
    </row>
    <row r="693">
      <c r="A693" s="16">
        <f>IF('VERI_A'!$A693="","",ROW()-ROW(tblVeriA[[#Headers]]))</f>
        <v/>
      </c>
      <c r="B693" s="23">
        <f>IF('VERI_A'!$A693="","",'VERI_A'!$A693)</f>
        <v/>
      </c>
      <c r="C693" s="16">
        <f>IF($B693="","",IF(OR('VERI_A'!$B693="",'VERI_A'!$B693=0),"TARIH_BOS",IF(LEN(TRIM('VERI_A'!$C693&amp;""))&lt;&gt;dbe_vknUzunluk,"VKN_UZUNLUK",IF('VERI_A'!$G693&lt;0,"TUTAR_NEGATIF",IF('VERI_A'!$I693="","DONEM_EKSIK",""))))</f>
        <v/>
      </c>
      <c r="D693" s="16">
        <f>IF($C693="","",IF($C693="TARIH_BOS","Belge tarihi zorunlu",IF($C693="VKN_UZUNLUK","VKN 10 hane olmalı",IF($C693="TUTAR_NEGATIF","Toplam negatif olamaz",IF($C693="DONEM_EKSIK","Dönem zorunlu","Elle incele"))))</f>
        <v/>
      </c>
      <c r="E693" s="16">
        <f>IF($C693="","",IF(OR($C693="TUTAR_NEGATIF",$C693="TARIH_BOS"),"YUKSEK","ORTA"))</f>
        <v/>
      </c>
      <c r="F693" s="16">
        <f>IF($C693="","",IF(OR($C693="TARIH_BOS",$C693="VKN_UZUNLUK",$C693="TUTAR_NEGATIF",$C693="DONEM_EKSIK"),$C693,"TANIMSIZ"))</f>
        <v/>
      </c>
      <c r="G693" s="16">
        <f>IF($C693="","",1)</f>
        <v/>
      </c>
    </row>
    <row r="694">
      <c r="A694" s="16">
        <f>IF('VERI_A'!$A694="","",ROW()-ROW(tblVeriA[[#Headers]]))</f>
        <v/>
      </c>
      <c r="B694" s="23">
        <f>IF('VERI_A'!$A694="","",'VERI_A'!$A694)</f>
        <v/>
      </c>
      <c r="C694" s="16">
        <f>IF($B694="","",IF(OR('VERI_A'!$B694="",'VERI_A'!$B694=0),"TARIH_BOS",IF(LEN(TRIM('VERI_A'!$C694&amp;""))&lt;&gt;dbe_vknUzunluk,"VKN_UZUNLUK",IF('VERI_A'!$G694&lt;0,"TUTAR_NEGATIF",IF('VERI_A'!$I694="","DONEM_EKSIK",""))))</f>
        <v/>
      </c>
      <c r="D694" s="16">
        <f>IF($C694="","",IF($C694="TARIH_BOS","Belge tarihi zorunlu",IF($C694="VKN_UZUNLUK","VKN 10 hane olmalı",IF($C694="TUTAR_NEGATIF","Toplam negatif olamaz",IF($C694="DONEM_EKSIK","Dönem zorunlu","Elle incele"))))</f>
        <v/>
      </c>
      <c r="E694" s="16">
        <f>IF($C694="","",IF(OR($C694="TUTAR_NEGATIF",$C694="TARIH_BOS"),"YUKSEK","ORTA"))</f>
        <v/>
      </c>
      <c r="F694" s="16">
        <f>IF($C694="","",IF(OR($C694="TARIH_BOS",$C694="VKN_UZUNLUK",$C694="TUTAR_NEGATIF",$C694="DONEM_EKSIK"),$C694,"TANIMSIZ"))</f>
        <v/>
      </c>
      <c r="G694" s="16">
        <f>IF($C694="","",1)</f>
        <v/>
      </c>
    </row>
    <row r="695">
      <c r="A695" s="16">
        <f>IF('VERI_A'!$A695="","",ROW()-ROW(tblVeriA[[#Headers]]))</f>
        <v/>
      </c>
      <c r="B695" s="23">
        <f>IF('VERI_A'!$A695="","",'VERI_A'!$A695)</f>
        <v/>
      </c>
      <c r="C695" s="16">
        <f>IF($B695="","",IF(OR('VERI_A'!$B695="",'VERI_A'!$B695=0),"TARIH_BOS",IF(LEN(TRIM('VERI_A'!$C695&amp;""))&lt;&gt;dbe_vknUzunluk,"VKN_UZUNLUK",IF('VERI_A'!$G695&lt;0,"TUTAR_NEGATIF",IF('VERI_A'!$I695="","DONEM_EKSIK",""))))</f>
        <v/>
      </c>
      <c r="D695" s="16">
        <f>IF($C695="","",IF($C695="TARIH_BOS","Belge tarihi zorunlu",IF($C695="VKN_UZUNLUK","VKN 10 hane olmalı",IF($C695="TUTAR_NEGATIF","Toplam negatif olamaz",IF($C695="DONEM_EKSIK","Dönem zorunlu","Elle incele"))))</f>
        <v/>
      </c>
      <c r="E695" s="16">
        <f>IF($C695="","",IF(OR($C695="TUTAR_NEGATIF",$C695="TARIH_BOS"),"YUKSEK","ORTA"))</f>
        <v/>
      </c>
      <c r="F695" s="16">
        <f>IF($C695="","",IF(OR($C695="TARIH_BOS",$C695="VKN_UZUNLUK",$C695="TUTAR_NEGATIF",$C695="DONEM_EKSIK"),$C695,"TANIMSIZ"))</f>
        <v/>
      </c>
      <c r="G695" s="16">
        <f>IF($C695="","",1)</f>
        <v/>
      </c>
    </row>
    <row r="696">
      <c r="A696" s="16">
        <f>IF('VERI_A'!$A696="","",ROW()-ROW(tblVeriA[[#Headers]]))</f>
        <v/>
      </c>
      <c r="B696" s="23">
        <f>IF('VERI_A'!$A696="","",'VERI_A'!$A696)</f>
        <v/>
      </c>
      <c r="C696" s="16">
        <f>IF($B696="","",IF(OR('VERI_A'!$B696="",'VERI_A'!$B696=0),"TARIH_BOS",IF(LEN(TRIM('VERI_A'!$C696&amp;""))&lt;&gt;dbe_vknUzunluk,"VKN_UZUNLUK",IF('VERI_A'!$G696&lt;0,"TUTAR_NEGATIF",IF('VERI_A'!$I696="","DONEM_EKSIK",""))))</f>
        <v/>
      </c>
      <c r="D696" s="16">
        <f>IF($C696="","",IF($C696="TARIH_BOS","Belge tarihi zorunlu",IF($C696="VKN_UZUNLUK","VKN 10 hane olmalı",IF($C696="TUTAR_NEGATIF","Toplam negatif olamaz",IF($C696="DONEM_EKSIK","Dönem zorunlu","Elle incele"))))</f>
        <v/>
      </c>
      <c r="E696" s="16">
        <f>IF($C696="","",IF(OR($C696="TUTAR_NEGATIF",$C696="TARIH_BOS"),"YUKSEK","ORTA"))</f>
        <v/>
      </c>
      <c r="F696" s="16">
        <f>IF($C696="","",IF(OR($C696="TARIH_BOS",$C696="VKN_UZUNLUK",$C696="TUTAR_NEGATIF",$C696="DONEM_EKSIK"),$C696,"TANIMSIZ"))</f>
        <v/>
      </c>
      <c r="G696" s="16">
        <f>IF($C696="","",1)</f>
        <v/>
      </c>
    </row>
    <row r="697">
      <c r="A697" s="16">
        <f>IF('VERI_A'!$A697="","",ROW()-ROW(tblVeriA[[#Headers]]))</f>
        <v/>
      </c>
      <c r="B697" s="23">
        <f>IF('VERI_A'!$A697="","",'VERI_A'!$A697)</f>
        <v/>
      </c>
      <c r="C697" s="16">
        <f>IF($B697="","",IF(OR('VERI_A'!$B697="",'VERI_A'!$B697=0),"TARIH_BOS",IF(LEN(TRIM('VERI_A'!$C697&amp;""))&lt;&gt;dbe_vknUzunluk,"VKN_UZUNLUK",IF('VERI_A'!$G697&lt;0,"TUTAR_NEGATIF",IF('VERI_A'!$I697="","DONEM_EKSIK",""))))</f>
        <v/>
      </c>
      <c r="D697" s="16">
        <f>IF($C697="","",IF($C697="TARIH_BOS","Belge tarihi zorunlu",IF($C697="VKN_UZUNLUK","VKN 10 hane olmalı",IF($C697="TUTAR_NEGATIF","Toplam negatif olamaz",IF($C697="DONEM_EKSIK","Dönem zorunlu","Elle incele"))))</f>
        <v/>
      </c>
      <c r="E697" s="16">
        <f>IF($C697="","",IF(OR($C697="TUTAR_NEGATIF",$C697="TARIH_BOS"),"YUKSEK","ORTA"))</f>
        <v/>
      </c>
      <c r="F697" s="16">
        <f>IF($C697="","",IF(OR($C697="TARIH_BOS",$C697="VKN_UZUNLUK",$C697="TUTAR_NEGATIF",$C697="DONEM_EKSIK"),$C697,"TANIMSIZ"))</f>
        <v/>
      </c>
      <c r="G697" s="16">
        <f>IF($C697="","",1)</f>
        <v/>
      </c>
    </row>
    <row r="698">
      <c r="A698" s="16">
        <f>IF('VERI_A'!$A698="","",ROW()-ROW(tblVeriA[[#Headers]]))</f>
        <v/>
      </c>
      <c r="B698" s="23">
        <f>IF('VERI_A'!$A698="","",'VERI_A'!$A698)</f>
        <v/>
      </c>
      <c r="C698" s="16">
        <f>IF($B698="","",IF(OR('VERI_A'!$B698="",'VERI_A'!$B698=0),"TARIH_BOS",IF(LEN(TRIM('VERI_A'!$C698&amp;""))&lt;&gt;dbe_vknUzunluk,"VKN_UZUNLUK",IF('VERI_A'!$G698&lt;0,"TUTAR_NEGATIF",IF('VERI_A'!$I698="","DONEM_EKSIK",""))))</f>
        <v/>
      </c>
      <c r="D698" s="16">
        <f>IF($C698="","",IF($C698="TARIH_BOS","Belge tarihi zorunlu",IF($C698="VKN_UZUNLUK","VKN 10 hane olmalı",IF($C698="TUTAR_NEGATIF","Toplam negatif olamaz",IF($C698="DONEM_EKSIK","Dönem zorunlu","Elle incele"))))</f>
        <v/>
      </c>
      <c r="E698" s="16">
        <f>IF($C698="","",IF(OR($C698="TUTAR_NEGATIF",$C698="TARIH_BOS"),"YUKSEK","ORTA"))</f>
        <v/>
      </c>
      <c r="F698" s="16">
        <f>IF($C698="","",IF(OR($C698="TARIH_BOS",$C698="VKN_UZUNLUK",$C698="TUTAR_NEGATIF",$C698="DONEM_EKSIK"),$C698,"TANIMSIZ"))</f>
        <v/>
      </c>
      <c r="G698" s="16">
        <f>IF($C698="","",1)</f>
        <v/>
      </c>
    </row>
    <row r="699">
      <c r="A699" s="16">
        <f>IF('VERI_A'!$A699="","",ROW()-ROW(tblVeriA[[#Headers]]))</f>
        <v/>
      </c>
      <c r="B699" s="23">
        <f>IF('VERI_A'!$A699="","",'VERI_A'!$A699)</f>
        <v/>
      </c>
      <c r="C699" s="16">
        <f>IF($B699="","",IF(OR('VERI_A'!$B699="",'VERI_A'!$B699=0),"TARIH_BOS",IF(LEN(TRIM('VERI_A'!$C699&amp;""))&lt;&gt;dbe_vknUzunluk,"VKN_UZUNLUK",IF('VERI_A'!$G699&lt;0,"TUTAR_NEGATIF",IF('VERI_A'!$I699="","DONEM_EKSIK",""))))</f>
        <v/>
      </c>
      <c r="D699" s="16">
        <f>IF($C699="","",IF($C699="TARIH_BOS","Belge tarihi zorunlu",IF($C699="VKN_UZUNLUK","VKN 10 hane olmalı",IF($C699="TUTAR_NEGATIF","Toplam negatif olamaz",IF($C699="DONEM_EKSIK","Dönem zorunlu","Elle incele"))))</f>
        <v/>
      </c>
      <c r="E699" s="16">
        <f>IF($C699="","",IF(OR($C699="TUTAR_NEGATIF",$C699="TARIH_BOS"),"YUKSEK","ORTA"))</f>
        <v/>
      </c>
      <c r="F699" s="16">
        <f>IF($C699="","",IF(OR($C699="TARIH_BOS",$C699="VKN_UZUNLUK",$C699="TUTAR_NEGATIF",$C699="DONEM_EKSIK"),$C699,"TANIMSIZ"))</f>
        <v/>
      </c>
      <c r="G699" s="16">
        <f>IF($C699="","",1)</f>
        <v/>
      </c>
    </row>
    <row r="700">
      <c r="A700" s="16">
        <f>IF('VERI_A'!$A700="","",ROW()-ROW(tblVeriA[[#Headers]]))</f>
        <v/>
      </c>
      <c r="B700" s="23">
        <f>IF('VERI_A'!$A700="","",'VERI_A'!$A700)</f>
        <v/>
      </c>
      <c r="C700" s="16">
        <f>IF($B700="","",IF(OR('VERI_A'!$B700="",'VERI_A'!$B700=0),"TARIH_BOS",IF(LEN(TRIM('VERI_A'!$C700&amp;""))&lt;&gt;dbe_vknUzunluk,"VKN_UZUNLUK",IF('VERI_A'!$G700&lt;0,"TUTAR_NEGATIF",IF('VERI_A'!$I700="","DONEM_EKSIK",""))))</f>
        <v/>
      </c>
      <c r="D700" s="16">
        <f>IF($C700="","",IF($C700="TARIH_BOS","Belge tarihi zorunlu",IF($C700="VKN_UZUNLUK","VKN 10 hane olmalı",IF($C700="TUTAR_NEGATIF","Toplam negatif olamaz",IF($C700="DONEM_EKSIK","Dönem zorunlu","Elle incele"))))</f>
        <v/>
      </c>
      <c r="E700" s="16">
        <f>IF($C700="","",IF(OR($C700="TUTAR_NEGATIF",$C700="TARIH_BOS"),"YUKSEK","ORTA"))</f>
        <v/>
      </c>
      <c r="F700" s="16">
        <f>IF($C700="","",IF(OR($C700="TARIH_BOS",$C700="VKN_UZUNLUK",$C700="TUTAR_NEGATIF",$C700="DONEM_EKSIK"),$C700,"TANIMSIZ"))</f>
        <v/>
      </c>
      <c r="G700" s="16">
        <f>IF($C700="","",1)</f>
        <v/>
      </c>
    </row>
    <row r="701">
      <c r="A701" s="16">
        <f>IF('VERI_A'!$A701="","",ROW()-ROW(tblVeriA[[#Headers]]))</f>
        <v/>
      </c>
      <c r="B701" s="23">
        <f>IF('VERI_A'!$A701="","",'VERI_A'!$A701)</f>
        <v/>
      </c>
      <c r="C701" s="16">
        <f>IF($B701="","",IF(OR('VERI_A'!$B701="",'VERI_A'!$B701=0),"TARIH_BOS",IF(LEN(TRIM('VERI_A'!$C701&amp;""))&lt;&gt;dbe_vknUzunluk,"VKN_UZUNLUK",IF('VERI_A'!$G701&lt;0,"TUTAR_NEGATIF",IF('VERI_A'!$I701="","DONEM_EKSIK",""))))</f>
        <v/>
      </c>
      <c r="D701" s="16">
        <f>IF($C701="","",IF($C701="TARIH_BOS","Belge tarihi zorunlu",IF($C701="VKN_UZUNLUK","VKN 10 hane olmalı",IF($C701="TUTAR_NEGATIF","Toplam negatif olamaz",IF($C701="DONEM_EKSIK","Dönem zorunlu","Elle incele"))))</f>
        <v/>
      </c>
      <c r="E701" s="16">
        <f>IF($C701="","",IF(OR($C701="TUTAR_NEGATIF",$C701="TARIH_BOS"),"YUKSEK","ORTA"))</f>
        <v/>
      </c>
      <c r="F701" s="16">
        <f>IF($C701="","",IF(OR($C701="TARIH_BOS",$C701="VKN_UZUNLUK",$C701="TUTAR_NEGATIF",$C701="DONEM_EKSIK"),$C701,"TANIMSIZ"))</f>
        <v/>
      </c>
      <c r="G701" s="16">
        <f>IF($C701="","",1)</f>
        <v/>
      </c>
    </row>
    <row r="702">
      <c r="A702" s="16">
        <f>IF('VERI_A'!$A702="","",ROW()-ROW(tblVeriA[[#Headers]]))</f>
        <v/>
      </c>
      <c r="B702" s="23">
        <f>IF('VERI_A'!$A702="","",'VERI_A'!$A702)</f>
        <v/>
      </c>
      <c r="C702" s="16">
        <f>IF($B702="","",IF(OR('VERI_A'!$B702="",'VERI_A'!$B702=0),"TARIH_BOS",IF(LEN(TRIM('VERI_A'!$C702&amp;""))&lt;&gt;dbe_vknUzunluk,"VKN_UZUNLUK",IF('VERI_A'!$G702&lt;0,"TUTAR_NEGATIF",IF('VERI_A'!$I702="","DONEM_EKSIK",""))))</f>
        <v/>
      </c>
      <c r="D702" s="16">
        <f>IF($C702="","",IF($C702="TARIH_BOS","Belge tarihi zorunlu",IF($C702="VKN_UZUNLUK","VKN 10 hane olmalı",IF($C702="TUTAR_NEGATIF","Toplam negatif olamaz",IF($C702="DONEM_EKSIK","Dönem zorunlu","Elle incele"))))</f>
        <v/>
      </c>
      <c r="E702" s="16">
        <f>IF($C702="","",IF(OR($C702="TUTAR_NEGATIF",$C702="TARIH_BOS"),"YUKSEK","ORTA"))</f>
        <v/>
      </c>
      <c r="F702" s="16">
        <f>IF($C702="","",IF(OR($C702="TARIH_BOS",$C702="VKN_UZUNLUK",$C702="TUTAR_NEGATIF",$C702="DONEM_EKSIK"),$C702,"TANIMSIZ"))</f>
        <v/>
      </c>
      <c r="G702" s="16">
        <f>IF($C702="","",1)</f>
        <v/>
      </c>
    </row>
    <row r="703">
      <c r="A703" s="16">
        <f>IF('VERI_A'!$A703="","",ROW()-ROW(tblVeriA[[#Headers]]))</f>
        <v/>
      </c>
      <c r="B703" s="23">
        <f>IF('VERI_A'!$A703="","",'VERI_A'!$A703)</f>
        <v/>
      </c>
      <c r="C703" s="16">
        <f>IF($B703="","",IF(OR('VERI_A'!$B703="",'VERI_A'!$B703=0),"TARIH_BOS",IF(LEN(TRIM('VERI_A'!$C703&amp;""))&lt;&gt;dbe_vknUzunluk,"VKN_UZUNLUK",IF('VERI_A'!$G703&lt;0,"TUTAR_NEGATIF",IF('VERI_A'!$I703="","DONEM_EKSIK",""))))</f>
        <v/>
      </c>
      <c r="D703" s="16">
        <f>IF($C703="","",IF($C703="TARIH_BOS","Belge tarihi zorunlu",IF($C703="VKN_UZUNLUK","VKN 10 hane olmalı",IF($C703="TUTAR_NEGATIF","Toplam negatif olamaz",IF($C703="DONEM_EKSIK","Dönem zorunlu","Elle incele"))))</f>
        <v/>
      </c>
      <c r="E703" s="16">
        <f>IF($C703="","",IF(OR($C703="TUTAR_NEGATIF",$C703="TARIH_BOS"),"YUKSEK","ORTA"))</f>
        <v/>
      </c>
      <c r="F703" s="16">
        <f>IF($C703="","",IF(OR($C703="TARIH_BOS",$C703="VKN_UZUNLUK",$C703="TUTAR_NEGATIF",$C703="DONEM_EKSIK"),$C703,"TANIMSIZ"))</f>
        <v/>
      </c>
      <c r="G703" s="16">
        <f>IF($C703="","",1)</f>
        <v/>
      </c>
    </row>
    <row r="704">
      <c r="A704" s="16">
        <f>IF('VERI_A'!$A704="","",ROW()-ROW(tblVeriA[[#Headers]]))</f>
        <v/>
      </c>
      <c r="B704" s="23">
        <f>IF('VERI_A'!$A704="","",'VERI_A'!$A704)</f>
        <v/>
      </c>
      <c r="C704" s="16">
        <f>IF($B704="","",IF(OR('VERI_A'!$B704="",'VERI_A'!$B704=0),"TARIH_BOS",IF(LEN(TRIM('VERI_A'!$C704&amp;""))&lt;&gt;dbe_vknUzunluk,"VKN_UZUNLUK",IF('VERI_A'!$G704&lt;0,"TUTAR_NEGATIF",IF('VERI_A'!$I704="","DONEM_EKSIK",""))))</f>
        <v/>
      </c>
      <c r="D704" s="16">
        <f>IF($C704="","",IF($C704="TARIH_BOS","Belge tarihi zorunlu",IF($C704="VKN_UZUNLUK","VKN 10 hane olmalı",IF($C704="TUTAR_NEGATIF","Toplam negatif olamaz",IF($C704="DONEM_EKSIK","Dönem zorunlu","Elle incele"))))</f>
        <v/>
      </c>
      <c r="E704" s="16">
        <f>IF($C704="","",IF(OR($C704="TUTAR_NEGATIF",$C704="TARIH_BOS"),"YUKSEK","ORTA"))</f>
        <v/>
      </c>
      <c r="F704" s="16">
        <f>IF($C704="","",IF(OR($C704="TARIH_BOS",$C704="VKN_UZUNLUK",$C704="TUTAR_NEGATIF",$C704="DONEM_EKSIK"),$C704,"TANIMSIZ"))</f>
        <v/>
      </c>
      <c r="G704" s="16">
        <f>IF($C704="","",1)</f>
        <v/>
      </c>
    </row>
    <row r="705">
      <c r="A705" s="16">
        <f>IF('VERI_A'!$A705="","",ROW()-ROW(tblVeriA[[#Headers]]))</f>
        <v/>
      </c>
      <c r="B705" s="23">
        <f>IF('VERI_A'!$A705="","",'VERI_A'!$A705)</f>
        <v/>
      </c>
      <c r="C705" s="16">
        <f>IF($B705="","",IF(OR('VERI_A'!$B705="",'VERI_A'!$B705=0),"TARIH_BOS",IF(LEN(TRIM('VERI_A'!$C705&amp;""))&lt;&gt;dbe_vknUzunluk,"VKN_UZUNLUK",IF('VERI_A'!$G705&lt;0,"TUTAR_NEGATIF",IF('VERI_A'!$I705="","DONEM_EKSIK",""))))</f>
        <v/>
      </c>
      <c r="D705" s="16">
        <f>IF($C705="","",IF($C705="TARIH_BOS","Belge tarihi zorunlu",IF($C705="VKN_UZUNLUK","VKN 10 hane olmalı",IF($C705="TUTAR_NEGATIF","Toplam negatif olamaz",IF($C705="DONEM_EKSIK","Dönem zorunlu","Elle incele"))))</f>
        <v/>
      </c>
      <c r="E705" s="16">
        <f>IF($C705="","",IF(OR($C705="TUTAR_NEGATIF",$C705="TARIH_BOS"),"YUKSEK","ORTA"))</f>
        <v/>
      </c>
      <c r="F705" s="16">
        <f>IF($C705="","",IF(OR($C705="TARIH_BOS",$C705="VKN_UZUNLUK",$C705="TUTAR_NEGATIF",$C705="DONEM_EKSIK"),$C705,"TANIMSIZ"))</f>
        <v/>
      </c>
      <c r="G705" s="16">
        <f>IF($C705="","",1)</f>
        <v/>
      </c>
    </row>
    <row r="706">
      <c r="A706" s="16">
        <f>IF('VERI_A'!$A706="","",ROW()-ROW(tblVeriA[[#Headers]]))</f>
        <v/>
      </c>
      <c r="B706" s="23">
        <f>IF('VERI_A'!$A706="","",'VERI_A'!$A706)</f>
        <v/>
      </c>
      <c r="C706" s="16">
        <f>IF($B706="","",IF(OR('VERI_A'!$B706="",'VERI_A'!$B706=0),"TARIH_BOS",IF(LEN(TRIM('VERI_A'!$C706&amp;""))&lt;&gt;dbe_vknUzunluk,"VKN_UZUNLUK",IF('VERI_A'!$G706&lt;0,"TUTAR_NEGATIF",IF('VERI_A'!$I706="","DONEM_EKSIK",""))))</f>
        <v/>
      </c>
      <c r="D706" s="16">
        <f>IF($C706="","",IF($C706="TARIH_BOS","Belge tarihi zorunlu",IF($C706="VKN_UZUNLUK","VKN 10 hane olmalı",IF($C706="TUTAR_NEGATIF","Toplam negatif olamaz",IF($C706="DONEM_EKSIK","Dönem zorunlu","Elle incele"))))</f>
        <v/>
      </c>
      <c r="E706" s="16">
        <f>IF($C706="","",IF(OR($C706="TUTAR_NEGATIF",$C706="TARIH_BOS"),"YUKSEK","ORTA"))</f>
        <v/>
      </c>
      <c r="F706" s="16">
        <f>IF($C706="","",IF(OR($C706="TARIH_BOS",$C706="VKN_UZUNLUK",$C706="TUTAR_NEGATIF",$C706="DONEM_EKSIK"),$C706,"TANIMSIZ"))</f>
        <v/>
      </c>
      <c r="G706" s="16">
        <f>IF($C706="","",1)</f>
        <v/>
      </c>
    </row>
    <row r="707">
      <c r="A707" s="16">
        <f>IF('VERI_A'!$A707="","",ROW()-ROW(tblVeriA[[#Headers]]))</f>
        <v/>
      </c>
      <c r="B707" s="23">
        <f>IF('VERI_A'!$A707="","",'VERI_A'!$A707)</f>
        <v/>
      </c>
      <c r="C707" s="16">
        <f>IF($B707="","",IF(OR('VERI_A'!$B707="",'VERI_A'!$B707=0),"TARIH_BOS",IF(LEN(TRIM('VERI_A'!$C707&amp;""))&lt;&gt;dbe_vknUzunluk,"VKN_UZUNLUK",IF('VERI_A'!$G707&lt;0,"TUTAR_NEGATIF",IF('VERI_A'!$I707="","DONEM_EKSIK",""))))</f>
        <v/>
      </c>
      <c r="D707" s="16">
        <f>IF($C707="","",IF($C707="TARIH_BOS","Belge tarihi zorunlu",IF($C707="VKN_UZUNLUK","VKN 10 hane olmalı",IF($C707="TUTAR_NEGATIF","Toplam negatif olamaz",IF($C707="DONEM_EKSIK","Dönem zorunlu","Elle incele"))))</f>
        <v/>
      </c>
      <c r="E707" s="16">
        <f>IF($C707="","",IF(OR($C707="TUTAR_NEGATIF",$C707="TARIH_BOS"),"YUKSEK","ORTA"))</f>
        <v/>
      </c>
      <c r="F707" s="16">
        <f>IF($C707="","",IF(OR($C707="TARIH_BOS",$C707="VKN_UZUNLUK",$C707="TUTAR_NEGATIF",$C707="DONEM_EKSIK"),$C707,"TANIMSIZ"))</f>
        <v/>
      </c>
      <c r="G707" s="16">
        <f>IF($C707="","",1)</f>
        <v/>
      </c>
    </row>
    <row r="708">
      <c r="A708" s="16">
        <f>IF('VERI_A'!$A708="","",ROW()-ROW(tblVeriA[[#Headers]]))</f>
        <v/>
      </c>
      <c r="B708" s="23">
        <f>IF('VERI_A'!$A708="","",'VERI_A'!$A708)</f>
        <v/>
      </c>
      <c r="C708" s="16">
        <f>IF($B708="","",IF(OR('VERI_A'!$B708="",'VERI_A'!$B708=0),"TARIH_BOS",IF(LEN(TRIM('VERI_A'!$C708&amp;""))&lt;&gt;dbe_vknUzunluk,"VKN_UZUNLUK",IF('VERI_A'!$G708&lt;0,"TUTAR_NEGATIF",IF('VERI_A'!$I708="","DONEM_EKSIK",""))))</f>
        <v/>
      </c>
      <c r="D708" s="16">
        <f>IF($C708="","",IF($C708="TARIH_BOS","Belge tarihi zorunlu",IF($C708="VKN_UZUNLUK","VKN 10 hane olmalı",IF($C708="TUTAR_NEGATIF","Toplam negatif olamaz",IF($C708="DONEM_EKSIK","Dönem zorunlu","Elle incele"))))</f>
        <v/>
      </c>
      <c r="E708" s="16">
        <f>IF($C708="","",IF(OR($C708="TUTAR_NEGATIF",$C708="TARIH_BOS"),"YUKSEK","ORTA"))</f>
        <v/>
      </c>
      <c r="F708" s="16">
        <f>IF($C708="","",IF(OR($C708="TARIH_BOS",$C708="VKN_UZUNLUK",$C708="TUTAR_NEGATIF",$C708="DONEM_EKSIK"),$C708,"TANIMSIZ"))</f>
        <v/>
      </c>
      <c r="G708" s="16">
        <f>IF($C708="","",1)</f>
        <v/>
      </c>
    </row>
    <row r="709">
      <c r="A709" s="16">
        <f>IF('VERI_A'!$A709="","",ROW()-ROW(tblVeriA[[#Headers]]))</f>
        <v/>
      </c>
      <c r="B709" s="23">
        <f>IF('VERI_A'!$A709="","",'VERI_A'!$A709)</f>
        <v/>
      </c>
      <c r="C709" s="16">
        <f>IF($B709="","",IF(OR('VERI_A'!$B709="",'VERI_A'!$B709=0),"TARIH_BOS",IF(LEN(TRIM('VERI_A'!$C709&amp;""))&lt;&gt;dbe_vknUzunluk,"VKN_UZUNLUK",IF('VERI_A'!$G709&lt;0,"TUTAR_NEGATIF",IF('VERI_A'!$I709="","DONEM_EKSIK",""))))</f>
        <v/>
      </c>
      <c r="D709" s="16">
        <f>IF($C709="","",IF($C709="TARIH_BOS","Belge tarihi zorunlu",IF($C709="VKN_UZUNLUK","VKN 10 hane olmalı",IF($C709="TUTAR_NEGATIF","Toplam negatif olamaz",IF($C709="DONEM_EKSIK","Dönem zorunlu","Elle incele"))))</f>
        <v/>
      </c>
      <c r="E709" s="16">
        <f>IF($C709="","",IF(OR($C709="TUTAR_NEGATIF",$C709="TARIH_BOS"),"YUKSEK","ORTA"))</f>
        <v/>
      </c>
      <c r="F709" s="16">
        <f>IF($C709="","",IF(OR($C709="TARIH_BOS",$C709="VKN_UZUNLUK",$C709="TUTAR_NEGATIF",$C709="DONEM_EKSIK"),$C709,"TANIMSIZ"))</f>
        <v/>
      </c>
      <c r="G709" s="16">
        <f>IF($C709="","",1)</f>
        <v/>
      </c>
    </row>
    <row r="710">
      <c r="A710" s="16">
        <f>IF('VERI_A'!$A710="","",ROW()-ROW(tblVeriA[[#Headers]]))</f>
        <v/>
      </c>
      <c r="B710" s="23">
        <f>IF('VERI_A'!$A710="","",'VERI_A'!$A710)</f>
        <v/>
      </c>
      <c r="C710" s="16">
        <f>IF($B710="","",IF(OR('VERI_A'!$B710="",'VERI_A'!$B710=0),"TARIH_BOS",IF(LEN(TRIM('VERI_A'!$C710&amp;""))&lt;&gt;dbe_vknUzunluk,"VKN_UZUNLUK",IF('VERI_A'!$G710&lt;0,"TUTAR_NEGATIF",IF('VERI_A'!$I710="","DONEM_EKSIK",""))))</f>
        <v/>
      </c>
      <c r="D710" s="16">
        <f>IF($C710="","",IF($C710="TARIH_BOS","Belge tarihi zorunlu",IF($C710="VKN_UZUNLUK","VKN 10 hane olmalı",IF($C710="TUTAR_NEGATIF","Toplam negatif olamaz",IF($C710="DONEM_EKSIK","Dönem zorunlu","Elle incele"))))</f>
        <v/>
      </c>
      <c r="E710" s="16">
        <f>IF($C710="","",IF(OR($C710="TUTAR_NEGATIF",$C710="TARIH_BOS"),"YUKSEK","ORTA"))</f>
        <v/>
      </c>
      <c r="F710" s="16">
        <f>IF($C710="","",IF(OR($C710="TARIH_BOS",$C710="VKN_UZUNLUK",$C710="TUTAR_NEGATIF",$C710="DONEM_EKSIK"),$C710,"TANIMSIZ"))</f>
        <v/>
      </c>
      <c r="G710" s="16">
        <f>IF($C710="","",1)</f>
        <v/>
      </c>
    </row>
    <row r="711">
      <c r="A711" s="16">
        <f>IF('VERI_A'!$A711="","",ROW()-ROW(tblVeriA[[#Headers]]))</f>
        <v/>
      </c>
      <c r="B711" s="23">
        <f>IF('VERI_A'!$A711="","",'VERI_A'!$A711)</f>
        <v/>
      </c>
      <c r="C711" s="16">
        <f>IF($B711="","",IF(OR('VERI_A'!$B711="",'VERI_A'!$B711=0),"TARIH_BOS",IF(LEN(TRIM('VERI_A'!$C711&amp;""))&lt;&gt;dbe_vknUzunluk,"VKN_UZUNLUK",IF('VERI_A'!$G711&lt;0,"TUTAR_NEGATIF",IF('VERI_A'!$I711="","DONEM_EKSIK",""))))</f>
        <v/>
      </c>
      <c r="D711" s="16">
        <f>IF($C711="","",IF($C711="TARIH_BOS","Belge tarihi zorunlu",IF($C711="VKN_UZUNLUK","VKN 10 hane olmalı",IF($C711="TUTAR_NEGATIF","Toplam negatif olamaz",IF($C711="DONEM_EKSIK","Dönem zorunlu","Elle incele"))))</f>
        <v/>
      </c>
      <c r="E711" s="16">
        <f>IF($C711="","",IF(OR($C711="TUTAR_NEGATIF",$C711="TARIH_BOS"),"YUKSEK","ORTA"))</f>
        <v/>
      </c>
      <c r="F711" s="16">
        <f>IF($C711="","",IF(OR($C711="TARIH_BOS",$C711="VKN_UZUNLUK",$C711="TUTAR_NEGATIF",$C711="DONEM_EKSIK"),$C711,"TANIMSIZ"))</f>
        <v/>
      </c>
      <c r="G711" s="16">
        <f>IF($C711="","",1)</f>
        <v/>
      </c>
    </row>
    <row r="712">
      <c r="A712" s="16">
        <f>IF('VERI_A'!$A712="","",ROW()-ROW(tblVeriA[[#Headers]]))</f>
        <v/>
      </c>
      <c r="B712" s="23">
        <f>IF('VERI_A'!$A712="","",'VERI_A'!$A712)</f>
        <v/>
      </c>
      <c r="C712" s="16">
        <f>IF($B712="","",IF(OR('VERI_A'!$B712="",'VERI_A'!$B712=0),"TARIH_BOS",IF(LEN(TRIM('VERI_A'!$C712&amp;""))&lt;&gt;dbe_vknUzunluk,"VKN_UZUNLUK",IF('VERI_A'!$G712&lt;0,"TUTAR_NEGATIF",IF('VERI_A'!$I712="","DONEM_EKSIK",""))))</f>
        <v/>
      </c>
      <c r="D712" s="16">
        <f>IF($C712="","",IF($C712="TARIH_BOS","Belge tarihi zorunlu",IF($C712="VKN_UZUNLUK","VKN 10 hane olmalı",IF($C712="TUTAR_NEGATIF","Toplam negatif olamaz",IF($C712="DONEM_EKSIK","Dönem zorunlu","Elle incele"))))</f>
        <v/>
      </c>
      <c r="E712" s="16">
        <f>IF($C712="","",IF(OR($C712="TUTAR_NEGATIF",$C712="TARIH_BOS"),"YUKSEK","ORTA"))</f>
        <v/>
      </c>
      <c r="F712" s="16">
        <f>IF($C712="","",IF(OR($C712="TARIH_BOS",$C712="VKN_UZUNLUK",$C712="TUTAR_NEGATIF",$C712="DONEM_EKSIK"),$C712,"TANIMSIZ"))</f>
        <v/>
      </c>
      <c r="G712" s="16">
        <f>IF($C712="","",1)</f>
        <v/>
      </c>
    </row>
    <row r="713">
      <c r="A713" s="16">
        <f>IF('VERI_A'!$A713="","",ROW()-ROW(tblVeriA[[#Headers]]))</f>
        <v/>
      </c>
      <c r="B713" s="23">
        <f>IF('VERI_A'!$A713="","",'VERI_A'!$A713)</f>
        <v/>
      </c>
      <c r="C713" s="16">
        <f>IF($B713="","",IF(OR('VERI_A'!$B713="",'VERI_A'!$B713=0),"TARIH_BOS",IF(LEN(TRIM('VERI_A'!$C713&amp;""))&lt;&gt;dbe_vknUzunluk,"VKN_UZUNLUK",IF('VERI_A'!$G713&lt;0,"TUTAR_NEGATIF",IF('VERI_A'!$I713="","DONEM_EKSIK",""))))</f>
        <v/>
      </c>
      <c r="D713" s="16">
        <f>IF($C713="","",IF($C713="TARIH_BOS","Belge tarihi zorunlu",IF($C713="VKN_UZUNLUK","VKN 10 hane olmalı",IF($C713="TUTAR_NEGATIF","Toplam negatif olamaz",IF($C713="DONEM_EKSIK","Dönem zorunlu","Elle incele"))))</f>
        <v/>
      </c>
      <c r="E713" s="16">
        <f>IF($C713="","",IF(OR($C713="TUTAR_NEGATIF",$C713="TARIH_BOS"),"YUKSEK","ORTA"))</f>
        <v/>
      </c>
      <c r="F713" s="16">
        <f>IF($C713="","",IF(OR($C713="TARIH_BOS",$C713="VKN_UZUNLUK",$C713="TUTAR_NEGATIF",$C713="DONEM_EKSIK"),$C713,"TANIMSIZ"))</f>
        <v/>
      </c>
      <c r="G713" s="16">
        <f>IF($C713="","",1)</f>
        <v/>
      </c>
    </row>
    <row r="714">
      <c r="A714" s="16">
        <f>IF('VERI_A'!$A714="","",ROW()-ROW(tblVeriA[[#Headers]]))</f>
        <v/>
      </c>
      <c r="B714" s="23">
        <f>IF('VERI_A'!$A714="","",'VERI_A'!$A714)</f>
        <v/>
      </c>
      <c r="C714" s="16">
        <f>IF($B714="","",IF(OR('VERI_A'!$B714="",'VERI_A'!$B714=0),"TARIH_BOS",IF(LEN(TRIM('VERI_A'!$C714&amp;""))&lt;&gt;dbe_vknUzunluk,"VKN_UZUNLUK",IF('VERI_A'!$G714&lt;0,"TUTAR_NEGATIF",IF('VERI_A'!$I714="","DONEM_EKSIK",""))))</f>
        <v/>
      </c>
      <c r="D714" s="16">
        <f>IF($C714="","",IF($C714="TARIH_BOS","Belge tarihi zorunlu",IF($C714="VKN_UZUNLUK","VKN 10 hane olmalı",IF($C714="TUTAR_NEGATIF","Toplam negatif olamaz",IF($C714="DONEM_EKSIK","Dönem zorunlu","Elle incele"))))</f>
        <v/>
      </c>
      <c r="E714" s="16">
        <f>IF($C714="","",IF(OR($C714="TUTAR_NEGATIF",$C714="TARIH_BOS"),"YUKSEK","ORTA"))</f>
        <v/>
      </c>
      <c r="F714" s="16">
        <f>IF($C714="","",IF(OR($C714="TARIH_BOS",$C714="VKN_UZUNLUK",$C714="TUTAR_NEGATIF",$C714="DONEM_EKSIK"),$C714,"TANIMSIZ"))</f>
        <v/>
      </c>
      <c r="G714" s="16">
        <f>IF($C714="","",1)</f>
        <v/>
      </c>
    </row>
    <row r="715">
      <c r="A715" s="16">
        <f>IF('VERI_A'!$A715="","",ROW()-ROW(tblVeriA[[#Headers]]))</f>
        <v/>
      </c>
      <c r="B715" s="23">
        <f>IF('VERI_A'!$A715="","",'VERI_A'!$A715)</f>
        <v/>
      </c>
      <c r="C715" s="16">
        <f>IF($B715="","",IF(OR('VERI_A'!$B715="",'VERI_A'!$B715=0),"TARIH_BOS",IF(LEN(TRIM('VERI_A'!$C715&amp;""))&lt;&gt;dbe_vknUzunluk,"VKN_UZUNLUK",IF('VERI_A'!$G715&lt;0,"TUTAR_NEGATIF",IF('VERI_A'!$I715="","DONEM_EKSIK",""))))</f>
        <v/>
      </c>
      <c r="D715" s="16">
        <f>IF($C715="","",IF($C715="TARIH_BOS","Belge tarihi zorunlu",IF($C715="VKN_UZUNLUK","VKN 10 hane olmalı",IF($C715="TUTAR_NEGATIF","Toplam negatif olamaz",IF($C715="DONEM_EKSIK","Dönem zorunlu","Elle incele"))))</f>
        <v/>
      </c>
      <c r="E715" s="16">
        <f>IF($C715="","",IF(OR($C715="TUTAR_NEGATIF",$C715="TARIH_BOS"),"YUKSEK","ORTA"))</f>
        <v/>
      </c>
      <c r="F715" s="16">
        <f>IF($C715="","",IF(OR($C715="TARIH_BOS",$C715="VKN_UZUNLUK",$C715="TUTAR_NEGATIF",$C715="DONEM_EKSIK"),$C715,"TANIMSIZ"))</f>
        <v/>
      </c>
      <c r="G715" s="16">
        <f>IF($C715="","",1)</f>
        <v/>
      </c>
    </row>
    <row r="716">
      <c r="A716" s="16">
        <f>IF('VERI_A'!$A716="","",ROW()-ROW(tblVeriA[[#Headers]]))</f>
        <v/>
      </c>
      <c r="B716" s="23">
        <f>IF('VERI_A'!$A716="","",'VERI_A'!$A716)</f>
        <v/>
      </c>
      <c r="C716" s="16">
        <f>IF($B716="","",IF(OR('VERI_A'!$B716="",'VERI_A'!$B716=0),"TARIH_BOS",IF(LEN(TRIM('VERI_A'!$C716&amp;""))&lt;&gt;dbe_vknUzunluk,"VKN_UZUNLUK",IF('VERI_A'!$G716&lt;0,"TUTAR_NEGATIF",IF('VERI_A'!$I716="","DONEM_EKSIK",""))))</f>
        <v/>
      </c>
      <c r="D716" s="16">
        <f>IF($C716="","",IF($C716="TARIH_BOS","Belge tarihi zorunlu",IF($C716="VKN_UZUNLUK","VKN 10 hane olmalı",IF($C716="TUTAR_NEGATIF","Toplam negatif olamaz",IF($C716="DONEM_EKSIK","Dönem zorunlu","Elle incele"))))</f>
        <v/>
      </c>
      <c r="E716" s="16">
        <f>IF($C716="","",IF(OR($C716="TUTAR_NEGATIF",$C716="TARIH_BOS"),"YUKSEK","ORTA"))</f>
        <v/>
      </c>
      <c r="F716" s="16">
        <f>IF($C716="","",IF(OR($C716="TARIH_BOS",$C716="VKN_UZUNLUK",$C716="TUTAR_NEGATIF",$C716="DONEM_EKSIK"),$C716,"TANIMSIZ"))</f>
        <v/>
      </c>
      <c r="G716" s="16">
        <f>IF($C716="","",1)</f>
        <v/>
      </c>
    </row>
    <row r="717">
      <c r="A717" s="16">
        <f>IF('VERI_A'!$A717="","",ROW()-ROW(tblVeriA[[#Headers]]))</f>
        <v/>
      </c>
      <c r="B717" s="23">
        <f>IF('VERI_A'!$A717="","",'VERI_A'!$A717)</f>
        <v/>
      </c>
      <c r="C717" s="16">
        <f>IF($B717="","",IF(OR('VERI_A'!$B717="",'VERI_A'!$B717=0),"TARIH_BOS",IF(LEN(TRIM('VERI_A'!$C717&amp;""))&lt;&gt;dbe_vknUzunluk,"VKN_UZUNLUK",IF('VERI_A'!$G717&lt;0,"TUTAR_NEGATIF",IF('VERI_A'!$I717="","DONEM_EKSIK",""))))</f>
        <v/>
      </c>
      <c r="D717" s="16">
        <f>IF($C717="","",IF($C717="TARIH_BOS","Belge tarihi zorunlu",IF($C717="VKN_UZUNLUK","VKN 10 hane olmalı",IF($C717="TUTAR_NEGATIF","Toplam negatif olamaz",IF($C717="DONEM_EKSIK","Dönem zorunlu","Elle incele"))))</f>
        <v/>
      </c>
      <c r="E717" s="16">
        <f>IF($C717="","",IF(OR($C717="TUTAR_NEGATIF",$C717="TARIH_BOS"),"YUKSEK","ORTA"))</f>
        <v/>
      </c>
      <c r="F717" s="16">
        <f>IF($C717="","",IF(OR($C717="TARIH_BOS",$C717="VKN_UZUNLUK",$C717="TUTAR_NEGATIF",$C717="DONEM_EKSIK"),$C717,"TANIMSIZ"))</f>
        <v/>
      </c>
      <c r="G717" s="16">
        <f>IF($C717="","",1)</f>
        <v/>
      </c>
    </row>
    <row r="718">
      <c r="A718" s="16">
        <f>IF('VERI_A'!$A718="","",ROW()-ROW(tblVeriA[[#Headers]]))</f>
        <v/>
      </c>
      <c r="B718" s="23">
        <f>IF('VERI_A'!$A718="","",'VERI_A'!$A718)</f>
        <v/>
      </c>
      <c r="C718" s="16">
        <f>IF($B718="","",IF(OR('VERI_A'!$B718="",'VERI_A'!$B718=0),"TARIH_BOS",IF(LEN(TRIM('VERI_A'!$C718&amp;""))&lt;&gt;dbe_vknUzunluk,"VKN_UZUNLUK",IF('VERI_A'!$G718&lt;0,"TUTAR_NEGATIF",IF('VERI_A'!$I718="","DONEM_EKSIK",""))))</f>
        <v/>
      </c>
      <c r="D718" s="16">
        <f>IF($C718="","",IF($C718="TARIH_BOS","Belge tarihi zorunlu",IF($C718="VKN_UZUNLUK","VKN 10 hane olmalı",IF($C718="TUTAR_NEGATIF","Toplam negatif olamaz",IF($C718="DONEM_EKSIK","Dönem zorunlu","Elle incele"))))</f>
        <v/>
      </c>
      <c r="E718" s="16">
        <f>IF($C718="","",IF(OR($C718="TUTAR_NEGATIF",$C718="TARIH_BOS"),"YUKSEK","ORTA"))</f>
        <v/>
      </c>
      <c r="F718" s="16">
        <f>IF($C718="","",IF(OR($C718="TARIH_BOS",$C718="VKN_UZUNLUK",$C718="TUTAR_NEGATIF",$C718="DONEM_EKSIK"),$C718,"TANIMSIZ"))</f>
        <v/>
      </c>
      <c r="G718" s="16">
        <f>IF($C718="","",1)</f>
        <v/>
      </c>
    </row>
    <row r="719">
      <c r="A719" s="16">
        <f>IF('VERI_A'!$A719="","",ROW()-ROW(tblVeriA[[#Headers]]))</f>
        <v/>
      </c>
      <c r="B719" s="23">
        <f>IF('VERI_A'!$A719="","",'VERI_A'!$A719)</f>
        <v/>
      </c>
      <c r="C719" s="16">
        <f>IF($B719="","",IF(OR('VERI_A'!$B719="",'VERI_A'!$B719=0),"TARIH_BOS",IF(LEN(TRIM('VERI_A'!$C719&amp;""))&lt;&gt;dbe_vknUzunluk,"VKN_UZUNLUK",IF('VERI_A'!$G719&lt;0,"TUTAR_NEGATIF",IF('VERI_A'!$I719="","DONEM_EKSIK",""))))</f>
        <v/>
      </c>
      <c r="D719" s="16">
        <f>IF($C719="","",IF($C719="TARIH_BOS","Belge tarihi zorunlu",IF($C719="VKN_UZUNLUK","VKN 10 hane olmalı",IF($C719="TUTAR_NEGATIF","Toplam negatif olamaz",IF($C719="DONEM_EKSIK","Dönem zorunlu","Elle incele"))))</f>
        <v/>
      </c>
      <c r="E719" s="16">
        <f>IF($C719="","",IF(OR($C719="TUTAR_NEGATIF",$C719="TARIH_BOS"),"YUKSEK","ORTA"))</f>
        <v/>
      </c>
      <c r="F719" s="16">
        <f>IF($C719="","",IF(OR($C719="TARIH_BOS",$C719="VKN_UZUNLUK",$C719="TUTAR_NEGATIF",$C719="DONEM_EKSIK"),$C719,"TANIMSIZ"))</f>
        <v/>
      </c>
      <c r="G719" s="16">
        <f>IF($C719="","",1)</f>
        <v/>
      </c>
    </row>
    <row r="720">
      <c r="A720" s="16">
        <f>IF('VERI_A'!$A720="","",ROW()-ROW(tblVeriA[[#Headers]]))</f>
        <v/>
      </c>
      <c r="B720" s="23">
        <f>IF('VERI_A'!$A720="","",'VERI_A'!$A720)</f>
        <v/>
      </c>
      <c r="C720" s="16">
        <f>IF($B720="","",IF(OR('VERI_A'!$B720="",'VERI_A'!$B720=0),"TARIH_BOS",IF(LEN(TRIM('VERI_A'!$C720&amp;""))&lt;&gt;dbe_vknUzunluk,"VKN_UZUNLUK",IF('VERI_A'!$G720&lt;0,"TUTAR_NEGATIF",IF('VERI_A'!$I720="","DONEM_EKSIK",""))))</f>
        <v/>
      </c>
      <c r="D720" s="16">
        <f>IF($C720="","",IF($C720="TARIH_BOS","Belge tarihi zorunlu",IF($C720="VKN_UZUNLUK","VKN 10 hane olmalı",IF($C720="TUTAR_NEGATIF","Toplam negatif olamaz",IF($C720="DONEM_EKSIK","Dönem zorunlu","Elle incele"))))</f>
        <v/>
      </c>
      <c r="E720" s="16">
        <f>IF($C720="","",IF(OR($C720="TUTAR_NEGATIF",$C720="TARIH_BOS"),"YUKSEK","ORTA"))</f>
        <v/>
      </c>
      <c r="F720" s="16">
        <f>IF($C720="","",IF(OR($C720="TARIH_BOS",$C720="VKN_UZUNLUK",$C720="TUTAR_NEGATIF",$C720="DONEM_EKSIK"),$C720,"TANIMSIZ"))</f>
        <v/>
      </c>
      <c r="G720" s="16">
        <f>IF($C720="","",1)</f>
        <v/>
      </c>
    </row>
    <row r="721">
      <c r="A721" s="16">
        <f>IF('VERI_A'!$A721="","",ROW()-ROW(tblVeriA[[#Headers]]))</f>
        <v/>
      </c>
      <c r="B721" s="23">
        <f>IF('VERI_A'!$A721="","",'VERI_A'!$A721)</f>
        <v/>
      </c>
      <c r="C721" s="16">
        <f>IF($B721="","",IF(OR('VERI_A'!$B721="",'VERI_A'!$B721=0),"TARIH_BOS",IF(LEN(TRIM('VERI_A'!$C721&amp;""))&lt;&gt;dbe_vknUzunluk,"VKN_UZUNLUK",IF('VERI_A'!$G721&lt;0,"TUTAR_NEGATIF",IF('VERI_A'!$I721="","DONEM_EKSIK",""))))</f>
        <v/>
      </c>
      <c r="D721" s="16">
        <f>IF($C721="","",IF($C721="TARIH_BOS","Belge tarihi zorunlu",IF($C721="VKN_UZUNLUK","VKN 10 hane olmalı",IF($C721="TUTAR_NEGATIF","Toplam negatif olamaz",IF($C721="DONEM_EKSIK","Dönem zorunlu","Elle incele"))))</f>
        <v/>
      </c>
      <c r="E721" s="16">
        <f>IF($C721="","",IF(OR($C721="TUTAR_NEGATIF",$C721="TARIH_BOS"),"YUKSEK","ORTA"))</f>
        <v/>
      </c>
      <c r="F721" s="16">
        <f>IF($C721="","",IF(OR($C721="TARIH_BOS",$C721="VKN_UZUNLUK",$C721="TUTAR_NEGATIF",$C721="DONEM_EKSIK"),$C721,"TANIMSIZ"))</f>
        <v/>
      </c>
      <c r="G721" s="16">
        <f>IF($C721="","",1)</f>
        <v/>
      </c>
    </row>
    <row r="722">
      <c r="A722" s="16">
        <f>IF('VERI_A'!$A722="","",ROW()-ROW(tblVeriA[[#Headers]]))</f>
        <v/>
      </c>
      <c r="B722" s="23">
        <f>IF('VERI_A'!$A722="","",'VERI_A'!$A722)</f>
        <v/>
      </c>
      <c r="C722" s="16">
        <f>IF($B722="","",IF(OR('VERI_A'!$B722="",'VERI_A'!$B722=0),"TARIH_BOS",IF(LEN(TRIM('VERI_A'!$C722&amp;""))&lt;&gt;dbe_vknUzunluk,"VKN_UZUNLUK",IF('VERI_A'!$G722&lt;0,"TUTAR_NEGATIF",IF('VERI_A'!$I722="","DONEM_EKSIK",""))))</f>
        <v/>
      </c>
      <c r="D722" s="16">
        <f>IF($C722="","",IF($C722="TARIH_BOS","Belge tarihi zorunlu",IF($C722="VKN_UZUNLUK","VKN 10 hane olmalı",IF($C722="TUTAR_NEGATIF","Toplam negatif olamaz",IF($C722="DONEM_EKSIK","Dönem zorunlu","Elle incele"))))</f>
        <v/>
      </c>
      <c r="E722" s="16">
        <f>IF($C722="","",IF(OR($C722="TUTAR_NEGATIF",$C722="TARIH_BOS"),"YUKSEK","ORTA"))</f>
        <v/>
      </c>
      <c r="F722" s="16">
        <f>IF($C722="","",IF(OR($C722="TARIH_BOS",$C722="VKN_UZUNLUK",$C722="TUTAR_NEGATIF",$C722="DONEM_EKSIK"),$C722,"TANIMSIZ"))</f>
        <v/>
      </c>
      <c r="G722" s="16">
        <f>IF($C722="","",1)</f>
        <v/>
      </c>
    </row>
    <row r="723">
      <c r="A723" s="16">
        <f>IF('VERI_A'!$A723="","",ROW()-ROW(tblVeriA[[#Headers]]))</f>
        <v/>
      </c>
      <c r="B723" s="23">
        <f>IF('VERI_A'!$A723="","",'VERI_A'!$A723)</f>
        <v/>
      </c>
      <c r="C723" s="16">
        <f>IF($B723="","",IF(OR('VERI_A'!$B723="",'VERI_A'!$B723=0),"TARIH_BOS",IF(LEN(TRIM('VERI_A'!$C723&amp;""))&lt;&gt;dbe_vknUzunluk,"VKN_UZUNLUK",IF('VERI_A'!$G723&lt;0,"TUTAR_NEGATIF",IF('VERI_A'!$I723="","DONEM_EKSIK",""))))</f>
        <v/>
      </c>
      <c r="D723" s="16">
        <f>IF($C723="","",IF($C723="TARIH_BOS","Belge tarihi zorunlu",IF($C723="VKN_UZUNLUK","VKN 10 hane olmalı",IF($C723="TUTAR_NEGATIF","Toplam negatif olamaz",IF($C723="DONEM_EKSIK","Dönem zorunlu","Elle incele"))))</f>
        <v/>
      </c>
      <c r="E723" s="16">
        <f>IF($C723="","",IF(OR($C723="TUTAR_NEGATIF",$C723="TARIH_BOS"),"YUKSEK","ORTA"))</f>
        <v/>
      </c>
      <c r="F723" s="16">
        <f>IF($C723="","",IF(OR($C723="TARIH_BOS",$C723="VKN_UZUNLUK",$C723="TUTAR_NEGATIF",$C723="DONEM_EKSIK"),$C723,"TANIMSIZ"))</f>
        <v/>
      </c>
      <c r="G723" s="16">
        <f>IF($C723="","",1)</f>
        <v/>
      </c>
    </row>
    <row r="724">
      <c r="A724" s="16">
        <f>IF('VERI_A'!$A724="","",ROW()-ROW(tblVeriA[[#Headers]]))</f>
        <v/>
      </c>
      <c r="B724" s="23">
        <f>IF('VERI_A'!$A724="","",'VERI_A'!$A724)</f>
        <v/>
      </c>
      <c r="C724" s="16">
        <f>IF($B724="","",IF(OR('VERI_A'!$B724="",'VERI_A'!$B724=0),"TARIH_BOS",IF(LEN(TRIM('VERI_A'!$C724&amp;""))&lt;&gt;dbe_vknUzunluk,"VKN_UZUNLUK",IF('VERI_A'!$G724&lt;0,"TUTAR_NEGATIF",IF('VERI_A'!$I724="","DONEM_EKSIK",""))))</f>
        <v/>
      </c>
      <c r="D724" s="16">
        <f>IF($C724="","",IF($C724="TARIH_BOS","Belge tarihi zorunlu",IF($C724="VKN_UZUNLUK","VKN 10 hane olmalı",IF($C724="TUTAR_NEGATIF","Toplam negatif olamaz",IF($C724="DONEM_EKSIK","Dönem zorunlu","Elle incele"))))</f>
        <v/>
      </c>
      <c r="E724" s="16">
        <f>IF($C724="","",IF(OR($C724="TUTAR_NEGATIF",$C724="TARIH_BOS"),"YUKSEK","ORTA"))</f>
        <v/>
      </c>
      <c r="F724" s="16">
        <f>IF($C724="","",IF(OR($C724="TARIH_BOS",$C724="VKN_UZUNLUK",$C724="TUTAR_NEGATIF",$C724="DONEM_EKSIK"),$C724,"TANIMSIZ"))</f>
        <v/>
      </c>
      <c r="G724" s="16">
        <f>IF($C724="","",1)</f>
        <v/>
      </c>
    </row>
    <row r="725">
      <c r="A725" s="16">
        <f>IF('VERI_A'!$A725="","",ROW()-ROW(tblVeriA[[#Headers]]))</f>
        <v/>
      </c>
      <c r="B725" s="23">
        <f>IF('VERI_A'!$A725="","",'VERI_A'!$A725)</f>
        <v/>
      </c>
      <c r="C725" s="16">
        <f>IF($B725="","",IF(OR('VERI_A'!$B725="",'VERI_A'!$B725=0),"TARIH_BOS",IF(LEN(TRIM('VERI_A'!$C725&amp;""))&lt;&gt;dbe_vknUzunluk,"VKN_UZUNLUK",IF('VERI_A'!$G725&lt;0,"TUTAR_NEGATIF",IF('VERI_A'!$I725="","DONEM_EKSIK",""))))</f>
        <v/>
      </c>
      <c r="D725" s="16">
        <f>IF($C725="","",IF($C725="TARIH_BOS","Belge tarihi zorunlu",IF($C725="VKN_UZUNLUK","VKN 10 hane olmalı",IF($C725="TUTAR_NEGATIF","Toplam negatif olamaz",IF($C725="DONEM_EKSIK","Dönem zorunlu","Elle incele"))))</f>
        <v/>
      </c>
      <c r="E725" s="16">
        <f>IF($C725="","",IF(OR($C725="TUTAR_NEGATIF",$C725="TARIH_BOS"),"YUKSEK","ORTA"))</f>
        <v/>
      </c>
      <c r="F725" s="16">
        <f>IF($C725="","",IF(OR($C725="TARIH_BOS",$C725="VKN_UZUNLUK",$C725="TUTAR_NEGATIF",$C725="DONEM_EKSIK"),$C725,"TANIMSIZ"))</f>
        <v/>
      </c>
      <c r="G725" s="16">
        <f>IF($C725="","",1)</f>
        <v/>
      </c>
    </row>
    <row r="726">
      <c r="A726" s="16">
        <f>IF('VERI_A'!$A726="","",ROW()-ROW(tblVeriA[[#Headers]]))</f>
        <v/>
      </c>
      <c r="B726" s="23">
        <f>IF('VERI_A'!$A726="","",'VERI_A'!$A726)</f>
        <v/>
      </c>
      <c r="C726" s="16">
        <f>IF($B726="","",IF(OR('VERI_A'!$B726="",'VERI_A'!$B726=0),"TARIH_BOS",IF(LEN(TRIM('VERI_A'!$C726&amp;""))&lt;&gt;dbe_vknUzunluk,"VKN_UZUNLUK",IF('VERI_A'!$G726&lt;0,"TUTAR_NEGATIF",IF('VERI_A'!$I726="","DONEM_EKSIK",""))))</f>
        <v/>
      </c>
      <c r="D726" s="16">
        <f>IF($C726="","",IF($C726="TARIH_BOS","Belge tarihi zorunlu",IF($C726="VKN_UZUNLUK","VKN 10 hane olmalı",IF($C726="TUTAR_NEGATIF","Toplam negatif olamaz",IF($C726="DONEM_EKSIK","Dönem zorunlu","Elle incele"))))</f>
        <v/>
      </c>
      <c r="E726" s="16">
        <f>IF($C726="","",IF(OR($C726="TUTAR_NEGATIF",$C726="TARIH_BOS"),"YUKSEK","ORTA"))</f>
        <v/>
      </c>
      <c r="F726" s="16">
        <f>IF($C726="","",IF(OR($C726="TARIH_BOS",$C726="VKN_UZUNLUK",$C726="TUTAR_NEGATIF",$C726="DONEM_EKSIK"),$C726,"TANIMSIZ"))</f>
        <v/>
      </c>
      <c r="G726" s="16">
        <f>IF($C726="","",1)</f>
        <v/>
      </c>
    </row>
    <row r="727">
      <c r="A727" s="16">
        <f>IF('VERI_A'!$A727="","",ROW()-ROW(tblVeriA[[#Headers]]))</f>
        <v/>
      </c>
      <c r="B727" s="23">
        <f>IF('VERI_A'!$A727="","",'VERI_A'!$A727)</f>
        <v/>
      </c>
      <c r="C727" s="16">
        <f>IF($B727="","",IF(OR('VERI_A'!$B727="",'VERI_A'!$B727=0),"TARIH_BOS",IF(LEN(TRIM('VERI_A'!$C727&amp;""))&lt;&gt;dbe_vknUzunluk,"VKN_UZUNLUK",IF('VERI_A'!$G727&lt;0,"TUTAR_NEGATIF",IF('VERI_A'!$I727="","DONEM_EKSIK",""))))</f>
        <v/>
      </c>
      <c r="D727" s="16">
        <f>IF($C727="","",IF($C727="TARIH_BOS","Belge tarihi zorunlu",IF($C727="VKN_UZUNLUK","VKN 10 hane olmalı",IF($C727="TUTAR_NEGATIF","Toplam negatif olamaz",IF($C727="DONEM_EKSIK","Dönem zorunlu","Elle incele"))))</f>
        <v/>
      </c>
      <c r="E727" s="16">
        <f>IF($C727="","",IF(OR($C727="TUTAR_NEGATIF",$C727="TARIH_BOS"),"YUKSEK","ORTA"))</f>
        <v/>
      </c>
      <c r="F727" s="16">
        <f>IF($C727="","",IF(OR($C727="TARIH_BOS",$C727="VKN_UZUNLUK",$C727="TUTAR_NEGATIF",$C727="DONEM_EKSIK"),$C727,"TANIMSIZ"))</f>
        <v/>
      </c>
      <c r="G727" s="16">
        <f>IF($C727="","",1)</f>
        <v/>
      </c>
    </row>
    <row r="728">
      <c r="A728" s="16">
        <f>IF('VERI_A'!$A728="","",ROW()-ROW(tblVeriA[[#Headers]]))</f>
        <v/>
      </c>
      <c r="B728" s="23">
        <f>IF('VERI_A'!$A728="","",'VERI_A'!$A728)</f>
        <v/>
      </c>
      <c r="C728" s="16">
        <f>IF($B728="","",IF(OR('VERI_A'!$B728="",'VERI_A'!$B728=0),"TARIH_BOS",IF(LEN(TRIM('VERI_A'!$C728&amp;""))&lt;&gt;dbe_vknUzunluk,"VKN_UZUNLUK",IF('VERI_A'!$G728&lt;0,"TUTAR_NEGATIF",IF('VERI_A'!$I728="","DONEM_EKSIK",""))))</f>
        <v/>
      </c>
      <c r="D728" s="16">
        <f>IF($C728="","",IF($C728="TARIH_BOS","Belge tarihi zorunlu",IF($C728="VKN_UZUNLUK","VKN 10 hane olmalı",IF($C728="TUTAR_NEGATIF","Toplam negatif olamaz",IF($C728="DONEM_EKSIK","Dönem zorunlu","Elle incele"))))</f>
        <v/>
      </c>
      <c r="E728" s="16">
        <f>IF($C728="","",IF(OR($C728="TUTAR_NEGATIF",$C728="TARIH_BOS"),"YUKSEK","ORTA"))</f>
        <v/>
      </c>
      <c r="F728" s="16">
        <f>IF($C728="","",IF(OR($C728="TARIH_BOS",$C728="VKN_UZUNLUK",$C728="TUTAR_NEGATIF",$C728="DONEM_EKSIK"),$C728,"TANIMSIZ"))</f>
        <v/>
      </c>
      <c r="G728" s="16">
        <f>IF($C728="","",1)</f>
        <v/>
      </c>
    </row>
    <row r="729">
      <c r="A729" s="16">
        <f>IF('VERI_A'!$A729="","",ROW()-ROW(tblVeriA[[#Headers]]))</f>
        <v/>
      </c>
      <c r="B729" s="23">
        <f>IF('VERI_A'!$A729="","",'VERI_A'!$A729)</f>
        <v/>
      </c>
      <c r="C729" s="16">
        <f>IF($B729="","",IF(OR('VERI_A'!$B729="",'VERI_A'!$B729=0),"TARIH_BOS",IF(LEN(TRIM('VERI_A'!$C729&amp;""))&lt;&gt;dbe_vknUzunluk,"VKN_UZUNLUK",IF('VERI_A'!$G729&lt;0,"TUTAR_NEGATIF",IF('VERI_A'!$I729="","DONEM_EKSIK",""))))</f>
        <v/>
      </c>
      <c r="D729" s="16">
        <f>IF($C729="","",IF($C729="TARIH_BOS","Belge tarihi zorunlu",IF($C729="VKN_UZUNLUK","VKN 10 hane olmalı",IF($C729="TUTAR_NEGATIF","Toplam negatif olamaz",IF($C729="DONEM_EKSIK","Dönem zorunlu","Elle incele"))))</f>
        <v/>
      </c>
      <c r="E729" s="16">
        <f>IF($C729="","",IF(OR($C729="TUTAR_NEGATIF",$C729="TARIH_BOS"),"YUKSEK","ORTA"))</f>
        <v/>
      </c>
      <c r="F729" s="16">
        <f>IF($C729="","",IF(OR($C729="TARIH_BOS",$C729="VKN_UZUNLUK",$C729="TUTAR_NEGATIF",$C729="DONEM_EKSIK"),$C729,"TANIMSIZ"))</f>
        <v/>
      </c>
      <c r="G729" s="16">
        <f>IF($C729="","",1)</f>
        <v/>
      </c>
    </row>
    <row r="730">
      <c r="A730" s="16">
        <f>IF('VERI_A'!$A730="","",ROW()-ROW(tblVeriA[[#Headers]]))</f>
        <v/>
      </c>
      <c r="B730" s="23">
        <f>IF('VERI_A'!$A730="","",'VERI_A'!$A730)</f>
        <v/>
      </c>
      <c r="C730" s="16">
        <f>IF($B730="","",IF(OR('VERI_A'!$B730="",'VERI_A'!$B730=0),"TARIH_BOS",IF(LEN(TRIM('VERI_A'!$C730&amp;""))&lt;&gt;dbe_vknUzunluk,"VKN_UZUNLUK",IF('VERI_A'!$G730&lt;0,"TUTAR_NEGATIF",IF('VERI_A'!$I730="","DONEM_EKSIK",""))))</f>
        <v/>
      </c>
      <c r="D730" s="16">
        <f>IF($C730="","",IF($C730="TARIH_BOS","Belge tarihi zorunlu",IF($C730="VKN_UZUNLUK","VKN 10 hane olmalı",IF($C730="TUTAR_NEGATIF","Toplam negatif olamaz",IF($C730="DONEM_EKSIK","Dönem zorunlu","Elle incele"))))</f>
        <v/>
      </c>
      <c r="E730" s="16">
        <f>IF($C730="","",IF(OR($C730="TUTAR_NEGATIF",$C730="TARIH_BOS"),"YUKSEK","ORTA"))</f>
        <v/>
      </c>
      <c r="F730" s="16">
        <f>IF($C730="","",IF(OR($C730="TARIH_BOS",$C730="VKN_UZUNLUK",$C730="TUTAR_NEGATIF",$C730="DONEM_EKSIK"),$C730,"TANIMSIZ"))</f>
        <v/>
      </c>
      <c r="G730" s="16">
        <f>IF($C730="","",1)</f>
        <v/>
      </c>
    </row>
    <row r="731">
      <c r="A731" s="16">
        <f>IF('VERI_A'!$A731="","",ROW()-ROW(tblVeriA[[#Headers]]))</f>
        <v/>
      </c>
      <c r="B731" s="23">
        <f>IF('VERI_A'!$A731="","",'VERI_A'!$A731)</f>
        <v/>
      </c>
      <c r="C731" s="16">
        <f>IF($B731="","",IF(OR('VERI_A'!$B731="",'VERI_A'!$B731=0),"TARIH_BOS",IF(LEN(TRIM('VERI_A'!$C731&amp;""))&lt;&gt;dbe_vknUzunluk,"VKN_UZUNLUK",IF('VERI_A'!$G731&lt;0,"TUTAR_NEGATIF",IF('VERI_A'!$I731="","DONEM_EKSIK",""))))</f>
        <v/>
      </c>
      <c r="D731" s="16">
        <f>IF($C731="","",IF($C731="TARIH_BOS","Belge tarihi zorunlu",IF($C731="VKN_UZUNLUK","VKN 10 hane olmalı",IF($C731="TUTAR_NEGATIF","Toplam negatif olamaz",IF($C731="DONEM_EKSIK","Dönem zorunlu","Elle incele"))))</f>
        <v/>
      </c>
      <c r="E731" s="16">
        <f>IF($C731="","",IF(OR($C731="TUTAR_NEGATIF",$C731="TARIH_BOS"),"YUKSEK","ORTA"))</f>
        <v/>
      </c>
      <c r="F731" s="16">
        <f>IF($C731="","",IF(OR($C731="TARIH_BOS",$C731="VKN_UZUNLUK",$C731="TUTAR_NEGATIF",$C731="DONEM_EKSIK"),$C731,"TANIMSIZ"))</f>
        <v/>
      </c>
      <c r="G731" s="16">
        <f>IF($C731="","",1)</f>
        <v/>
      </c>
    </row>
    <row r="732">
      <c r="A732" s="16">
        <f>IF('VERI_A'!$A732="","",ROW()-ROW(tblVeriA[[#Headers]]))</f>
        <v/>
      </c>
      <c r="B732" s="23">
        <f>IF('VERI_A'!$A732="","",'VERI_A'!$A732)</f>
        <v/>
      </c>
      <c r="C732" s="16">
        <f>IF($B732="","",IF(OR('VERI_A'!$B732="",'VERI_A'!$B732=0),"TARIH_BOS",IF(LEN(TRIM('VERI_A'!$C732&amp;""))&lt;&gt;dbe_vknUzunluk,"VKN_UZUNLUK",IF('VERI_A'!$G732&lt;0,"TUTAR_NEGATIF",IF('VERI_A'!$I732="","DONEM_EKSIK",""))))</f>
        <v/>
      </c>
      <c r="D732" s="16">
        <f>IF($C732="","",IF($C732="TARIH_BOS","Belge tarihi zorunlu",IF($C732="VKN_UZUNLUK","VKN 10 hane olmalı",IF($C732="TUTAR_NEGATIF","Toplam negatif olamaz",IF($C732="DONEM_EKSIK","Dönem zorunlu","Elle incele"))))</f>
        <v/>
      </c>
      <c r="E732" s="16">
        <f>IF($C732="","",IF(OR($C732="TUTAR_NEGATIF",$C732="TARIH_BOS"),"YUKSEK","ORTA"))</f>
        <v/>
      </c>
      <c r="F732" s="16">
        <f>IF($C732="","",IF(OR($C732="TARIH_BOS",$C732="VKN_UZUNLUK",$C732="TUTAR_NEGATIF",$C732="DONEM_EKSIK"),$C732,"TANIMSIZ"))</f>
        <v/>
      </c>
      <c r="G732" s="16">
        <f>IF($C732="","",1)</f>
        <v/>
      </c>
    </row>
    <row r="733">
      <c r="A733" s="16">
        <f>IF('VERI_A'!$A733="","",ROW()-ROW(tblVeriA[[#Headers]]))</f>
        <v/>
      </c>
      <c r="B733" s="23">
        <f>IF('VERI_A'!$A733="","",'VERI_A'!$A733)</f>
        <v/>
      </c>
      <c r="C733" s="16">
        <f>IF($B733="","",IF(OR('VERI_A'!$B733="",'VERI_A'!$B733=0),"TARIH_BOS",IF(LEN(TRIM('VERI_A'!$C733&amp;""))&lt;&gt;dbe_vknUzunluk,"VKN_UZUNLUK",IF('VERI_A'!$G733&lt;0,"TUTAR_NEGATIF",IF('VERI_A'!$I733="","DONEM_EKSIK",""))))</f>
        <v/>
      </c>
      <c r="D733" s="16">
        <f>IF($C733="","",IF($C733="TARIH_BOS","Belge tarihi zorunlu",IF($C733="VKN_UZUNLUK","VKN 10 hane olmalı",IF($C733="TUTAR_NEGATIF","Toplam negatif olamaz",IF($C733="DONEM_EKSIK","Dönem zorunlu","Elle incele"))))</f>
        <v/>
      </c>
      <c r="E733" s="16">
        <f>IF($C733="","",IF(OR($C733="TUTAR_NEGATIF",$C733="TARIH_BOS"),"YUKSEK","ORTA"))</f>
        <v/>
      </c>
      <c r="F733" s="16">
        <f>IF($C733="","",IF(OR($C733="TARIH_BOS",$C733="VKN_UZUNLUK",$C733="TUTAR_NEGATIF",$C733="DONEM_EKSIK"),$C733,"TANIMSIZ"))</f>
        <v/>
      </c>
      <c r="G733" s="16">
        <f>IF($C733="","",1)</f>
        <v/>
      </c>
    </row>
    <row r="734">
      <c r="A734" s="16">
        <f>IF('VERI_A'!$A734="","",ROW()-ROW(tblVeriA[[#Headers]]))</f>
        <v/>
      </c>
      <c r="B734" s="23">
        <f>IF('VERI_A'!$A734="","",'VERI_A'!$A734)</f>
        <v/>
      </c>
      <c r="C734" s="16">
        <f>IF($B734="","",IF(OR('VERI_A'!$B734="",'VERI_A'!$B734=0),"TARIH_BOS",IF(LEN(TRIM('VERI_A'!$C734&amp;""))&lt;&gt;dbe_vknUzunluk,"VKN_UZUNLUK",IF('VERI_A'!$G734&lt;0,"TUTAR_NEGATIF",IF('VERI_A'!$I734="","DONEM_EKSIK",""))))</f>
        <v/>
      </c>
      <c r="D734" s="16">
        <f>IF($C734="","",IF($C734="TARIH_BOS","Belge tarihi zorunlu",IF($C734="VKN_UZUNLUK","VKN 10 hane olmalı",IF($C734="TUTAR_NEGATIF","Toplam negatif olamaz",IF($C734="DONEM_EKSIK","Dönem zorunlu","Elle incele"))))</f>
        <v/>
      </c>
      <c r="E734" s="16">
        <f>IF($C734="","",IF(OR($C734="TUTAR_NEGATIF",$C734="TARIH_BOS"),"YUKSEK","ORTA"))</f>
        <v/>
      </c>
      <c r="F734" s="16">
        <f>IF($C734="","",IF(OR($C734="TARIH_BOS",$C734="VKN_UZUNLUK",$C734="TUTAR_NEGATIF",$C734="DONEM_EKSIK"),$C734,"TANIMSIZ"))</f>
        <v/>
      </c>
      <c r="G734" s="16">
        <f>IF($C734="","",1)</f>
        <v/>
      </c>
    </row>
    <row r="735">
      <c r="A735" s="16">
        <f>IF('VERI_A'!$A735="","",ROW()-ROW(tblVeriA[[#Headers]]))</f>
        <v/>
      </c>
      <c r="B735" s="23">
        <f>IF('VERI_A'!$A735="","",'VERI_A'!$A735)</f>
        <v/>
      </c>
      <c r="C735" s="16">
        <f>IF($B735="","",IF(OR('VERI_A'!$B735="",'VERI_A'!$B735=0),"TARIH_BOS",IF(LEN(TRIM('VERI_A'!$C735&amp;""))&lt;&gt;dbe_vknUzunluk,"VKN_UZUNLUK",IF('VERI_A'!$G735&lt;0,"TUTAR_NEGATIF",IF('VERI_A'!$I735="","DONEM_EKSIK",""))))</f>
        <v/>
      </c>
      <c r="D735" s="16">
        <f>IF($C735="","",IF($C735="TARIH_BOS","Belge tarihi zorunlu",IF($C735="VKN_UZUNLUK","VKN 10 hane olmalı",IF($C735="TUTAR_NEGATIF","Toplam negatif olamaz",IF($C735="DONEM_EKSIK","Dönem zorunlu","Elle incele"))))</f>
        <v/>
      </c>
      <c r="E735" s="16">
        <f>IF($C735="","",IF(OR($C735="TUTAR_NEGATIF",$C735="TARIH_BOS"),"YUKSEK","ORTA"))</f>
        <v/>
      </c>
      <c r="F735" s="16">
        <f>IF($C735="","",IF(OR($C735="TARIH_BOS",$C735="VKN_UZUNLUK",$C735="TUTAR_NEGATIF",$C735="DONEM_EKSIK"),$C735,"TANIMSIZ"))</f>
        <v/>
      </c>
      <c r="G735" s="16">
        <f>IF($C735="","",1)</f>
        <v/>
      </c>
    </row>
    <row r="736">
      <c r="A736" s="16">
        <f>IF('VERI_A'!$A736="","",ROW()-ROW(tblVeriA[[#Headers]]))</f>
        <v/>
      </c>
      <c r="B736" s="23">
        <f>IF('VERI_A'!$A736="","",'VERI_A'!$A736)</f>
        <v/>
      </c>
      <c r="C736" s="16">
        <f>IF($B736="","",IF(OR('VERI_A'!$B736="",'VERI_A'!$B736=0),"TARIH_BOS",IF(LEN(TRIM('VERI_A'!$C736&amp;""))&lt;&gt;dbe_vknUzunluk,"VKN_UZUNLUK",IF('VERI_A'!$G736&lt;0,"TUTAR_NEGATIF",IF('VERI_A'!$I736="","DONEM_EKSIK",""))))</f>
        <v/>
      </c>
      <c r="D736" s="16">
        <f>IF($C736="","",IF($C736="TARIH_BOS","Belge tarihi zorunlu",IF($C736="VKN_UZUNLUK","VKN 10 hane olmalı",IF($C736="TUTAR_NEGATIF","Toplam negatif olamaz",IF($C736="DONEM_EKSIK","Dönem zorunlu","Elle incele"))))</f>
        <v/>
      </c>
      <c r="E736" s="16">
        <f>IF($C736="","",IF(OR($C736="TUTAR_NEGATIF",$C736="TARIH_BOS"),"YUKSEK","ORTA"))</f>
        <v/>
      </c>
      <c r="F736" s="16">
        <f>IF($C736="","",IF(OR($C736="TARIH_BOS",$C736="VKN_UZUNLUK",$C736="TUTAR_NEGATIF",$C736="DONEM_EKSIK"),$C736,"TANIMSIZ"))</f>
        <v/>
      </c>
      <c r="G736" s="16">
        <f>IF($C736="","",1)</f>
        <v/>
      </c>
    </row>
    <row r="737">
      <c r="A737" s="16">
        <f>IF('VERI_A'!$A737="","",ROW()-ROW(tblVeriA[[#Headers]]))</f>
        <v/>
      </c>
      <c r="B737" s="23">
        <f>IF('VERI_A'!$A737="","",'VERI_A'!$A737)</f>
        <v/>
      </c>
      <c r="C737" s="16">
        <f>IF($B737="","",IF(OR('VERI_A'!$B737="",'VERI_A'!$B737=0),"TARIH_BOS",IF(LEN(TRIM('VERI_A'!$C737&amp;""))&lt;&gt;dbe_vknUzunluk,"VKN_UZUNLUK",IF('VERI_A'!$G737&lt;0,"TUTAR_NEGATIF",IF('VERI_A'!$I737="","DONEM_EKSIK",""))))</f>
        <v/>
      </c>
      <c r="D737" s="16">
        <f>IF($C737="","",IF($C737="TARIH_BOS","Belge tarihi zorunlu",IF($C737="VKN_UZUNLUK","VKN 10 hane olmalı",IF($C737="TUTAR_NEGATIF","Toplam negatif olamaz",IF($C737="DONEM_EKSIK","Dönem zorunlu","Elle incele"))))</f>
        <v/>
      </c>
      <c r="E737" s="16">
        <f>IF($C737="","",IF(OR($C737="TUTAR_NEGATIF",$C737="TARIH_BOS"),"YUKSEK","ORTA"))</f>
        <v/>
      </c>
      <c r="F737" s="16">
        <f>IF($C737="","",IF(OR($C737="TARIH_BOS",$C737="VKN_UZUNLUK",$C737="TUTAR_NEGATIF",$C737="DONEM_EKSIK"),$C737,"TANIMSIZ"))</f>
        <v/>
      </c>
      <c r="G737" s="16">
        <f>IF($C737="","",1)</f>
        <v/>
      </c>
    </row>
    <row r="738">
      <c r="A738" s="16">
        <f>IF('VERI_A'!$A738="","",ROW()-ROW(tblVeriA[[#Headers]]))</f>
        <v/>
      </c>
      <c r="B738" s="23">
        <f>IF('VERI_A'!$A738="","",'VERI_A'!$A738)</f>
        <v/>
      </c>
      <c r="C738" s="16">
        <f>IF($B738="","",IF(OR('VERI_A'!$B738="",'VERI_A'!$B738=0),"TARIH_BOS",IF(LEN(TRIM('VERI_A'!$C738&amp;""))&lt;&gt;dbe_vknUzunluk,"VKN_UZUNLUK",IF('VERI_A'!$G738&lt;0,"TUTAR_NEGATIF",IF('VERI_A'!$I738="","DONEM_EKSIK",""))))</f>
        <v/>
      </c>
      <c r="D738" s="16">
        <f>IF($C738="","",IF($C738="TARIH_BOS","Belge tarihi zorunlu",IF($C738="VKN_UZUNLUK","VKN 10 hane olmalı",IF($C738="TUTAR_NEGATIF","Toplam negatif olamaz",IF($C738="DONEM_EKSIK","Dönem zorunlu","Elle incele"))))</f>
        <v/>
      </c>
      <c r="E738" s="16">
        <f>IF($C738="","",IF(OR($C738="TUTAR_NEGATIF",$C738="TARIH_BOS"),"YUKSEK","ORTA"))</f>
        <v/>
      </c>
      <c r="F738" s="16">
        <f>IF($C738="","",IF(OR($C738="TARIH_BOS",$C738="VKN_UZUNLUK",$C738="TUTAR_NEGATIF",$C738="DONEM_EKSIK"),$C738,"TANIMSIZ"))</f>
        <v/>
      </c>
      <c r="G738" s="16">
        <f>IF($C738="","",1)</f>
        <v/>
      </c>
    </row>
    <row r="739">
      <c r="A739" s="16">
        <f>IF('VERI_A'!$A739="","",ROW()-ROW(tblVeriA[[#Headers]]))</f>
        <v/>
      </c>
      <c r="B739" s="23">
        <f>IF('VERI_A'!$A739="","",'VERI_A'!$A739)</f>
        <v/>
      </c>
      <c r="C739" s="16">
        <f>IF($B739="","",IF(OR('VERI_A'!$B739="",'VERI_A'!$B739=0),"TARIH_BOS",IF(LEN(TRIM('VERI_A'!$C739&amp;""))&lt;&gt;dbe_vknUzunluk,"VKN_UZUNLUK",IF('VERI_A'!$G739&lt;0,"TUTAR_NEGATIF",IF('VERI_A'!$I739="","DONEM_EKSIK",""))))</f>
        <v/>
      </c>
      <c r="D739" s="16">
        <f>IF($C739="","",IF($C739="TARIH_BOS","Belge tarihi zorunlu",IF($C739="VKN_UZUNLUK","VKN 10 hane olmalı",IF($C739="TUTAR_NEGATIF","Toplam negatif olamaz",IF($C739="DONEM_EKSIK","Dönem zorunlu","Elle incele"))))</f>
        <v/>
      </c>
      <c r="E739" s="16">
        <f>IF($C739="","",IF(OR($C739="TUTAR_NEGATIF",$C739="TARIH_BOS"),"YUKSEK","ORTA"))</f>
        <v/>
      </c>
      <c r="F739" s="16">
        <f>IF($C739="","",IF(OR($C739="TARIH_BOS",$C739="VKN_UZUNLUK",$C739="TUTAR_NEGATIF",$C739="DONEM_EKSIK"),$C739,"TANIMSIZ"))</f>
        <v/>
      </c>
      <c r="G739" s="16">
        <f>IF($C739="","",1)</f>
        <v/>
      </c>
    </row>
    <row r="740">
      <c r="A740" s="16">
        <f>IF('VERI_A'!$A740="","",ROW()-ROW(tblVeriA[[#Headers]]))</f>
        <v/>
      </c>
      <c r="B740" s="23">
        <f>IF('VERI_A'!$A740="","",'VERI_A'!$A740)</f>
        <v/>
      </c>
      <c r="C740" s="16">
        <f>IF($B740="","",IF(OR('VERI_A'!$B740="",'VERI_A'!$B740=0),"TARIH_BOS",IF(LEN(TRIM('VERI_A'!$C740&amp;""))&lt;&gt;dbe_vknUzunluk,"VKN_UZUNLUK",IF('VERI_A'!$G740&lt;0,"TUTAR_NEGATIF",IF('VERI_A'!$I740="","DONEM_EKSIK",""))))</f>
        <v/>
      </c>
      <c r="D740" s="16">
        <f>IF($C740="","",IF($C740="TARIH_BOS","Belge tarihi zorunlu",IF($C740="VKN_UZUNLUK","VKN 10 hane olmalı",IF($C740="TUTAR_NEGATIF","Toplam negatif olamaz",IF($C740="DONEM_EKSIK","Dönem zorunlu","Elle incele"))))</f>
        <v/>
      </c>
      <c r="E740" s="16">
        <f>IF($C740="","",IF(OR($C740="TUTAR_NEGATIF",$C740="TARIH_BOS"),"YUKSEK","ORTA"))</f>
        <v/>
      </c>
      <c r="F740" s="16">
        <f>IF($C740="","",IF(OR($C740="TARIH_BOS",$C740="VKN_UZUNLUK",$C740="TUTAR_NEGATIF",$C740="DONEM_EKSIK"),$C740,"TANIMSIZ"))</f>
        <v/>
      </c>
      <c r="G740" s="16">
        <f>IF($C740="","",1)</f>
        <v/>
      </c>
    </row>
    <row r="741">
      <c r="A741" s="16">
        <f>IF('VERI_A'!$A741="","",ROW()-ROW(tblVeriA[[#Headers]]))</f>
        <v/>
      </c>
      <c r="B741" s="23">
        <f>IF('VERI_A'!$A741="","",'VERI_A'!$A741)</f>
        <v/>
      </c>
      <c r="C741" s="16">
        <f>IF($B741="","",IF(OR('VERI_A'!$B741="",'VERI_A'!$B741=0),"TARIH_BOS",IF(LEN(TRIM('VERI_A'!$C741&amp;""))&lt;&gt;dbe_vknUzunluk,"VKN_UZUNLUK",IF('VERI_A'!$G741&lt;0,"TUTAR_NEGATIF",IF('VERI_A'!$I741="","DONEM_EKSIK",""))))</f>
        <v/>
      </c>
      <c r="D741" s="16">
        <f>IF($C741="","",IF($C741="TARIH_BOS","Belge tarihi zorunlu",IF($C741="VKN_UZUNLUK","VKN 10 hane olmalı",IF($C741="TUTAR_NEGATIF","Toplam negatif olamaz",IF($C741="DONEM_EKSIK","Dönem zorunlu","Elle incele"))))</f>
        <v/>
      </c>
      <c r="E741" s="16">
        <f>IF($C741="","",IF(OR($C741="TUTAR_NEGATIF",$C741="TARIH_BOS"),"YUKSEK","ORTA"))</f>
        <v/>
      </c>
      <c r="F741" s="16">
        <f>IF($C741="","",IF(OR($C741="TARIH_BOS",$C741="VKN_UZUNLUK",$C741="TUTAR_NEGATIF",$C741="DONEM_EKSIK"),$C741,"TANIMSIZ"))</f>
        <v/>
      </c>
      <c r="G741" s="16">
        <f>IF($C741="","",1)</f>
        <v/>
      </c>
    </row>
    <row r="742">
      <c r="A742" s="16">
        <f>IF('VERI_A'!$A742="","",ROW()-ROW(tblVeriA[[#Headers]]))</f>
        <v/>
      </c>
      <c r="B742" s="23">
        <f>IF('VERI_A'!$A742="","",'VERI_A'!$A742)</f>
        <v/>
      </c>
      <c r="C742" s="16">
        <f>IF($B742="","",IF(OR('VERI_A'!$B742="",'VERI_A'!$B742=0),"TARIH_BOS",IF(LEN(TRIM('VERI_A'!$C742&amp;""))&lt;&gt;dbe_vknUzunluk,"VKN_UZUNLUK",IF('VERI_A'!$G742&lt;0,"TUTAR_NEGATIF",IF('VERI_A'!$I742="","DONEM_EKSIK",""))))</f>
        <v/>
      </c>
      <c r="D742" s="16">
        <f>IF($C742="","",IF($C742="TARIH_BOS","Belge tarihi zorunlu",IF($C742="VKN_UZUNLUK","VKN 10 hane olmalı",IF($C742="TUTAR_NEGATIF","Toplam negatif olamaz",IF($C742="DONEM_EKSIK","Dönem zorunlu","Elle incele"))))</f>
        <v/>
      </c>
      <c r="E742" s="16">
        <f>IF($C742="","",IF(OR($C742="TUTAR_NEGATIF",$C742="TARIH_BOS"),"YUKSEK","ORTA"))</f>
        <v/>
      </c>
      <c r="F742" s="16">
        <f>IF($C742="","",IF(OR($C742="TARIH_BOS",$C742="VKN_UZUNLUK",$C742="TUTAR_NEGATIF",$C742="DONEM_EKSIK"),$C742,"TANIMSIZ"))</f>
        <v/>
      </c>
      <c r="G742" s="16">
        <f>IF($C742="","",1)</f>
        <v/>
      </c>
    </row>
    <row r="743">
      <c r="A743" s="16">
        <f>IF('VERI_A'!$A743="","",ROW()-ROW(tblVeriA[[#Headers]]))</f>
        <v/>
      </c>
      <c r="B743" s="23">
        <f>IF('VERI_A'!$A743="","",'VERI_A'!$A743)</f>
        <v/>
      </c>
      <c r="C743" s="16">
        <f>IF($B743="","",IF(OR('VERI_A'!$B743="",'VERI_A'!$B743=0),"TARIH_BOS",IF(LEN(TRIM('VERI_A'!$C743&amp;""))&lt;&gt;dbe_vknUzunluk,"VKN_UZUNLUK",IF('VERI_A'!$G743&lt;0,"TUTAR_NEGATIF",IF('VERI_A'!$I743="","DONEM_EKSIK",""))))</f>
        <v/>
      </c>
      <c r="D743" s="16">
        <f>IF($C743="","",IF($C743="TARIH_BOS","Belge tarihi zorunlu",IF($C743="VKN_UZUNLUK","VKN 10 hane olmalı",IF($C743="TUTAR_NEGATIF","Toplam negatif olamaz",IF($C743="DONEM_EKSIK","Dönem zorunlu","Elle incele"))))</f>
        <v/>
      </c>
      <c r="E743" s="16">
        <f>IF($C743="","",IF(OR($C743="TUTAR_NEGATIF",$C743="TARIH_BOS"),"YUKSEK","ORTA"))</f>
        <v/>
      </c>
      <c r="F743" s="16">
        <f>IF($C743="","",IF(OR($C743="TARIH_BOS",$C743="VKN_UZUNLUK",$C743="TUTAR_NEGATIF",$C743="DONEM_EKSIK"),$C743,"TANIMSIZ"))</f>
        <v/>
      </c>
      <c r="G743" s="16">
        <f>IF($C743="","",1)</f>
        <v/>
      </c>
    </row>
    <row r="744">
      <c r="A744" s="16">
        <f>IF('VERI_A'!$A744="","",ROW()-ROW(tblVeriA[[#Headers]]))</f>
        <v/>
      </c>
      <c r="B744" s="23">
        <f>IF('VERI_A'!$A744="","",'VERI_A'!$A744)</f>
        <v/>
      </c>
      <c r="C744" s="16">
        <f>IF($B744="","",IF(OR('VERI_A'!$B744="",'VERI_A'!$B744=0),"TARIH_BOS",IF(LEN(TRIM('VERI_A'!$C744&amp;""))&lt;&gt;dbe_vknUzunluk,"VKN_UZUNLUK",IF('VERI_A'!$G744&lt;0,"TUTAR_NEGATIF",IF('VERI_A'!$I744="","DONEM_EKSIK",""))))</f>
        <v/>
      </c>
      <c r="D744" s="16">
        <f>IF($C744="","",IF($C744="TARIH_BOS","Belge tarihi zorunlu",IF($C744="VKN_UZUNLUK","VKN 10 hane olmalı",IF($C744="TUTAR_NEGATIF","Toplam negatif olamaz",IF($C744="DONEM_EKSIK","Dönem zorunlu","Elle incele"))))</f>
        <v/>
      </c>
      <c r="E744" s="16">
        <f>IF($C744="","",IF(OR($C744="TUTAR_NEGATIF",$C744="TARIH_BOS"),"YUKSEK","ORTA"))</f>
        <v/>
      </c>
      <c r="F744" s="16">
        <f>IF($C744="","",IF(OR($C744="TARIH_BOS",$C744="VKN_UZUNLUK",$C744="TUTAR_NEGATIF",$C744="DONEM_EKSIK"),$C744,"TANIMSIZ"))</f>
        <v/>
      </c>
      <c r="G744" s="16">
        <f>IF($C744="","",1)</f>
        <v/>
      </c>
    </row>
    <row r="745">
      <c r="A745" s="16">
        <f>IF('VERI_A'!$A745="","",ROW()-ROW(tblVeriA[[#Headers]]))</f>
        <v/>
      </c>
      <c r="B745" s="23">
        <f>IF('VERI_A'!$A745="","",'VERI_A'!$A745)</f>
        <v/>
      </c>
      <c r="C745" s="16">
        <f>IF($B745="","",IF(OR('VERI_A'!$B745="",'VERI_A'!$B745=0),"TARIH_BOS",IF(LEN(TRIM('VERI_A'!$C745&amp;""))&lt;&gt;dbe_vknUzunluk,"VKN_UZUNLUK",IF('VERI_A'!$G745&lt;0,"TUTAR_NEGATIF",IF('VERI_A'!$I745="","DONEM_EKSIK",""))))</f>
        <v/>
      </c>
      <c r="D745" s="16">
        <f>IF($C745="","",IF($C745="TARIH_BOS","Belge tarihi zorunlu",IF($C745="VKN_UZUNLUK","VKN 10 hane olmalı",IF($C745="TUTAR_NEGATIF","Toplam negatif olamaz",IF($C745="DONEM_EKSIK","Dönem zorunlu","Elle incele"))))</f>
        <v/>
      </c>
      <c r="E745" s="16">
        <f>IF($C745="","",IF(OR($C745="TUTAR_NEGATIF",$C745="TARIH_BOS"),"YUKSEK","ORTA"))</f>
        <v/>
      </c>
      <c r="F745" s="16">
        <f>IF($C745="","",IF(OR($C745="TARIH_BOS",$C745="VKN_UZUNLUK",$C745="TUTAR_NEGATIF",$C745="DONEM_EKSIK"),$C745,"TANIMSIZ"))</f>
        <v/>
      </c>
      <c r="G745" s="16">
        <f>IF($C745="","",1)</f>
        <v/>
      </c>
    </row>
    <row r="746">
      <c r="A746" s="16">
        <f>IF('VERI_A'!$A746="","",ROW()-ROW(tblVeriA[[#Headers]]))</f>
        <v/>
      </c>
      <c r="B746" s="23">
        <f>IF('VERI_A'!$A746="","",'VERI_A'!$A746)</f>
        <v/>
      </c>
      <c r="C746" s="16">
        <f>IF($B746="","",IF(OR('VERI_A'!$B746="",'VERI_A'!$B746=0),"TARIH_BOS",IF(LEN(TRIM('VERI_A'!$C746&amp;""))&lt;&gt;dbe_vknUzunluk,"VKN_UZUNLUK",IF('VERI_A'!$G746&lt;0,"TUTAR_NEGATIF",IF('VERI_A'!$I746="","DONEM_EKSIK",""))))</f>
        <v/>
      </c>
      <c r="D746" s="16">
        <f>IF($C746="","",IF($C746="TARIH_BOS","Belge tarihi zorunlu",IF($C746="VKN_UZUNLUK","VKN 10 hane olmalı",IF($C746="TUTAR_NEGATIF","Toplam negatif olamaz",IF($C746="DONEM_EKSIK","Dönem zorunlu","Elle incele"))))</f>
        <v/>
      </c>
      <c r="E746" s="16">
        <f>IF($C746="","",IF(OR($C746="TUTAR_NEGATIF",$C746="TARIH_BOS"),"YUKSEK","ORTA"))</f>
        <v/>
      </c>
      <c r="F746" s="16">
        <f>IF($C746="","",IF(OR($C746="TARIH_BOS",$C746="VKN_UZUNLUK",$C746="TUTAR_NEGATIF",$C746="DONEM_EKSIK"),$C746,"TANIMSIZ"))</f>
        <v/>
      </c>
      <c r="G746" s="16">
        <f>IF($C746="","",1)</f>
        <v/>
      </c>
    </row>
    <row r="747">
      <c r="A747" s="16">
        <f>IF('VERI_A'!$A747="","",ROW()-ROW(tblVeriA[[#Headers]]))</f>
        <v/>
      </c>
      <c r="B747" s="23">
        <f>IF('VERI_A'!$A747="","",'VERI_A'!$A747)</f>
        <v/>
      </c>
      <c r="C747" s="16">
        <f>IF($B747="","",IF(OR('VERI_A'!$B747="",'VERI_A'!$B747=0),"TARIH_BOS",IF(LEN(TRIM('VERI_A'!$C747&amp;""))&lt;&gt;dbe_vknUzunluk,"VKN_UZUNLUK",IF('VERI_A'!$G747&lt;0,"TUTAR_NEGATIF",IF('VERI_A'!$I747="","DONEM_EKSIK",""))))</f>
        <v/>
      </c>
      <c r="D747" s="16">
        <f>IF($C747="","",IF($C747="TARIH_BOS","Belge tarihi zorunlu",IF($C747="VKN_UZUNLUK","VKN 10 hane olmalı",IF($C747="TUTAR_NEGATIF","Toplam negatif olamaz",IF($C747="DONEM_EKSIK","Dönem zorunlu","Elle incele"))))</f>
        <v/>
      </c>
      <c r="E747" s="16">
        <f>IF($C747="","",IF(OR($C747="TUTAR_NEGATIF",$C747="TARIH_BOS"),"YUKSEK","ORTA"))</f>
        <v/>
      </c>
      <c r="F747" s="16">
        <f>IF($C747="","",IF(OR($C747="TARIH_BOS",$C747="VKN_UZUNLUK",$C747="TUTAR_NEGATIF",$C747="DONEM_EKSIK"),$C747,"TANIMSIZ"))</f>
        <v/>
      </c>
      <c r="G747" s="16">
        <f>IF($C747="","",1)</f>
        <v/>
      </c>
    </row>
    <row r="748">
      <c r="A748" s="16">
        <f>IF('VERI_A'!$A748="","",ROW()-ROW(tblVeriA[[#Headers]]))</f>
        <v/>
      </c>
      <c r="B748" s="23">
        <f>IF('VERI_A'!$A748="","",'VERI_A'!$A748)</f>
        <v/>
      </c>
      <c r="C748" s="16">
        <f>IF($B748="","",IF(OR('VERI_A'!$B748="",'VERI_A'!$B748=0),"TARIH_BOS",IF(LEN(TRIM('VERI_A'!$C748&amp;""))&lt;&gt;dbe_vknUzunluk,"VKN_UZUNLUK",IF('VERI_A'!$G748&lt;0,"TUTAR_NEGATIF",IF('VERI_A'!$I748="","DONEM_EKSIK",""))))</f>
        <v/>
      </c>
      <c r="D748" s="16">
        <f>IF($C748="","",IF($C748="TARIH_BOS","Belge tarihi zorunlu",IF($C748="VKN_UZUNLUK","VKN 10 hane olmalı",IF($C748="TUTAR_NEGATIF","Toplam negatif olamaz",IF($C748="DONEM_EKSIK","Dönem zorunlu","Elle incele"))))</f>
        <v/>
      </c>
      <c r="E748" s="16">
        <f>IF($C748="","",IF(OR($C748="TUTAR_NEGATIF",$C748="TARIH_BOS"),"YUKSEK","ORTA"))</f>
        <v/>
      </c>
      <c r="F748" s="16">
        <f>IF($C748="","",IF(OR($C748="TARIH_BOS",$C748="VKN_UZUNLUK",$C748="TUTAR_NEGATIF",$C748="DONEM_EKSIK"),$C748,"TANIMSIZ"))</f>
        <v/>
      </c>
      <c r="G748" s="16">
        <f>IF($C748="","",1)</f>
        <v/>
      </c>
    </row>
    <row r="749">
      <c r="A749" s="16">
        <f>IF('VERI_A'!$A749="","",ROW()-ROW(tblVeriA[[#Headers]]))</f>
        <v/>
      </c>
      <c r="B749" s="23">
        <f>IF('VERI_A'!$A749="","",'VERI_A'!$A749)</f>
        <v/>
      </c>
      <c r="C749" s="16">
        <f>IF($B749="","",IF(OR('VERI_A'!$B749="",'VERI_A'!$B749=0),"TARIH_BOS",IF(LEN(TRIM('VERI_A'!$C749&amp;""))&lt;&gt;dbe_vknUzunluk,"VKN_UZUNLUK",IF('VERI_A'!$G749&lt;0,"TUTAR_NEGATIF",IF('VERI_A'!$I749="","DONEM_EKSIK",""))))</f>
        <v/>
      </c>
      <c r="D749" s="16">
        <f>IF($C749="","",IF($C749="TARIH_BOS","Belge tarihi zorunlu",IF($C749="VKN_UZUNLUK","VKN 10 hane olmalı",IF($C749="TUTAR_NEGATIF","Toplam negatif olamaz",IF($C749="DONEM_EKSIK","Dönem zorunlu","Elle incele"))))</f>
        <v/>
      </c>
      <c r="E749" s="16">
        <f>IF($C749="","",IF(OR($C749="TUTAR_NEGATIF",$C749="TARIH_BOS"),"YUKSEK","ORTA"))</f>
        <v/>
      </c>
      <c r="F749" s="16">
        <f>IF($C749="","",IF(OR($C749="TARIH_BOS",$C749="VKN_UZUNLUK",$C749="TUTAR_NEGATIF",$C749="DONEM_EKSIK"),$C749,"TANIMSIZ"))</f>
        <v/>
      </c>
      <c r="G749" s="16">
        <f>IF($C749="","",1)</f>
        <v/>
      </c>
    </row>
    <row r="750">
      <c r="A750" s="16">
        <f>IF('VERI_A'!$A750="","",ROW()-ROW(tblVeriA[[#Headers]]))</f>
        <v/>
      </c>
      <c r="B750" s="23">
        <f>IF('VERI_A'!$A750="","",'VERI_A'!$A750)</f>
        <v/>
      </c>
      <c r="C750" s="16">
        <f>IF($B750="","",IF(OR('VERI_A'!$B750="",'VERI_A'!$B750=0),"TARIH_BOS",IF(LEN(TRIM('VERI_A'!$C750&amp;""))&lt;&gt;dbe_vknUzunluk,"VKN_UZUNLUK",IF('VERI_A'!$G750&lt;0,"TUTAR_NEGATIF",IF('VERI_A'!$I750="","DONEM_EKSIK",""))))</f>
        <v/>
      </c>
      <c r="D750" s="16">
        <f>IF($C750="","",IF($C750="TARIH_BOS","Belge tarihi zorunlu",IF($C750="VKN_UZUNLUK","VKN 10 hane olmalı",IF($C750="TUTAR_NEGATIF","Toplam negatif olamaz",IF($C750="DONEM_EKSIK","Dönem zorunlu","Elle incele"))))</f>
        <v/>
      </c>
      <c r="E750" s="16">
        <f>IF($C750="","",IF(OR($C750="TUTAR_NEGATIF",$C750="TARIH_BOS"),"YUKSEK","ORTA"))</f>
        <v/>
      </c>
      <c r="F750" s="16">
        <f>IF($C750="","",IF(OR($C750="TARIH_BOS",$C750="VKN_UZUNLUK",$C750="TUTAR_NEGATIF",$C750="DONEM_EKSIK"),$C750,"TANIMSIZ"))</f>
        <v/>
      </c>
      <c r="G750" s="16">
        <f>IF($C750="","",1)</f>
        <v/>
      </c>
    </row>
    <row r="751">
      <c r="A751" s="16">
        <f>IF('VERI_A'!$A751="","",ROW()-ROW(tblVeriA[[#Headers]]))</f>
        <v/>
      </c>
      <c r="B751" s="23">
        <f>IF('VERI_A'!$A751="","",'VERI_A'!$A751)</f>
        <v/>
      </c>
      <c r="C751" s="16">
        <f>IF($B751="","",IF(OR('VERI_A'!$B751="",'VERI_A'!$B751=0),"TARIH_BOS",IF(LEN(TRIM('VERI_A'!$C751&amp;""))&lt;&gt;dbe_vknUzunluk,"VKN_UZUNLUK",IF('VERI_A'!$G751&lt;0,"TUTAR_NEGATIF",IF('VERI_A'!$I751="","DONEM_EKSIK",""))))</f>
        <v/>
      </c>
      <c r="D751" s="16">
        <f>IF($C751="","",IF($C751="TARIH_BOS","Belge tarihi zorunlu",IF($C751="VKN_UZUNLUK","VKN 10 hane olmalı",IF($C751="TUTAR_NEGATIF","Toplam negatif olamaz",IF($C751="DONEM_EKSIK","Dönem zorunlu","Elle incele"))))</f>
        <v/>
      </c>
      <c r="E751" s="16">
        <f>IF($C751="","",IF(OR($C751="TUTAR_NEGATIF",$C751="TARIH_BOS"),"YUKSEK","ORTA"))</f>
        <v/>
      </c>
      <c r="F751" s="16">
        <f>IF($C751="","",IF(OR($C751="TARIH_BOS",$C751="VKN_UZUNLUK",$C751="TUTAR_NEGATIF",$C751="DONEM_EKSIK"),$C751,"TANIMSIZ"))</f>
        <v/>
      </c>
      <c r="G751" s="16">
        <f>IF($C751="","",1)</f>
        <v/>
      </c>
    </row>
    <row r="752">
      <c r="A752" s="16">
        <f>IF('VERI_A'!$A752="","",ROW()-ROW(tblVeriA[[#Headers]]))</f>
        <v/>
      </c>
      <c r="B752" s="23">
        <f>IF('VERI_A'!$A752="","",'VERI_A'!$A752)</f>
        <v/>
      </c>
      <c r="C752" s="16">
        <f>IF($B752="","",IF(OR('VERI_A'!$B752="",'VERI_A'!$B752=0),"TARIH_BOS",IF(LEN(TRIM('VERI_A'!$C752&amp;""))&lt;&gt;dbe_vknUzunluk,"VKN_UZUNLUK",IF('VERI_A'!$G752&lt;0,"TUTAR_NEGATIF",IF('VERI_A'!$I752="","DONEM_EKSIK",""))))</f>
        <v/>
      </c>
      <c r="D752" s="16">
        <f>IF($C752="","",IF($C752="TARIH_BOS","Belge tarihi zorunlu",IF($C752="VKN_UZUNLUK","VKN 10 hane olmalı",IF($C752="TUTAR_NEGATIF","Toplam negatif olamaz",IF($C752="DONEM_EKSIK","Dönem zorunlu","Elle incele"))))</f>
        <v/>
      </c>
      <c r="E752" s="16">
        <f>IF($C752="","",IF(OR($C752="TUTAR_NEGATIF",$C752="TARIH_BOS"),"YUKSEK","ORTA"))</f>
        <v/>
      </c>
      <c r="F752" s="16">
        <f>IF($C752="","",IF(OR($C752="TARIH_BOS",$C752="VKN_UZUNLUK",$C752="TUTAR_NEGATIF",$C752="DONEM_EKSIK"),$C752,"TANIMSIZ"))</f>
        <v/>
      </c>
      <c r="G752" s="16">
        <f>IF($C752="","",1)</f>
        <v/>
      </c>
    </row>
    <row r="753">
      <c r="A753" s="16">
        <f>IF('VERI_A'!$A753="","",ROW()-ROW(tblVeriA[[#Headers]]))</f>
        <v/>
      </c>
      <c r="B753" s="23">
        <f>IF('VERI_A'!$A753="","",'VERI_A'!$A753)</f>
        <v/>
      </c>
      <c r="C753" s="16">
        <f>IF($B753="","",IF(OR('VERI_A'!$B753="",'VERI_A'!$B753=0),"TARIH_BOS",IF(LEN(TRIM('VERI_A'!$C753&amp;""))&lt;&gt;dbe_vknUzunluk,"VKN_UZUNLUK",IF('VERI_A'!$G753&lt;0,"TUTAR_NEGATIF",IF('VERI_A'!$I753="","DONEM_EKSIK",""))))</f>
        <v/>
      </c>
      <c r="D753" s="16">
        <f>IF($C753="","",IF($C753="TARIH_BOS","Belge tarihi zorunlu",IF($C753="VKN_UZUNLUK","VKN 10 hane olmalı",IF($C753="TUTAR_NEGATIF","Toplam negatif olamaz",IF($C753="DONEM_EKSIK","Dönem zorunlu","Elle incele"))))</f>
        <v/>
      </c>
      <c r="E753" s="16">
        <f>IF($C753="","",IF(OR($C753="TUTAR_NEGATIF",$C753="TARIH_BOS"),"YUKSEK","ORTA"))</f>
        <v/>
      </c>
      <c r="F753" s="16">
        <f>IF($C753="","",IF(OR($C753="TARIH_BOS",$C753="VKN_UZUNLUK",$C753="TUTAR_NEGATIF",$C753="DONEM_EKSIK"),$C753,"TANIMSIZ"))</f>
        <v/>
      </c>
      <c r="G753" s="16">
        <f>IF($C753="","",1)</f>
        <v/>
      </c>
    </row>
    <row r="754">
      <c r="A754" s="16">
        <f>IF('VERI_A'!$A754="","",ROW()-ROW(tblVeriA[[#Headers]]))</f>
        <v/>
      </c>
      <c r="B754" s="23">
        <f>IF('VERI_A'!$A754="","",'VERI_A'!$A754)</f>
        <v/>
      </c>
      <c r="C754" s="16">
        <f>IF($B754="","",IF(OR('VERI_A'!$B754="",'VERI_A'!$B754=0),"TARIH_BOS",IF(LEN(TRIM('VERI_A'!$C754&amp;""))&lt;&gt;dbe_vknUzunluk,"VKN_UZUNLUK",IF('VERI_A'!$G754&lt;0,"TUTAR_NEGATIF",IF('VERI_A'!$I754="","DONEM_EKSIK",""))))</f>
        <v/>
      </c>
      <c r="D754" s="16">
        <f>IF($C754="","",IF($C754="TARIH_BOS","Belge tarihi zorunlu",IF($C754="VKN_UZUNLUK","VKN 10 hane olmalı",IF($C754="TUTAR_NEGATIF","Toplam negatif olamaz",IF($C754="DONEM_EKSIK","Dönem zorunlu","Elle incele"))))</f>
        <v/>
      </c>
      <c r="E754" s="16">
        <f>IF($C754="","",IF(OR($C754="TUTAR_NEGATIF",$C754="TARIH_BOS"),"YUKSEK","ORTA"))</f>
        <v/>
      </c>
      <c r="F754" s="16">
        <f>IF($C754="","",IF(OR($C754="TARIH_BOS",$C754="VKN_UZUNLUK",$C754="TUTAR_NEGATIF",$C754="DONEM_EKSIK"),$C754,"TANIMSIZ"))</f>
        <v/>
      </c>
      <c r="G754" s="16">
        <f>IF($C754="","",1)</f>
        <v/>
      </c>
    </row>
    <row r="755">
      <c r="A755" s="16">
        <f>IF('VERI_A'!$A755="","",ROW()-ROW(tblVeriA[[#Headers]]))</f>
        <v/>
      </c>
      <c r="B755" s="23">
        <f>IF('VERI_A'!$A755="","",'VERI_A'!$A755)</f>
        <v/>
      </c>
      <c r="C755" s="16">
        <f>IF($B755="","",IF(OR('VERI_A'!$B755="",'VERI_A'!$B755=0),"TARIH_BOS",IF(LEN(TRIM('VERI_A'!$C755&amp;""))&lt;&gt;dbe_vknUzunluk,"VKN_UZUNLUK",IF('VERI_A'!$G755&lt;0,"TUTAR_NEGATIF",IF('VERI_A'!$I755="","DONEM_EKSIK",""))))</f>
        <v/>
      </c>
      <c r="D755" s="16">
        <f>IF($C755="","",IF($C755="TARIH_BOS","Belge tarihi zorunlu",IF($C755="VKN_UZUNLUK","VKN 10 hane olmalı",IF($C755="TUTAR_NEGATIF","Toplam negatif olamaz",IF($C755="DONEM_EKSIK","Dönem zorunlu","Elle incele"))))</f>
        <v/>
      </c>
      <c r="E755" s="16">
        <f>IF($C755="","",IF(OR($C755="TUTAR_NEGATIF",$C755="TARIH_BOS"),"YUKSEK","ORTA"))</f>
        <v/>
      </c>
      <c r="F755" s="16">
        <f>IF($C755="","",IF(OR($C755="TARIH_BOS",$C755="VKN_UZUNLUK",$C755="TUTAR_NEGATIF",$C755="DONEM_EKSIK"),$C755,"TANIMSIZ"))</f>
        <v/>
      </c>
      <c r="G755" s="16">
        <f>IF($C755="","",1)</f>
        <v/>
      </c>
    </row>
    <row r="756">
      <c r="A756" s="16">
        <f>IF('VERI_A'!$A756="","",ROW()-ROW(tblVeriA[[#Headers]]))</f>
        <v/>
      </c>
      <c r="B756" s="23">
        <f>IF('VERI_A'!$A756="","",'VERI_A'!$A756)</f>
        <v/>
      </c>
      <c r="C756" s="16">
        <f>IF($B756="","",IF(OR('VERI_A'!$B756="",'VERI_A'!$B756=0),"TARIH_BOS",IF(LEN(TRIM('VERI_A'!$C756&amp;""))&lt;&gt;dbe_vknUzunluk,"VKN_UZUNLUK",IF('VERI_A'!$G756&lt;0,"TUTAR_NEGATIF",IF('VERI_A'!$I756="","DONEM_EKSIK",""))))</f>
        <v/>
      </c>
      <c r="D756" s="16">
        <f>IF($C756="","",IF($C756="TARIH_BOS","Belge tarihi zorunlu",IF($C756="VKN_UZUNLUK","VKN 10 hane olmalı",IF($C756="TUTAR_NEGATIF","Toplam negatif olamaz",IF($C756="DONEM_EKSIK","Dönem zorunlu","Elle incele"))))</f>
        <v/>
      </c>
      <c r="E756" s="16">
        <f>IF($C756="","",IF(OR($C756="TUTAR_NEGATIF",$C756="TARIH_BOS"),"YUKSEK","ORTA"))</f>
        <v/>
      </c>
      <c r="F756" s="16">
        <f>IF($C756="","",IF(OR($C756="TARIH_BOS",$C756="VKN_UZUNLUK",$C756="TUTAR_NEGATIF",$C756="DONEM_EKSIK"),$C756,"TANIMSIZ"))</f>
        <v/>
      </c>
      <c r="G756" s="16">
        <f>IF($C756="","",1)</f>
        <v/>
      </c>
    </row>
    <row r="757">
      <c r="A757" s="16">
        <f>IF('VERI_A'!$A757="","",ROW()-ROW(tblVeriA[[#Headers]]))</f>
        <v/>
      </c>
      <c r="B757" s="23">
        <f>IF('VERI_A'!$A757="","",'VERI_A'!$A757)</f>
        <v/>
      </c>
      <c r="C757" s="16">
        <f>IF($B757="","",IF(OR('VERI_A'!$B757="",'VERI_A'!$B757=0),"TARIH_BOS",IF(LEN(TRIM('VERI_A'!$C757&amp;""))&lt;&gt;dbe_vknUzunluk,"VKN_UZUNLUK",IF('VERI_A'!$G757&lt;0,"TUTAR_NEGATIF",IF('VERI_A'!$I757="","DONEM_EKSIK",""))))</f>
        <v/>
      </c>
      <c r="D757" s="16">
        <f>IF($C757="","",IF($C757="TARIH_BOS","Belge tarihi zorunlu",IF($C757="VKN_UZUNLUK","VKN 10 hane olmalı",IF($C757="TUTAR_NEGATIF","Toplam negatif olamaz",IF($C757="DONEM_EKSIK","Dönem zorunlu","Elle incele"))))</f>
        <v/>
      </c>
      <c r="E757" s="16">
        <f>IF($C757="","",IF(OR($C757="TUTAR_NEGATIF",$C757="TARIH_BOS"),"YUKSEK","ORTA"))</f>
        <v/>
      </c>
      <c r="F757" s="16">
        <f>IF($C757="","",IF(OR($C757="TARIH_BOS",$C757="VKN_UZUNLUK",$C757="TUTAR_NEGATIF",$C757="DONEM_EKSIK"),$C757,"TANIMSIZ"))</f>
        <v/>
      </c>
      <c r="G757" s="16">
        <f>IF($C757="","",1)</f>
        <v/>
      </c>
    </row>
    <row r="758">
      <c r="A758" s="16">
        <f>IF('VERI_A'!$A758="","",ROW()-ROW(tblVeriA[[#Headers]]))</f>
        <v/>
      </c>
      <c r="B758" s="23">
        <f>IF('VERI_A'!$A758="","",'VERI_A'!$A758)</f>
        <v/>
      </c>
      <c r="C758" s="16">
        <f>IF($B758="","",IF(OR('VERI_A'!$B758="",'VERI_A'!$B758=0),"TARIH_BOS",IF(LEN(TRIM('VERI_A'!$C758&amp;""))&lt;&gt;dbe_vknUzunluk,"VKN_UZUNLUK",IF('VERI_A'!$G758&lt;0,"TUTAR_NEGATIF",IF('VERI_A'!$I758="","DONEM_EKSIK",""))))</f>
        <v/>
      </c>
      <c r="D758" s="16">
        <f>IF($C758="","",IF($C758="TARIH_BOS","Belge tarihi zorunlu",IF($C758="VKN_UZUNLUK","VKN 10 hane olmalı",IF($C758="TUTAR_NEGATIF","Toplam negatif olamaz",IF($C758="DONEM_EKSIK","Dönem zorunlu","Elle incele"))))</f>
        <v/>
      </c>
      <c r="E758" s="16">
        <f>IF($C758="","",IF(OR($C758="TUTAR_NEGATIF",$C758="TARIH_BOS"),"YUKSEK","ORTA"))</f>
        <v/>
      </c>
      <c r="F758" s="16">
        <f>IF($C758="","",IF(OR($C758="TARIH_BOS",$C758="VKN_UZUNLUK",$C758="TUTAR_NEGATIF",$C758="DONEM_EKSIK"),$C758,"TANIMSIZ"))</f>
        <v/>
      </c>
      <c r="G758" s="16">
        <f>IF($C758="","",1)</f>
        <v/>
      </c>
    </row>
    <row r="759">
      <c r="A759" s="16">
        <f>IF('VERI_A'!$A759="","",ROW()-ROW(tblVeriA[[#Headers]]))</f>
        <v/>
      </c>
      <c r="B759" s="23">
        <f>IF('VERI_A'!$A759="","",'VERI_A'!$A759)</f>
        <v/>
      </c>
      <c r="C759" s="16">
        <f>IF($B759="","",IF(OR('VERI_A'!$B759="",'VERI_A'!$B759=0),"TARIH_BOS",IF(LEN(TRIM('VERI_A'!$C759&amp;""))&lt;&gt;dbe_vknUzunluk,"VKN_UZUNLUK",IF('VERI_A'!$G759&lt;0,"TUTAR_NEGATIF",IF('VERI_A'!$I759="","DONEM_EKSIK",""))))</f>
        <v/>
      </c>
      <c r="D759" s="16">
        <f>IF($C759="","",IF($C759="TARIH_BOS","Belge tarihi zorunlu",IF($C759="VKN_UZUNLUK","VKN 10 hane olmalı",IF($C759="TUTAR_NEGATIF","Toplam negatif olamaz",IF($C759="DONEM_EKSIK","Dönem zorunlu","Elle incele"))))</f>
        <v/>
      </c>
      <c r="E759" s="16">
        <f>IF($C759="","",IF(OR($C759="TUTAR_NEGATIF",$C759="TARIH_BOS"),"YUKSEK","ORTA"))</f>
        <v/>
      </c>
      <c r="F759" s="16">
        <f>IF($C759="","",IF(OR($C759="TARIH_BOS",$C759="VKN_UZUNLUK",$C759="TUTAR_NEGATIF",$C759="DONEM_EKSIK"),$C759,"TANIMSIZ"))</f>
        <v/>
      </c>
      <c r="G759" s="16">
        <f>IF($C759="","",1)</f>
        <v/>
      </c>
    </row>
    <row r="760">
      <c r="A760" s="16">
        <f>IF('VERI_A'!$A760="","",ROW()-ROW(tblVeriA[[#Headers]]))</f>
        <v/>
      </c>
      <c r="B760" s="23">
        <f>IF('VERI_A'!$A760="","",'VERI_A'!$A760)</f>
        <v/>
      </c>
      <c r="C760" s="16">
        <f>IF($B760="","",IF(OR('VERI_A'!$B760="",'VERI_A'!$B760=0),"TARIH_BOS",IF(LEN(TRIM('VERI_A'!$C760&amp;""))&lt;&gt;dbe_vknUzunluk,"VKN_UZUNLUK",IF('VERI_A'!$G760&lt;0,"TUTAR_NEGATIF",IF('VERI_A'!$I760="","DONEM_EKSIK",""))))</f>
        <v/>
      </c>
      <c r="D760" s="16">
        <f>IF($C760="","",IF($C760="TARIH_BOS","Belge tarihi zorunlu",IF($C760="VKN_UZUNLUK","VKN 10 hane olmalı",IF($C760="TUTAR_NEGATIF","Toplam negatif olamaz",IF($C760="DONEM_EKSIK","Dönem zorunlu","Elle incele"))))</f>
        <v/>
      </c>
      <c r="E760" s="16">
        <f>IF($C760="","",IF(OR($C760="TUTAR_NEGATIF",$C760="TARIH_BOS"),"YUKSEK","ORTA"))</f>
        <v/>
      </c>
      <c r="F760" s="16">
        <f>IF($C760="","",IF(OR($C760="TARIH_BOS",$C760="VKN_UZUNLUK",$C760="TUTAR_NEGATIF",$C760="DONEM_EKSIK"),$C760,"TANIMSIZ"))</f>
        <v/>
      </c>
      <c r="G760" s="16">
        <f>IF($C760="","",1)</f>
        <v/>
      </c>
    </row>
    <row r="761">
      <c r="A761" s="16">
        <f>IF('VERI_A'!$A761="","",ROW()-ROW(tblVeriA[[#Headers]]))</f>
        <v/>
      </c>
      <c r="B761" s="23">
        <f>IF('VERI_A'!$A761="","",'VERI_A'!$A761)</f>
        <v/>
      </c>
      <c r="C761" s="16">
        <f>IF($B761="","",IF(OR('VERI_A'!$B761="",'VERI_A'!$B761=0),"TARIH_BOS",IF(LEN(TRIM('VERI_A'!$C761&amp;""))&lt;&gt;dbe_vknUzunluk,"VKN_UZUNLUK",IF('VERI_A'!$G761&lt;0,"TUTAR_NEGATIF",IF('VERI_A'!$I761="","DONEM_EKSIK",""))))</f>
        <v/>
      </c>
      <c r="D761" s="16">
        <f>IF($C761="","",IF($C761="TARIH_BOS","Belge tarihi zorunlu",IF($C761="VKN_UZUNLUK","VKN 10 hane olmalı",IF($C761="TUTAR_NEGATIF","Toplam negatif olamaz",IF($C761="DONEM_EKSIK","Dönem zorunlu","Elle incele"))))</f>
        <v/>
      </c>
      <c r="E761" s="16">
        <f>IF($C761="","",IF(OR($C761="TUTAR_NEGATIF",$C761="TARIH_BOS"),"YUKSEK","ORTA"))</f>
        <v/>
      </c>
      <c r="F761" s="16">
        <f>IF($C761="","",IF(OR($C761="TARIH_BOS",$C761="VKN_UZUNLUK",$C761="TUTAR_NEGATIF",$C761="DONEM_EKSIK"),$C761,"TANIMSIZ"))</f>
        <v/>
      </c>
      <c r="G761" s="16">
        <f>IF($C761="","",1)</f>
        <v/>
      </c>
    </row>
    <row r="762">
      <c r="A762" s="16">
        <f>IF('VERI_A'!$A762="","",ROW()-ROW(tblVeriA[[#Headers]]))</f>
        <v/>
      </c>
      <c r="B762" s="23">
        <f>IF('VERI_A'!$A762="","",'VERI_A'!$A762)</f>
        <v/>
      </c>
      <c r="C762" s="16">
        <f>IF($B762="","",IF(OR('VERI_A'!$B762="",'VERI_A'!$B762=0),"TARIH_BOS",IF(LEN(TRIM('VERI_A'!$C762&amp;""))&lt;&gt;dbe_vknUzunluk,"VKN_UZUNLUK",IF('VERI_A'!$G762&lt;0,"TUTAR_NEGATIF",IF('VERI_A'!$I762="","DONEM_EKSIK",""))))</f>
        <v/>
      </c>
      <c r="D762" s="16">
        <f>IF($C762="","",IF($C762="TARIH_BOS","Belge tarihi zorunlu",IF($C762="VKN_UZUNLUK","VKN 10 hane olmalı",IF($C762="TUTAR_NEGATIF","Toplam negatif olamaz",IF($C762="DONEM_EKSIK","Dönem zorunlu","Elle incele"))))</f>
        <v/>
      </c>
      <c r="E762" s="16">
        <f>IF($C762="","",IF(OR($C762="TUTAR_NEGATIF",$C762="TARIH_BOS"),"YUKSEK","ORTA"))</f>
        <v/>
      </c>
      <c r="F762" s="16">
        <f>IF($C762="","",IF(OR($C762="TARIH_BOS",$C762="VKN_UZUNLUK",$C762="TUTAR_NEGATIF",$C762="DONEM_EKSIK"),$C762,"TANIMSIZ"))</f>
        <v/>
      </c>
      <c r="G762" s="16">
        <f>IF($C762="","",1)</f>
        <v/>
      </c>
    </row>
    <row r="763">
      <c r="A763" s="16">
        <f>IF('VERI_A'!$A763="","",ROW()-ROW(tblVeriA[[#Headers]]))</f>
        <v/>
      </c>
      <c r="B763" s="23">
        <f>IF('VERI_A'!$A763="","",'VERI_A'!$A763)</f>
        <v/>
      </c>
      <c r="C763" s="16">
        <f>IF($B763="","",IF(OR('VERI_A'!$B763="",'VERI_A'!$B763=0),"TARIH_BOS",IF(LEN(TRIM('VERI_A'!$C763&amp;""))&lt;&gt;dbe_vknUzunluk,"VKN_UZUNLUK",IF('VERI_A'!$G763&lt;0,"TUTAR_NEGATIF",IF('VERI_A'!$I763="","DONEM_EKSIK",""))))</f>
        <v/>
      </c>
      <c r="D763" s="16">
        <f>IF($C763="","",IF($C763="TARIH_BOS","Belge tarihi zorunlu",IF($C763="VKN_UZUNLUK","VKN 10 hane olmalı",IF($C763="TUTAR_NEGATIF","Toplam negatif olamaz",IF($C763="DONEM_EKSIK","Dönem zorunlu","Elle incele"))))</f>
        <v/>
      </c>
      <c r="E763" s="16">
        <f>IF($C763="","",IF(OR($C763="TUTAR_NEGATIF",$C763="TARIH_BOS"),"YUKSEK","ORTA"))</f>
        <v/>
      </c>
      <c r="F763" s="16">
        <f>IF($C763="","",IF(OR($C763="TARIH_BOS",$C763="VKN_UZUNLUK",$C763="TUTAR_NEGATIF",$C763="DONEM_EKSIK"),$C763,"TANIMSIZ"))</f>
        <v/>
      </c>
      <c r="G763" s="16">
        <f>IF($C763="","",1)</f>
        <v/>
      </c>
    </row>
    <row r="764">
      <c r="A764" s="16">
        <f>IF('VERI_A'!$A764="","",ROW()-ROW(tblVeriA[[#Headers]]))</f>
        <v/>
      </c>
      <c r="B764" s="23">
        <f>IF('VERI_A'!$A764="","",'VERI_A'!$A764)</f>
        <v/>
      </c>
      <c r="C764" s="16">
        <f>IF($B764="","",IF(OR('VERI_A'!$B764="",'VERI_A'!$B764=0),"TARIH_BOS",IF(LEN(TRIM('VERI_A'!$C764&amp;""))&lt;&gt;dbe_vknUzunluk,"VKN_UZUNLUK",IF('VERI_A'!$G764&lt;0,"TUTAR_NEGATIF",IF('VERI_A'!$I764="","DONEM_EKSIK",""))))</f>
        <v/>
      </c>
      <c r="D764" s="16">
        <f>IF($C764="","",IF($C764="TARIH_BOS","Belge tarihi zorunlu",IF($C764="VKN_UZUNLUK","VKN 10 hane olmalı",IF($C764="TUTAR_NEGATIF","Toplam negatif olamaz",IF($C764="DONEM_EKSIK","Dönem zorunlu","Elle incele"))))</f>
        <v/>
      </c>
      <c r="E764" s="16">
        <f>IF($C764="","",IF(OR($C764="TUTAR_NEGATIF",$C764="TARIH_BOS"),"YUKSEK","ORTA"))</f>
        <v/>
      </c>
      <c r="F764" s="16">
        <f>IF($C764="","",IF(OR($C764="TARIH_BOS",$C764="VKN_UZUNLUK",$C764="TUTAR_NEGATIF",$C764="DONEM_EKSIK"),$C764,"TANIMSIZ"))</f>
        <v/>
      </c>
      <c r="G764" s="16">
        <f>IF($C764="","",1)</f>
        <v/>
      </c>
    </row>
    <row r="765">
      <c r="A765" s="16">
        <f>IF('VERI_A'!$A765="","",ROW()-ROW(tblVeriA[[#Headers]]))</f>
        <v/>
      </c>
      <c r="B765" s="23">
        <f>IF('VERI_A'!$A765="","",'VERI_A'!$A765)</f>
        <v/>
      </c>
      <c r="C765" s="16">
        <f>IF($B765="","",IF(OR('VERI_A'!$B765="",'VERI_A'!$B765=0),"TARIH_BOS",IF(LEN(TRIM('VERI_A'!$C765&amp;""))&lt;&gt;dbe_vknUzunluk,"VKN_UZUNLUK",IF('VERI_A'!$G765&lt;0,"TUTAR_NEGATIF",IF('VERI_A'!$I765="","DONEM_EKSIK",""))))</f>
        <v/>
      </c>
      <c r="D765" s="16">
        <f>IF($C765="","",IF($C765="TARIH_BOS","Belge tarihi zorunlu",IF($C765="VKN_UZUNLUK","VKN 10 hane olmalı",IF($C765="TUTAR_NEGATIF","Toplam negatif olamaz",IF($C765="DONEM_EKSIK","Dönem zorunlu","Elle incele"))))</f>
        <v/>
      </c>
      <c r="E765" s="16">
        <f>IF($C765="","",IF(OR($C765="TUTAR_NEGATIF",$C765="TARIH_BOS"),"YUKSEK","ORTA"))</f>
        <v/>
      </c>
      <c r="F765" s="16">
        <f>IF($C765="","",IF(OR($C765="TARIH_BOS",$C765="VKN_UZUNLUK",$C765="TUTAR_NEGATIF",$C765="DONEM_EKSIK"),$C765,"TANIMSIZ"))</f>
        <v/>
      </c>
      <c r="G765" s="16">
        <f>IF($C765="","",1)</f>
        <v/>
      </c>
    </row>
    <row r="766">
      <c r="A766" s="16">
        <f>IF('VERI_A'!$A766="","",ROW()-ROW(tblVeriA[[#Headers]]))</f>
        <v/>
      </c>
      <c r="B766" s="23">
        <f>IF('VERI_A'!$A766="","",'VERI_A'!$A766)</f>
        <v/>
      </c>
      <c r="C766" s="16">
        <f>IF($B766="","",IF(OR('VERI_A'!$B766="",'VERI_A'!$B766=0),"TARIH_BOS",IF(LEN(TRIM('VERI_A'!$C766&amp;""))&lt;&gt;dbe_vknUzunluk,"VKN_UZUNLUK",IF('VERI_A'!$G766&lt;0,"TUTAR_NEGATIF",IF('VERI_A'!$I766="","DONEM_EKSIK",""))))</f>
        <v/>
      </c>
      <c r="D766" s="16">
        <f>IF($C766="","",IF($C766="TARIH_BOS","Belge tarihi zorunlu",IF($C766="VKN_UZUNLUK","VKN 10 hane olmalı",IF($C766="TUTAR_NEGATIF","Toplam negatif olamaz",IF($C766="DONEM_EKSIK","Dönem zorunlu","Elle incele"))))</f>
        <v/>
      </c>
      <c r="E766" s="16">
        <f>IF($C766="","",IF(OR($C766="TUTAR_NEGATIF",$C766="TARIH_BOS"),"YUKSEK","ORTA"))</f>
        <v/>
      </c>
      <c r="F766" s="16">
        <f>IF($C766="","",IF(OR($C766="TARIH_BOS",$C766="VKN_UZUNLUK",$C766="TUTAR_NEGATIF",$C766="DONEM_EKSIK"),$C766,"TANIMSIZ"))</f>
        <v/>
      </c>
      <c r="G766" s="16">
        <f>IF($C766="","",1)</f>
        <v/>
      </c>
    </row>
    <row r="767">
      <c r="A767" s="16">
        <f>IF('VERI_A'!$A767="","",ROW()-ROW(tblVeriA[[#Headers]]))</f>
        <v/>
      </c>
      <c r="B767" s="23">
        <f>IF('VERI_A'!$A767="","",'VERI_A'!$A767)</f>
        <v/>
      </c>
      <c r="C767" s="16">
        <f>IF($B767="","",IF(OR('VERI_A'!$B767="",'VERI_A'!$B767=0),"TARIH_BOS",IF(LEN(TRIM('VERI_A'!$C767&amp;""))&lt;&gt;dbe_vknUzunluk,"VKN_UZUNLUK",IF('VERI_A'!$G767&lt;0,"TUTAR_NEGATIF",IF('VERI_A'!$I767="","DONEM_EKSIK",""))))</f>
        <v/>
      </c>
      <c r="D767" s="16">
        <f>IF($C767="","",IF($C767="TARIH_BOS","Belge tarihi zorunlu",IF($C767="VKN_UZUNLUK","VKN 10 hane olmalı",IF($C767="TUTAR_NEGATIF","Toplam negatif olamaz",IF($C767="DONEM_EKSIK","Dönem zorunlu","Elle incele"))))</f>
        <v/>
      </c>
      <c r="E767" s="16">
        <f>IF($C767="","",IF(OR($C767="TUTAR_NEGATIF",$C767="TARIH_BOS"),"YUKSEK","ORTA"))</f>
        <v/>
      </c>
      <c r="F767" s="16">
        <f>IF($C767="","",IF(OR($C767="TARIH_BOS",$C767="VKN_UZUNLUK",$C767="TUTAR_NEGATIF",$C767="DONEM_EKSIK"),$C767,"TANIMSIZ"))</f>
        <v/>
      </c>
      <c r="G767" s="16">
        <f>IF($C767="","",1)</f>
        <v/>
      </c>
    </row>
    <row r="768">
      <c r="A768" s="16">
        <f>IF('VERI_A'!$A768="","",ROW()-ROW(tblVeriA[[#Headers]]))</f>
        <v/>
      </c>
      <c r="B768" s="23">
        <f>IF('VERI_A'!$A768="","",'VERI_A'!$A768)</f>
        <v/>
      </c>
      <c r="C768" s="16">
        <f>IF($B768="","",IF(OR('VERI_A'!$B768="",'VERI_A'!$B768=0),"TARIH_BOS",IF(LEN(TRIM('VERI_A'!$C768&amp;""))&lt;&gt;dbe_vknUzunluk,"VKN_UZUNLUK",IF('VERI_A'!$G768&lt;0,"TUTAR_NEGATIF",IF('VERI_A'!$I768="","DONEM_EKSIK",""))))</f>
        <v/>
      </c>
      <c r="D768" s="16">
        <f>IF($C768="","",IF($C768="TARIH_BOS","Belge tarihi zorunlu",IF($C768="VKN_UZUNLUK","VKN 10 hane olmalı",IF($C768="TUTAR_NEGATIF","Toplam negatif olamaz",IF($C768="DONEM_EKSIK","Dönem zorunlu","Elle incele"))))</f>
        <v/>
      </c>
      <c r="E768" s="16">
        <f>IF($C768="","",IF(OR($C768="TUTAR_NEGATIF",$C768="TARIH_BOS"),"YUKSEK","ORTA"))</f>
        <v/>
      </c>
      <c r="F768" s="16">
        <f>IF($C768="","",IF(OR($C768="TARIH_BOS",$C768="VKN_UZUNLUK",$C768="TUTAR_NEGATIF",$C768="DONEM_EKSIK"),$C768,"TANIMSIZ"))</f>
        <v/>
      </c>
      <c r="G768" s="16">
        <f>IF($C768="","",1)</f>
        <v/>
      </c>
    </row>
    <row r="769">
      <c r="A769" s="16">
        <f>IF('VERI_A'!$A769="","",ROW()-ROW(tblVeriA[[#Headers]]))</f>
        <v/>
      </c>
      <c r="B769" s="23">
        <f>IF('VERI_A'!$A769="","",'VERI_A'!$A769)</f>
        <v/>
      </c>
      <c r="C769" s="16">
        <f>IF($B769="","",IF(OR('VERI_A'!$B769="",'VERI_A'!$B769=0),"TARIH_BOS",IF(LEN(TRIM('VERI_A'!$C769&amp;""))&lt;&gt;dbe_vknUzunluk,"VKN_UZUNLUK",IF('VERI_A'!$G769&lt;0,"TUTAR_NEGATIF",IF('VERI_A'!$I769="","DONEM_EKSIK",""))))</f>
        <v/>
      </c>
      <c r="D769" s="16">
        <f>IF($C769="","",IF($C769="TARIH_BOS","Belge tarihi zorunlu",IF($C769="VKN_UZUNLUK","VKN 10 hane olmalı",IF($C769="TUTAR_NEGATIF","Toplam negatif olamaz",IF($C769="DONEM_EKSIK","Dönem zorunlu","Elle incele"))))</f>
        <v/>
      </c>
      <c r="E769" s="16">
        <f>IF($C769="","",IF(OR($C769="TUTAR_NEGATIF",$C769="TARIH_BOS"),"YUKSEK","ORTA"))</f>
        <v/>
      </c>
      <c r="F769" s="16">
        <f>IF($C769="","",IF(OR($C769="TARIH_BOS",$C769="VKN_UZUNLUK",$C769="TUTAR_NEGATIF",$C769="DONEM_EKSIK"),$C769,"TANIMSIZ"))</f>
        <v/>
      </c>
      <c r="G769" s="16">
        <f>IF($C769="","",1)</f>
        <v/>
      </c>
    </row>
    <row r="770">
      <c r="A770" s="16">
        <f>IF('VERI_A'!$A770="","",ROW()-ROW(tblVeriA[[#Headers]]))</f>
        <v/>
      </c>
      <c r="B770" s="23">
        <f>IF('VERI_A'!$A770="","",'VERI_A'!$A770)</f>
        <v/>
      </c>
      <c r="C770" s="16">
        <f>IF($B770="","",IF(OR('VERI_A'!$B770="",'VERI_A'!$B770=0),"TARIH_BOS",IF(LEN(TRIM('VERI_A'!$C770&amp;""))&lt;&gt;dbe_vknUzunluk,"VKN_UZUNLUK",IF('VERI_A'!$G770&lt;0,"TUTAR_NEGATIF",IF('VERI_A'!$I770="","DONEM_EKSIK",""))))</f>
        <v/>
      </c>
      <c r="D770" s="16">
        <f>IF($C770="","",IF($C770="TARIH_BOS","Belge tarihi zorunlu",IF($C770="VKN_UZUNLUK","VKN 10 hane olmalı",IF($C770="TUTAR_NEGATIF","Toplam negatif olamaz",IF($C770="DONEM_EKSIK","Dönem zorunlu","Elle incele"))))</f>
        <v/>
      </c>
      <c r="E770" s="16">
        <f>IF($C770="","",IF(OR($C770="TUTAR_NEGATIF",$C770="TARIH_BOS"),"YUKSEK","ORTA"))</f>
        <v/>
      </c>
      <c r="F770" s="16">
        <f>IF($C770="","",IF(OR($C770="TARIH_BOS",$C770="VKN_UZUNLUK",$C770="TUTAR_NEGATIF",$C770="DONEM_EKSIK"),$C770,"TANIMSIZ"))</f>
        <v/>
      </c>
      <c r="G770" s="16">
        <f>IF($C770="","",1)</f>
        <v/>
      </c>
    </row>
    <row r="771">
      <c r="A771" s="16">
        <f>IF('VERI_A'!$A771="","",ROW()-ROW(tblVeriA[[#Headers]]))</f>
        <v/>
      </c>
      <c r="B771" s="23">
        <f>IF('VERI_A'!$A771="","",'VERI_A'!$A771)</f>
        <v/>
      </c>
      <c r="C771" s="16">
        <f>IF($B771="","",IF(OR('VERI_A'!$B771="",'VERI_A'!$B771=0),"TARIH_BOS",IF(LEN(TRIM('VERI_A'!$C771&amp;""))&lt;&gt;dbe_vknUzunluk,"VKN_UZUNLUK",IF('VERI_A'!$G771&lt;0,"TUTAR_NEGATIF",IF('VERI_A'!$I771="","DONEM_EKSIK",""))))</f>
        <v/>
      </c>
      <c r="D771" s="16">
        <f>IF($C771="","",IF($C771="TARIH_BOS","Belge tarihi zorunlu",IF($C771="VKN_UZUNLUK","VKN 10 hane olmalı",IF($C771="TUTAR_NEGATIF","Toplam negatif olamaz",IF($C771="DONEM_EKSIK","Dönem zorunlu","Elle incele"))))</f>
        <v/>
      </c>
      <c r="E771" s="16">
        <f>IF($C771="","",IF(OR($C771="TUTAR_NEGATIF",$C771="TARIH_BOS"),"YUKSEK","ORTA"))</f>
        <v/>
      </c>
      <c r="F771" s="16">
        <f>IF($C771="","",IF(OR($C771="TARIH_BOS",$C771="VKN_UZUNLUK",$C771="TUTAR_NEGATIF",$C771="DONEM_EKSIK"),$C771,"TANIMSIZ"))</f>
        <v/>
      </c>
      <c r="G771" s="16">
        <f>IF($C771="","",1)</f>
        <v/>
      </c>
    </row>
    <row r="772">
      <c r="A772" s="16">
        <f>IF('VERI_A'!$A772="","",ROW()-ROW(tblVeriA[[#Headers]]))</f>
        <v/>
      </c>
      <c r="B772" s="23">
        <f>IF('VERI_A'!$A772="","",'VERI_A'!$A772)</f>
        <v/>
      </c>
      <c r="C772" s="16">
        <f>IF($B772="","",IF(OR('VERI_A'!$B772="",'VERI_A'!$B772=0),"TARIH_BOS",IF(LEN(TRIM('VERI_A'!$C772&amp;""))&lt;&gt;dbe_vknUzunluk,"VKN_UZUNLUK",IF('VERI_A'!$G772&lt;0,"TUTAR_NEGATIF",IF('VERI_A'!$I772="","DONEM_EKSIK",""))))</f>
        <v/>
      </c>
      <c r="D772" s="16">
        <f>IF($C772="","",IF($C772="TARIH_BOS","Belge tarihi zorunlu",IF($C772="VKN_UZUNLUK","VKN 10 hane olmalı",IF($C772="TUTAR_NEGATIF","Toplam negatif olamaz",IF($C772="DONEM_EKSIK","Dönem zorunlu","Elle incele"))))</f>
        <v/>
      </c>
      <c r="E772" s="16">
        <f>IF($C772="","",IF(OR($C772="TUTAR_NEGATIF",$C772="TARIH_BOS"),"YUKSEK","ORTA"))</f>
        <v/>
      </c>
      <c r="F772" s="16">
        <f>IF($C772="","",IF(OR($C772="TARIH_BOS",$C772="VKN_UZUNLUK",$C772="TUTAR_NEGATIF",$C772="DONEM_EKSIK"),$C772,"TANIMSIZ"))</f>
        <v/>
      </c>
      <c r="G772" s="16">
        <f>IF($C772="","",1)</f>
        <v/>
      </c>
    </row>
    <row r="773">
      <c r="A773" s="16">
        <f>IF('VERI_A'!$A773="","",ROW()-ROW(tblVeriA[[#Headers]]))</f>
        <v/>
      </c>
      <c r="B773" s="23">
        <f>IF('VERI_A'!$A773="","",'VERI_A'!$A773)</f>
        <v/>
      </c>
      <c r="C773" s="16">
        <f>IF($B773="","",IF(OR('VERI_A'!$B773="",'VERI_A'!$B773=0),"TARIH_BOS",IF(LEN(TRIM('VERI_A'!$C773&amp;""))&lt;&gt;dbe_vknUzunluk,"VKN_UZUNLUK",IF('VERI_A'!$G773&lt;0,"TUTAR_NEGATIF",IF('VERI_A'!$I773="","DONEM_EKSIK",""))))</f>
        <v/>
      </c>
      <c r="D773" s="16">
        <f>IF($C773="","",IF($C773="TARIH_BOS","Belge tarihi zorunlu",IF($C773="VKN_UZUNLUK","VKN 10 hane olmalı",IF($C773="TUTAR_NEGATIF","Toplam negatif olamaz",IF($C773="DONEM_EKSIK","Dönem zorunlu","Elle incele"))))</f>
        <v/>
      </c>
      <c r="E773" s="16">
        <f>IF($C773="","",IF(OR($C773="TUTAR_NEGATIF",$C773="TARIH_BOS"),"YUKSEK","ORTA"))</f>
        <v/>
      </c>
      <c r="F773" s="16">
        <f>IF($C773="","",IF(OR($C773="TARIH_BOS",$C773="VKN_UZUNLUK",$C773="TUTAR_NEGATIF",$C773="DONEM_EKSIK"),$C773,"TANIMSIZ"))</f>
        <v/>
      </c>
      <c r="G773" s="16">
        <f>IF($C773="","",1)</f>
        <v/>
      </c>
    </row>
    <row r="774">
      <c r="A774" s="16">
        <f>IF('VERI_A'!$A774="","",ROW()-ROW(tblVeriA[[#Headers]]))</f>
        <v/>
      </c>
      <c r="B774" s="23">
        <f>IF('VERI_A'!$A774="","",'VERI_A'!$A774)</f>
        <v/>
      </c>
      <c r="C774" s="16">
        <f>IF($B774="","",IF(OR('VERI_A'!$B774="",'VERI_A'!$B774=0),"TARIH_BOS",IF(LEN(TRIM('VERI_A'!$C774&amp;""))&lt;&gt;dbe_vknUzunluk,"VKN_UZUNLUK",IF('VERI_A'!$G774&lt;0,"TUTAR_NEGATIF",IF('VERI_A'!$I774="","DONEM_EKSIK",""))))</f>
        <v/>
      </c>
      <c r="D774" s="16">
        <f>IF($C774="","",IF($C774="TARIH_BOS","Belge tarihi zorunlu",IF($C774="VKN_UZUNLUK","VKN 10 hane olmalı",IF($C774="TUTAR_NEGATIF","Toplam negatif olamaz",IF($C774="DONEM_EKSIK","Dönem zorunlu","Elle incele"))))</f>
        <v/>
      </c>
      <c r="E774" s="16">
        <f>IF($C774="","",IF(OR($C774="TUTAR_NEGATIF",$C774="TARIH_BOS"),"YUKSEK","ORTA"))</f>
        <v/>
      </c>
      <c r="F774" s="16">
        <f>IF($C774="","",IF(OR($C774="TARIH_BOS",$C774="VKN_UZUNLUK",$C774="TUTAR_NEGATIF",$C774="DONEM_EKSIK"),$C774,"TANIMSIZ"))</f>
        <v/>
      </c>
      <c r="G774" s="16">
        <f>IF($C774="","",1)</f>
        <v/>
      </c>
    </row>
    <row r="775">
      <c r="A775" s="16">
        <f>IF('VERI_A'!$A775="","",ROW()-ROW(tblVeriA[[#Headers]]))</f>
        <v/>
      </c>
      <c r="B775" s="23">
        <f>IF('VERI_A'!$A775="","",'VERI_A'!$A775)</f>
        <v/>
      </c>
      <c r="C775" s="16">
        <f>IF($B775="","",IF(OR('VERI_A'!$B775="",'VERI_A'!$B775=0),"TARIH_BOS",IF(LEN(TRIM('VERI_A'!$C775&amp;""))&lt;&gt;dbe_vknUzunluk,"VKN_UZUNLUK",IF('VERI_A'!$G775&lt;0,"TUTAR_NEGATIF",IF('VERI_A'!$I775="","DONEM_EKSIK",""))))</f>
        <v/>
      </c>
      <c r="D775" s="16">
        <f>IF($C775="","",IF($C775="TARIH_BOS","Belge tarihi zorunlu",IF($C775="VKN_UZUNLUK","VKN 10 hane olmalı",IF($C775="TUTAR_NEGATIF","Toplam negatif olamaz",IF($C775="DONEM_EKSIK","Dönem zorunlu","Elle incele"))))</f>
        <v/>
      </c>
      <c r="E775" s="16">
        <f>IF($C775="","",IF(OR($C775="TUTAR_NEGATIF",$C775="TARIH_BOS"),"YUKSEK","ORTA"))</f>
        <v/>
      </c>
      <c r="F775" s="16">
        <f>IF($C775="","",IF(OR($C775="TARIH_BOS",$C775="VKN_UZUNLUK",$C775="TUTAR_NEGATIF",$C775="DONEM_EKSIK"),$C775,"TANIMSIZ"))</f>
        <v/>
      </c>
      <c r="G775" s="16">
        <f>IF($C775="","",1)</f>
        <v/>
      </c>
    </row>
    <row r="776">
      <c r="A776" s="16">
        <f>IF('VERI_A'!$A776="","",ROW()-ROW(tblVeriA[[#Headers]]))</f>
        <v/>
      </c>
      <c r="B776" s="23">
        <f>IF('VERI_A'!$A776="","",'VERI_A'!$A776)</f>
        <v/>
      </c>
      <c r="C776" s="16">
        <f>IF($B776="","",IF(OR('VERI_A'!$B776="",'VERI_A'!$B776=0),"TARIH_BOS",IF(LEN(TRIM('VERI_A'!$C776&amp;""))&lt;&gt;dbe_vknUzunluk,"VKN_UZUNLUK",IF('VERI_A'!$G776&lt;0,"TUTAR_NEGATIF",IF('VERI_A'!$I776="","DONEM_EKSIK",""))))</f>
        <v/>
      </c>
      <c r="D776" s="16">
        <f>IF($C776="","",IF($C776="TARIH_BOS","Belge tarihi zorunlu",IF($C776="VKN_UZUNLUK","VKN 10 hane olmalı",IF($C776="TUTAR_NEGATIF","Toplam negatif olamaz",IF($C776="DONEM_EKSIK","Dönem zorunlu","Elle incele"))))</f>
        <v/>
      </c>
      <c r="E776" s="16">
        <f>IF($C776="","",IF(OR($C776="TUTAR_NEGATIF",$C776="TARIH_BOS"),"YUKSEK","ORTA"))</f>
        <v/>
      </c>
      <c r="F776" s="16">
        <f>IF($C776="","",IF(OR($C776="TARIH_BOS",$C776="VKN_UZUNLUK",$C776="TUTAR_NEGATIF",$C776="DONEM_EKSIK"),$C776,"TANIMSIZ"))</f>
        <v/>
      </c>
      <c r="G776" s="16">
        <f>IF($C776="","",1)</f>
        <v/>
      </c>
    </row>
    <row r="777">
      <c r="A777" s="16">
        <f>IF('VERI_A'!$A777="","",ROW()-ROW(tblVeriA[[#Headers]]))</f>
        <v/>
      </c>
      <c r="B777" s="23">
        <f>IF('VERI_A'!$A777="","",'VERI_A'!$A777)</f>
        <v/>
      </c>
      <c r="C777" s="16">
        <f>IF($B777="","",IF(OR('VERI_A'!$B777="",'VERI_A'!$B777=0),"TARIH_BOS",IF(LEN(TRIM('VERI_A'!$C777&amp;""))&lt;&gt;dbe_vknUzunluk,"VKN_UZUNLUK",IF('VERI_A'!$G777&lt;0,"TUTAR_NEGATIF",IF('VERI_A'!$I777="","DONEM_EKSIK",""))))</f>
        <v/>
      </c>
      <c r="D777" s="16">
        <f>IF($C777="","",IF($C777="TARIH_BOS","Belge tarihi zorunlu",IF($C777="VKN_UZUNLUK","VKN 10 hane olmalı",IF($C777="TUTAR_NEGATIF","Toplam negatif olamaz",IF($C777="DONEM_EKSIK","Dönem zorunlu","Elle incele"))))</f>
        <v/>
      </c>
      <c r="E777" s="16">
        <f>IF($C777="","",IF(OR($C777="TUTAR_NEGATIF",$C777="TARIH_BOS"),"YUKSEK","ORTA"))</f>
        <v/>
      </c>
      <c r="F777" s="16">
        <f>IF($C777="","",IF(OR($C777="TARIH_BOS",$C777="VKN_UZUNLUK",$C777="TUTAR_NEGATIF",$C777="DONEM_EKSIK"),$C777,"TANIMSIZ"))</f>
        <v/>
      </c>
      <c r="G777" s="16">
        <f>IF($C777="","",1)</f>
        <v/>
      </c>
    </row>
    <row r="778">
      <c r="A778" s="16">
        <f>IF('VERI_A'!$A778="","",ROW()-ROW(tblVeriA[[#Headers]]))</f>
        <v/>
      </c>
      <c r="B778" s="23">
        <f>IF('VERI_A'!$A778="","",'VERI_A'!$A778)</f>
        <v/>
      </c>
      <c r="C778" s="16">
        <f>IF($B778="","",IF(OR('VERI_A'!$B778="",'VERI_A'!$B778=0),"TARIH_BOS",IF(LEN(TRIM('VERI_A'!$C778&amp;""))&lt;&gt;dbe_vknUzunluk,"VKN_UZUNLUK",IF('VERI_A'!$G778&lt;0,"TUTAR_NEGATIF",IF('VERI_A'!$I778="","DONEM_EKSIK",""))))</f>
        <v/>
      </c>
      <c r="D778" s="16">
        <f>IF($C778="","",IF($C778="TARIH_BOS","Belge tarihi zorunlu",IF($C778="VKN_UZUNLUK","VKN 10 hane olmalı",IF($C778="TUTAR_NEGATIF","Toplam negatif olamaz",IF($C778="DONEM_EKSIK","Dönem zorunlu","Elle incele"))))</f>
        <v/>
      </c>
      <c r="E778" s="16">
        <f>IF($C778="","",IF(OR($C778="TUTAR_NEGATIF",$C778="TARIH_BOS"),"YUKSEK","ORTA"))</f>
        <v/>
      </c>
      <c r="F778" s="16">
        <f>IF($C778="","",IF(OR($C778="TARIH_BOS",$C778="VKN_UZUNLUK",$C778="TUTAR_NEGATIF",$C778="DONEM_EKSIK"),$C778,"TANIMSIZ"))</f>
        <v/>
      </c>
      <c r="G778" s="16">
        <f>IF($C778="","",1)</f>
        <v/>
      </c>
    </row>
    <row r="779">
      <c r="A779" s="16">
        <f>IF('VERI_A'!$A779="","",ROW()-ROW(tblVeriA[[#Headers]]))</f>
        <v/>
      </c>
      <c r="B779" s="23">
        <f>IF('VERI_A'!$A779="","",'VERI_A'!$A779)</f>
        <v/>
      </c>
      <c r="C779" s="16">
        <f>IF($B779="","",IF(OR('VERI_A'!$B779="",'VERI_A'!$B779=0),"TARIH_BOS",IF(LEN(TRIM('VERI_A'!$C779&amp;""))&lt;&gt;dbe_vknUzunluk,"VKN_UZUNLUK",IF('VERI_A'!$G779&lt;0,"TUTAR_NEGATIF",IF('VERI_A'!$I779="","DONEM_EKSIK",""))))</f>
        <v/>
      </c>
      <c r="D779" s="16">
        <f>IF($C779="","",IF($C779="TARIH_BOS","Belge tarihi zorunlu",IF($C779="VKN_UZUNLUK","VKN 10 hane olmalı",IF($C779="TUTAR_NEGATIF","Toplam negatif olamaz",IF($C779="DONEM_EKSIK","Dönem zorunlu","Elle incele"))))</f>
        <v/>
      </c>
      <c r="E779" s="16">
        <f>IF($C779="","",IF(OR($C779="TUTAR_NEGATIF",$C779="TARIH_BOS"),"YUKSEK","ORTA"))</f>
        <v/>
      </c>
      <c r="F779" s="16">
        <f>IF($C779="","",IF(OR($C779="TARIH_BOS",$C779="VKN_UZUNLUK",$C779="TUTAR_NEGATIF",$C779="DONEM_EKSIK"),$C779,"TANIMSIZ"))</f>
        <v/>
      </c>
      <c r="G779" s="16">
        <f>IF($C779="","",1)</f>
        <v/>
      </c>
    </row>
    <row r="780">
      <c r="A780" s="16">
        <f>IF('VERI_A'!$A780="","",ROW()-ROW(tblVeriA[[#Headers]]))</f>
        <v/>
      </c>
      <c r="B780" s="23">
        <f>IF('VERI_A'!$A780="","",'VERI_A'!$A780)</f>
        <v/>
      </c>
      <c r="C780" s="16">
        <f>IF($B780="","",IF(OR('VERI_A'!$B780="",'VERI_A'!$B780=0),"TARIH_BOS",IF(LEN(TRIM('VERI_A'!$C780&amp;""))&lt;&gt;dbe_vknUzunluk,"VKN_UZUNLUK",IF('VERI_A'!$G780&lt;0,"TUTAR_NEGATIF",IF('VERI_A'!$I780="","DONEM_EKSIK",""))))</f>
        <v/>
      </c>
      <c r="D780" s="16">
        <f>IF($C780="","",IF($C780="TARIH_BOS","Belge tarihi zorunlu",IF($C780="VKN_UZUNLUK","VKN 10 hane olmalı",IF($C780="TUTAR_NEGATIF","Toplam negatif olamaz",IF($C780="DONEM_EKSIK","Dönem zorunlu","Elle incele"))))</f>
        <v/>
      </c>
      <c r="E780" s="16">
        <f>IF($C780="","",IF(OR($C780="TUTAR_NEGATIF",$C780="TARIH_BOS"),"YUKSEK","ORTA"))</f>
        <v/>
      </c>
      <c r="F780" s="16">
        <f>IF($C780="","",IF(OR($C780="TARIH_BOS",$C780="VKN_UZUNLUK",$C780="TUTAR_NEGATIF",$C780="DONEM_EKSIK"),$C780,"TANIMSIZ"))</f>
        <v/>
      </c>
      <c r="G780" s="16">
        <f>IF($C780="","",1)</f>
        <v/>
      </c>
    </row>
    <row r="781">
      <c r="A781" s="16">
        <f>IF('VERI_A'!$A781="","",ROW()-ROW(tblVeriA[[#Headers]]))</f>
        <v/>
      </c>
      <c r="B781" s="23">
        <f>IF('VERI_A'!$A781="","",'VERI_A'!$A781)</f>
        <v/>
      </c>
      <c r="C781" s="16">
        <f>IF($B781="","",IF(OR('VERI_A'!$B781="",'VERI_A'!$B781=0),"TARIH_BOS",IF(LEN(TRIM('VERI_A'!$C781&amp;""))&lt;&gt;dbe_vknUzunluk,"VKN_UZUNLUK",IF('VERI_A'!$G781&lt;0,"TUTAR_NEGATIF",IF('VERI_A'!$I781="","DONEM_EKSIK",""))))</f>
        <v/>
      </c>
      <c r="D781" s="16">
        <f>IF($C781="","",IF($C781="TARIH_BOS","Belge tarihi zorunlu",IF($C781="VKN_UZUNLUK","VKN 10 hane olmalı",IF($C781="TUTAR_NEGATIF","Toplam negatif olamaz",IF($C781="DONEM_EKSIK","Dönem zorunlu","Elle incele"))))</f>
        <v/>
      </c>
      <c r="E781" s="16">
        <f>IF($C781="","",IF(OR($C781="TUTAR_NEGATIF",$C781="TARIH_BOS"),"YUKSEK","ORTA"))</f>
        <v/>
      </c>
      <c r="F781" s="16">
        <f>IF($C781="","",IF(OR($C781="TARIH_BOS",$C781="VKN_UZUNLUK",$C781="TUTAR_NEGATIF",$C781="DONEM_EKSIK"),$C781,"TANIMSIZ"))</f>
        <v/>
      </c>
      <c r="G781" s="16">
        <f>IF($C781="","",1)</f>
        <v/>
      </c>
    </row>
    <row r="782">
      <c r="A782" s="16">
        <f>IF('VERI_A'!$A782="","",ROW()-ROW(tblVeriA[[#Headers]]))</f>
        <v/>
      </c>
      <c r="B782" s="23">
        <f>IF('VERI_A'!$A782="","",'VERI_A'!$A782)</f>
        <v/>
      </c>
      <c r="C782" s="16">
        <f>IF($B782="","",IF(OR('VERI_A'!$B782="",'VERI_A'!$B782=0),"TARIH_BOS",IF(LEN(TRIM('VERI_A'!$C782&amp;""))&lt;&gt;dbe_vknUzunluk,"VKN_UZUNLUK",IF('VERI_A'!$G782&lt;0,"TUTAR_NEGATIF",IF('VERI_A'!$I782="","DONEM_EKSIK",""))))</f>
        <v/>
      </c>
      <c r="D782" s="16">
        <f>IF($C782="","",IF($C782="TARIH_BOS","Belge tarihi zorunlu",IF($C782="VKN_UZUNLUK","VKN 10 hane olmalı",IF($C782="TUTAR_NEGATIF","Toplam negatif olamaz",IF($C782="DONEM_EKSIK","Dönem zorunlu","Elle incele"))))</f>
        <v/>
      </c>
      <c r="E782" s="16">
        <f>IF($C782="","",IF(OR($C782="TUTAR_NEGATIF",$C782="TARIH_BOS"),"YUKSEK","ORTA"))</f>
        <v/>
      </c>
      <c r="F782" s="16">
        <f>IF($C782="","",IF(OR($C782="TARIH_BOS",$C782="VKN_UZUNLUK",$C782="TUTAR_NEGATIF",$C782="DONEM_EKSIK"),$C782,"TANIMSIZ"))</f>
        <v/>
      </c>
      <c r="G782" s="16">
        <f>IF($C782="","",1)</f>
        <v/>
      </c>
    </row>
    <row r="783">
      <c r="A783" s="16">
        <f>IF('VERI_A'!$A783="","",ROW()-ROW(tblVeriA[[#Headers]]))</f>
        <v/>
      </c>
      <c r="B783" s="23">
        <f>IF('VERI_A'!$A783="","",'VERI_A'!$A783)</f>
        <v/>
      </c>
      <c r="C783" s="16">
        <f>IF($B783="","",IF(OR('VERI_A'!$B783="",'VERI_A'!$B783=0),"TARIH_BOS",IF(LEN(TRIM('VERI_A'!$C783&amp;""))&lt;&gt;dbe_vknUzunluk,"VKN_UZUNLUK",IF('VERI_A'!$G783&lt;0,"TUTAR_NEGATIF",IF('VERI_A'!$I783="","DONEM_EKSIK",""))))</f>
        <v/>
      </c>
      <c r="D783" s="16">
        <f>IF($C783="","",IF($C783="TARIH_BOS","Belge tarihi zorunlu",IF($C783="VKN_UZUNLUK","VKN 10 hane olmalı",IF($C783="TUTAR_NEGATIF","Toplam negatif olamaz",IF($C783="DONEM_EKSIK","Dönem zorunlu","Elle incele"))))</f>
        <v/>
      </c>
      <c r="E783" s="16">
        <f>IF($C783="","",IF(OR($C783="TUTAR_NEGATIF",$C783="TARIH_BOS"),"YUKSEK","ORTA"))</f>
        <v/>
      </c>
      <c r="F783" s="16">
        <f>IF($C783="","",IF(OR($C783="TARIH_BOS",$C783="VKN_UZUNLUK",$C783="TUTAR_NEGATIF",$C783="DONEM_EKSIK"),$C783,"TANIMSIZ"))</f>
        <v/>
      </c>
      <c r="G783" s="16">
        <f>IF($C783="","",1)</f>
        <v/>
      </c>
    </row>
    <row r="784">
      <c r="A784" s="16">
        <f>IF('VERI_A'!$A784="","",ROW()-ROW(tblVeriA[[#Headers]]))</f>
        <v/>
      </c>
      <c r="B784" s="23">
        <f>IF('VERI_A'!$A784="","",'VERI_A'!$A784)</f>
        <v/>
      </c>
      <c r="C784" s="16">
        <f>IF($B784="","",IF(OR('VERI_A'!$B784="",'VERI_A'!$B784=0),"TARIH_BOS",IF(LEN(TRIM('VERI_A'!$C784&amp;""))&lt;&gt;dbe_vknUzunluk,"VKN_UZUNLUK",IF('VERI_A'!$G784&lt;0,"TUTAR_NEGATIF",IF('VERI_A'!$I784="","DONEM_EKSIK",""))))</f>
        <v/>
      </c>
      <c r="D784" s="16">
        <f>IF($C784="","",IF($C784="TARIH_BOS","Belge tarihi zorunlu",IF($C784="VKN_UZUNLUK","VKN 10 hane olmalı",IF($C784="TUTAR_NEGATIF","Toplam negatif olamaz",IF($C784="DONEM_EKSIK","Dönem zorunlu","Elle incele"))))</f>
        <v/>
      </c>
      <c r="E784" s="16">
        <f>IF($C784="","",IF(OR($C784="TUTAR_NEGATIF",$C784="TARIH_BOS"),"YUKSEK","ORTA"))</f>
        <v/>
      </c>
      <c r="F784" s="16">
        <f>IF($C784="","",IF(OR($C784="TARIH_BOS",$C784="VKN_UZUNLUK",$C784="TUTAR_NEGATIF",$C784="DONEM_EKSIK"),$C784,"TANIMSIZ"))</f>
        <v/>
      </c>
      <c r="G784" s="16">
        <f>IF($C784="","",1)</f>
        <v/>
      </c>
    </row>
    <row r="785">
      <c r="A785" s="16">
        <f>IF('VERI_A'!$A785="","",ROW()-ROW(tblVeriA[[#Headers]]))</f>
        <v/>
      </c>
      <c r="B785" s="23">
        <f>IF('VERI_A'!$A785="","",'VERI_A'!$A785)</f>
        <v/>
      </c>
      <c r="C785" s="16">
        <f>IF($B785="","",IF(OR('VERI_A'!$B785="",'VERI_A'!$B785=0),"TARIH_BOS",IF(LEN(TRIM('VERI_A'!$C785&amp;""))&lt;&gt;dbe_vknUzunluk,"VKN_UZUNLUK",IF('VERI_A'!$G785&lt;0,"TUTAR_NEGATIF",IF('VERI_A'!$I785="","DONEM_EKSIK",""))))</f>
        <v/>
      </c>
      <c r="D785" s="16">
        <f>IF($C785="","",IF($C785="TARIH_BOS","Belge tarihi zorunlu",IF($C785="VKN_UZUNLUK","VKN 10 hane olmalı",IF($C785="TUTAR_NEGATIF","Toplam negatif olamaz",IF($C785="DONEM_EKSIK","Dönem zorunlu","Elle incele"))))</f>
        <v/>
      </c>
      <c r="E785" s="16">
        <f>IF($C785="","",IF(OR($C785="TUTAR_NEGATIF",$C785="TARIH_BOS"),"YUKSEK","ORTA"))</f>
        <v/>
      </c>
      <c r="F785" s="16">
        <f>IF($C785="","",IF(OR($C785="TARIH_BOS",$C785="VKN_UZUNLUK",$C785="TUTAR_NEGATIF",$C785="DONEM_EKSIK"),$C785,"TANIMSIZ"))</f>
        <v/>
      </c>
      <c r="G785" s="16">
        <f>IF($C785="","",1)</f>
        <v/>
      </c>
    </row>
    <row r="786">
      <c r="A786" s="16">
        <f>IF('VERI_A'!$A786="","",ROW()-ROW(tblVeriA[[#Headers]]))</f>
        <v/>
      </c>
      <c r="B786" s="23">
        <f>IF('VERI_A'!$A786="","",'VERI_A'!$A786)</f>
        <v/>
      </c>
      <c r="C786" s="16">
        <f>IF($B786="","",IF(OR('VERI_A'!$B786="",'VERI_A'!$B786=0),"TARIH_BOS",IF(LEN(TRIM('VERI_A'!$C786&amp;""))&lt;&gt;dbe_vknUzunluk,"VKN_UZUNLUK",IF('VERI_A'!$G786&lt;0,"TUTAR_NEGATIF",IF('VERI_A'!$I786="","DONEM_EKSIK",""))))</f>
        <v/>
      </c>
      <c r="D786" s="16">
        <f>IF($C786="","",IF($C786="TARIH_BOS","Belge tarihi zorunlu",IF($C786="VKN_UZUNLUK","VKN 10 hane olmalı",IF($C786="TUTAR_NEGATIF","Toplam negatif olamaz",IF($C786="DONEM_EKSIK","Dönem zorunlu","Elle incele"))))</f>
        <v/>
      </c>
      <c r="E786" s="16">
        <f>IF($C786="","",IF(OR($C786="TUTAR_NEGATIF",$C786="TARIH_BOS"),"YUKSEK","ORTA"))</f>
        <v/>
      </c>
      <c r="F786" s="16">
        <f>IF($C786="","",IF(OR($C786="TARIH_BOS",$C786="VKN_UZUNLUK",$C786="TUTAR_NEGATIF",$C786="DONEM_EKSIK"),$C786,"TANIMSIZ"))</f>
        <v/>
      </c>
      <c r="G786" s="16">
        <f>IF($C786="","",1)</f>
        <v/>
      </c>
    </row>
    <row r="787">
      <c r="A787" s="16">
        <f>IF('VERI_A'!$A787="","",ROW()-ROW(tblVeriA[[#Headers]]))</f>
        <v/>
      </c>
      <c r="B787" s="23">
        <f>IF('VERI_A'!$A787="","",'VERI_A'!$A787)</f>
        <v/>
      </c>
      <c r="C787" s="16">
        <f>IF($B787="","",IF(OR('VERI_A'!$B787="",'VERI_A'!$B787=0),"TARIH_BOS",IF(LEN(TRIM('VERI_A'!$C787&amp;""))&lt;&gt;dbe_vknUzunluk,"VKN_UZUNLUK",IF('VERI_A'!$G787&lt;0,"TUTAR_NEGATIF",IF('VERI_A'!$I787="","DONEM_EKSIK",""))))</f>
        <v/>
      </c>
      <c r="D787" s="16">
        <f>IF($C787="","",IF($C787="TARIH_BOS","Belge tarihi zorunlu",IF($C787="VKN_UZUNLUK","VKN 10 hane olmalı",IF($C787="TUTAR_NEGATIF","Toplam negatif olamaz",IF($C787="DONEM_EKSIK","Dönem zorunlu","Elle incele"))))</f>
        <v/>
      </c>
      <c r="E787" s="16">
        <f>IF($C787="","",IF(OR($C787="TUTAR_NEGATIF",$C787="TARIH_BOS"),"YUKSEK","ORTA"))</f>
        <v/>
      </c>
      <c r="F787" s="16">
        <f>IF($C787="","",IF(OR($C787="TARIH_BOS",$C787="VKN_UZUNLUK",$C787="TUTAR_NEGATIF",$C787="DONEM_EKSIK"),$C787,"TANIMSIZ"))</f>
        <v/>
      </c>
      <c r="G787" s="16">
        <f>IF($C787="","",1)</f>
        <v/>
      </c>
    </row>
    <row r="788">
      <c r="A788" s="16">
        <f>IF('VERI_A'!$A788="","",ROW()-ROW(tblVeriA[[#Headers]]))</f>
        <v/>
      </c>
      <c r="B788" s="23">
        <f>IF('VERI_A'!$A788="","",'VERI_A'!$A788)</f>
        <v/>
      </c>
      <c r="C788" s="16">
        <f>IF($B788="","",IF(OR('VERI_A'!$B788="",'VERI_A'!$B788=0),"TARIH_BOS",IF(LEN(TRIM('VERI_A'!$C788&amp;""))&lt;&gt;dbe_vknUzunluk,"VKN_UZUNLUK",IF('VERI_A'!$G788&lt;0,"TUTAR_NEGATIF",IF('VERI_A'!$I788="","DONEM_EKSIK",""))))</f>
        <v/>
      </c>
      <c r="D788" s="16">
        <f>IF($C788="","",IF($C788="TARIH_BOS","Belge tarihi zorunlu",IF($C788="VKN_UZUNLUK","VKN 10 hane olmalı",IF($C788="TUTAR_NEGATIF","Toplam negatif olamaz",IF($C788="DONEM_EKSIK","Dönem zorunlu","Elle incele"))))</f>
        <v/>
      </c>
      <c r="E788" s="16">
        <f>IF($C788="","",IF(OR($C788="TUTAR_NEGATIF",$C788="TARIH_BOS"),"YUKSEK","ORTA"))</f>
        <v/>
      </c>
      <c r="F788" s="16">
        <f>IF($C788="","",IF(OR($C788="TARIH_BOS",$C788="VKN_UZUNLUK",$C788="TUTAR_NEGATIF",$C788="DONEM_EKSIK"),$C788,"TANIMSIZ"))</f>
        <v/>
      </c>
      <c r="G788" s="16">
        <f>IF($C788="","",1)</f>
        <v/>
      </c>
    </row>
    <row r="789">
      <c r="A789" s="16">
        <f>IF('VERI_A'!$A789="","",ROW()-ROW(tblVeriA[[#Headers]]))</f>
        <v/>
      </c>
      <c r="B789" s="23">
        <f>IF('VERI_A'!$A789="","",'VERI_A'!$A789)</f>
        <v/>
      </c>
      <c r="C789" s="16">
        <f>IF($B789="","",IF(OR('VERI_A'!$B789="",'VERI_A'!$B789=0),"TARIH_BOS",IF(LEN(TRIM('VERI_A'!$C789&amp;""))&lt;&gt;dbe_vknUzunluk,"VKN_UZUNLUK",IF('VERI_A'!$G789&lt;0,"TUTAR_NEGATIF",IF('VERI_A'!$I789="","DONEM_EKSIK",""))))</f>
        <v/>
      </c>
      <c r="D789" s="16">
        <f>IF($C789="","",IF($C789="TARIH_BOS","Belge tarihi zorunlu",IF($C789="VKN_UZUNLUK","VKN 10 hane olmalı",IF($C789="TUTAR_NEGATIF","Toplam negatif olamaz",IF($C789="DONEM_EKSIK","Dönem zorunlu","Elle incele"))))</f>
        <v/>
      </c>
      <c r="E789" s="16">
        <f>IF($C789="","",IF(OR($C789="TUTAR_NEGATIF",$C789="TARIH_BOS"),"YUKSEK","ORTA"))</f>
        <v/>
      </c>
      <c r="F789" s="16">
        <f>IF($C789="","",IF(OR($C789="TARIH_BOS",$C789="VKN_UZUNLUK",$C789="TUTAR_NEGATIF",$C789="DONEM_EKSIK"),$C789,"TANIMSIZ"))</f>
        <v/>
      </c>
      <c r="G789" s="16">
        <f>IF($C789="","",1)</f>
        <v/>
      </c>
    </row>
    <row r="790">
      <c r="A790" s="16">
        <f>IF('VERI_A'!$A790="","",ROW()-ROW(tblVeriA[[#Headers]]))</f>
        <v/>
      </c>
      <c r="B790" s="23">
        <f>IF('VERI_A'!$A790="","",'VERI_A'!$A790)</f>
        <v/>
      </c>
      <c r="C790" s="16">
        <f>IF($B790="","",IF(OR('VERI_A'!$B790="",'VERI_A'!$B790=0),"TARIH_BOS",IF(LEN(TRIM('VERI_A'!$C790&amp;""))&lt;&gt;dbe_vknUzunluk,"VKN_UZUNLUK",IF('VERI_A'!$G790&lt;0,"TUTAR_NEGATIF",IF('VERI_A'!$I790="","DONEM_EKSIK",""))))</f>
        <v/>
      </c>
      <c r="D790" s="16">
        <f>IF($C790="","",IF($C790="TARIH_BOS","Belge tarihi zorunlu",IF($C790="VKN_UZUNLUK","VKN 10 hane olmalı",IF($C790="TUTAR_NEGATIF","Toplam negatif olamaz",IF($C790="DONEM_EKSIK","Dönem zorunlu","Elle incele"))))</f>
        <v/>
      </c>
      <c r="E790" s="16">
        <f>IF($C790="","",IF(OR($C790="TUTAR_NEGATIF",$C790="TARIH_BOS"),"YUKSEK","ORTA"))</f>
        <v/>
      </c>
      <c r="F790" s="16">
        <f>IF($C790="","",IF(OR($C790="TARIH_BOS",$C790="VKN_UZUNLUK",$C790="TUTAR_NEGATIF",$C790="DONEM_EKSIK"),$C790,"TANIMSIZ"))</f>
        <v/>
      </c>
      <c r="G790" s="16">
        <f>IF($C790="","",1)</f>
        <v/>
      </c>
    </row>
    <row r="791">
      <c r="A791" s="16">
        <f>IF('VERI_A'!$A791="","",ROW()-ROW(tblVeriA[[#Headers]]))</f>
        <v/>
      </c>
      <c r="B791" s="23">
        <f>IF('VERI_A'!$A791="","",'VERI_A'!$A791)</f>
        <v/>
      </c>
      <c r="C791" s="16">
        <f>IF($B791="","",IF(OR('VERI_A'!$B791="",'VERI_A'!$B791=0),"TARIH_BOS",IF(LEN(TRIM('VERI_A'!$C791&amp;""))&lt;&gt;dbe_vknUzunluk,"VKN_UZUNLUK",IF('VERI_A'!$G791&lt;0,"TUTAR_NEGATIF",IF('VERI_A'!$I791="","DONEM_EKSIK",""))))</f>
        <v/>
      </c>
      <c r="D791" s="16">
        <f>IF($C791="","",IF($C791="TARIH_BOS","Belge tarihi zorunlu",IF($C791="VKN_UZUNLUK","VKN 10 hane olmalı",IF($C791="TUTAR_NEGATIF","Toplam negatif olamaz",IF($C791="DONEM_EKSIK","Dönem zorunlu","Elle incele"))))</f>
        <v/>
      </c>
      <c r="E791" s="16">
        <f>IF($C791="","",IF(OR($C791="TUTAR_NEGATIF",$C791="TARIH_BOS"),"YUKSEK","ORTA"))</f>
        <v/>
      </c>
      <c r="F791" s="16">
        <f>IF($C791="","",IF(OR($C791="TARIH_BOS",$C791="VKN_UZUNLUK",$C791="TUTAR_NEGATIF",$C791="DONEM_EKSIK"),$C791,"TANIMSIZ"))</f>
        <v/>
      </c>
      <c r="G791" s="16">
        <f>IF($C791="","",1)</f>
        <v/>
      </c>
    </row>
    <row r="792">
      <c r="A792" s="16">
        <f>IF('VERI_A'!$A792="","",ROW()-ROW(tblVeriA[[#Headers]]))</f>
        <v/>
      </c>
      <c r="B792" s="23">
        <f>IF('VERI_A'!$A792="","",'VERI_A'!$A792)</f>
        <v/>
      </c>
      <c r="C792" s="16">
        <f>IF($B792="","",IF(OR('VERI_A'!$B792="",'VERI_A'!$B792=0),"TARIH_BOS",IF(LEN(TRIM('VERI_A'!$C792&amp;""))&lt;&gt;dbe_vknUzunluk,"VKN_UZUNLUK",IF('VERI_A'!$G792&lt;0,"TUTAR_NEGATIF",IF('VERI_A'!$I792="","DONEM_EKSIK",""))))</f>
        <v/>
      </c>
      <c r="D792" s="16">
        <f>IF($C792="","",IF($C792="TARIH_BOS","Belge tarihi zorunlu",IF($C792="VKN_UZUNLUK","VKN 10 hane olmalı",IF($C792="TUTAR_NEGATIF","Toplam negatif olamaz",IF($C792="DONEM_EKSIK","Dönem zorunlu","Elle incele"))))</f>
        <v/>
      </c>
      <c r="E792" s="16">
        <f>IF($C792="","",IF(OR($C792="TUTAR_NEGATIF",$C792="TARIH_BOS"),"YUKSEK","ORTA"))</f>
        <v/>
      </c>
      <c r="F792" s="16">
        <f>IF($C792="","",IF(OR($C792="TARIH_BOS",$C792="VKN_UZUNLUK",$C792="TUTAR_NEGATIF",$C792="DONEM_EKSIK"),$C792,"TANIMSIZ"))</f>
        <v/>
      </c>
      <c r="G792" s="16">
        <f>IF($C792="","",1)</f>
        <v/>
      </c>
    </row>
    <row r="793">
      <c r="A793" s="16">
        <f>IF('VERI_A'!$A793="","",ROW()-ROW(tblVeriA[[#Headers]]))</f>
        <v/>
      </c>
      <c r="B793" s="23">
        <f>IF('VERI_A'!$A793="","",'VERI_A'!$A793)</f>
        <v/>
      </c>
      <c r="C793" s="16">
        <f>IF($B793="","",IF(OR('VERI_A'!$B793="",'VERI_A'!$B793=0),"TARIH_BOS",IF(LEN(TRIM('VERI_A'!$C793&amp;""))&lt;&gt;dbe_vknUzunluk,"VKN_UZUNLUK",IF('VERI_A'!$G793&lt;0,"TUTAR_NEGATIF",IF('VERI_A'!$I793="","DONEM_EKSIK",""))))</f>
        <v/>
      </c>
      <c r="D793" s="16">
        <f>IF($C793="","",IF($C793="TARIH_BOS","Belge tarihi zorunlu",IF($C793="VKN_UZUNLUK","VKN 10 hane olmalı",IF($C793="TUTAR_NEGATIF","Toplam negatif olamaz",IF($C793="DONEM_EKSIK","Dönem zorunlu","Elle incele"))))</f>
        <v/>
      </c>
      <c r="E793" s="16">
        <f>IF($C793="","",IF(OR($C793="TUTAR_NEGATIF",$C793="TARIH_BOS"),"YUKSEK","ORTA"))</f>
        <v/>
      </c>
      <c r="F793" s="16">
        <f>IF($C793="","",IF(OR($C793="TARIH_BOS",$C793="VKN_UZUNLUK",$C793="TUTAR_NEGATIF",$C793="DONEM_EKSIK"),$C793,"TANIMSIZ"))</f>
        <v/>
      </c>
      <c r="G793" s="16">
        <f>IF($C793="","",1)</f>
        <v/>
      </c>
    </row>
    <row r="794">
      <c r="A794" s="16">
        <f>IF('VERI_A'!$A794="","",ROW()-ROW(tblVeriA[[#Headers]]))</f>
        <v/>
      </c>
      <c r="B794" s="23">
        <f>IF('VERI_A'!$A794="","",'VERI_A'!$A794)</f>
        <v/>
      </c>
      <c r="C794" s="16">
        <f>IF($B794="","",IF(OR('VERI_A'!$B794="",'VERI_A'!$B794=0),"TARIH_BOS",IF(LEN(TRIM('VERI_A'!$C794&amp;""))&lt;&gt;dbe_vknUzunluk,"VKN_UZUNLUK",IF('VERI_A'!$G794&lt;0,"TUTAR_NEGATIF",IF('VERI_A'!$I794="","DONEM_EKSIK",""))))</f>
        <v/>
      </c>
      <c r="D794" s="16">
        <f>IF($C794="","",IF($C794="TARIH_BOS","Belge tarihi zorunlu",IF($C794="VKN_UZUNLUK","VKN 10 hane olmalı",IF($C794="TUTAR_NEGATIF","Toplam negatif olamaz",IF($C794="DONEM_EKSIK","Dönem zorunlu","Elle incele"))))</f>
        <v/>
      </c>
      <c r="E794" s="16">
        <f>IF($C794="","",IF(OR($C794="TUTAR_NEGATIF",$C794="TARIH_BOS"),"YUKSEK","ORTA"))</f>
        <v/>
      </c>
      <c r="F794" s="16">
        <f>IF($C794="","",IF(OR($C794="TARIH_BOS",$C794="VKN_UZUNLUK",$C794="TUTAR_NEGATIF",$C794="DONEM_EKSIK"),$C794,"TANIMSIZ"))</f>
        <v/>
      </c>
      <c r="G794" s="16">
        <f>IF($C794="","",1)</f>
        <v/>
      </c>
    </row>
    <row r="795">
      <c r="A795" s="16">
        <f>IF('VERI_A'!$A795="","",ROW()-ROW(tblVeriA[[#Headers]]))</f>
        <v/>
      </c>
      <c r="B795" s="23">
        <f>IF('VERI_A'!$A795="","",'VERI_A'!$A795)</f>
        <v/>
      </c>
      <c r="C795" s="16">
        <f>IF($B795="","",IF(OR('VERI_A'!$B795="",'VERI_A'!$B795=0),"TARIH_BOS",IF(LEN(TRIM('VERI_A'!$C795&amp;""))&lt;&gt;dbe_vknUzunluk,"VKN_UZUNLUK",IF('VERI_A'!$G795&lt;0,"TUTAR_NEGATIF",IF('VERI_A'!$I795="","DONEM_EKSIK",""))))</f>
        <v/>
      </c>
      <c r="D795" s="16">
        <f>IF($C795="","",IF($C795="TARIH_BOS","Belge tarihi zorunlu",IF($C795="VKN_UZUNLUK","VKN 10 hane olmalı",IF($C795="TUTAR_NEGATIF","Toplam negatif olamaz",IF($C795="DONEM_EKSIK","Dönem zorunlu","Elle incele"))))</f>
        <v/>
      </c>
      <c r="E795" s="16">
        <f>IF($C795="","",IF(OR($C795="TUTAR_NEGATIF",$C795="TARIH_BOS"),"YUKSEK","ORTA"))</f>
        <v/>
      </c>
      <c r="F795" s="16">
        <f>IF($C795="","",IF(OR($C795="TARIH_BOS",$C795="VKN_UZUNLUK",$C795="TUTAR_NEGATIF",$C795="DONEM_EKSIK"),$C795,"TANIMSIZ"))</f>
        <v/>
      </c>
      <c r="G795" s="16">
        <f>IF($C795="","",1)</f>
        <v/>
      </c>
    </row>
    <row r="796">
      <c r="A796" s="16">
        <f>IF('VERI_A'!$A796="","",ROW()-ROW(tblVeriA[[#Headers]]))</f>
        <v/>
      </c>
      <c r="B796" s="23">
        <f>IF('VERI_A'!$A796="","",'VERI_A'!$A796)</f>
        <v/>
      </c>
      <c r="C796" s="16">
        <f>IF($B796="","",IF(OR('VERI_A'!$B796="",'VERI_A'!$B796=0),"TARIH_BOS",IF(LEN(TRIM('VERI_A'!$C796&amp;""))&lt;&gt;dbe_vknUzunluk,"VKN_UZUNLUK",IF('VERI_A'!$G796&lt;0,"TUTAR_NEGATIF",IF('VERI_A'!$I796="","DONEM_EKSIK",""))))</f>
        <v/>
      </c>
      <c r="D796" s="16">
        <f>IF($C796="","",IF($C796="TARIH_BOS","Belge tarihi zorunlu",IF($C796="VKN_UZUNLUK","VKN 10 hane olmalı",IF($C796="TUTAR_NEGATIF","Toplam negatif olamaz",IF($C796="DONEM_EKSIK","Dönem zorunlu","Elle incele"))))</f>
        <v/>
      </c>
      <c r="E796" s="16">
        <f>IF($C796="","",IF(OR($C796="TUTAR_NEGATIF",$C796="TARIH_BOS"),"YUKSEK","ORTA"))</f>
        <v/>
      </c>
      <c r="F796" s="16">
        <f>IF($C796="","",IF(OR($C796="TARIH_BOS",$C796="VKN_UZUNLUK",$C796="TUTAR_NEGATIF",$C796="DONEM_EKSIK"),$C796,"TANIMSIZ"))</f>
        <v/>
      </c>
      <c r="G796" s="16">
        <f>IF($C796="","",1)</f>
        <v/>
      </c>
    </row>
    <row r="797">
      <c r="A797" s="16">
        <f>IF('VERI_A'!$A797="","",ROW()-ROW(tblVeriA[[#Headers]]))</f>
        <v/>
      </c>
      <c r="B797" s="23">
        <f>IF('VERI_A'!$A797="","",'VERI_A'!$A797)</f>
        <v/>
      </c>
      <c r="C797" s="16">
        <f>IF($B797="","",IF(OR('VERI_A'!$B797="",'VERI_A'!$B797=0),"TARIH_BOS",IF(LEN(TRIM('VERI_A'!$C797&amp;""))&lt;&gt;dbe_vknUzunluk,"VKN_UZUNLUK",IF('VERI_A'!$G797&lt;0,"TUTAR_NEGATIF",IF('VERI_A'!$I797="","DONEM_EKSIK",""))))</f>
        <v/>
      </c>
      <c r="D797" s="16">
        <f>IF($C797="","",IF($C797="TARIH_BOS","Belge tarihi zorunlu",IF($C797="VKN_UZUNLUK","VKN 10 hane olmalı",IF($C797="TUTAR_NEGATIF","Toplam negatif olamaz",IF($C797="DONEM_EKSIK","Dönem zorunlu","Elle incele"))))</f>
        <v/>
      </c>
      <c r="E797" s="16">
        <f>IF($C797="","",IF(OR($C797="TUTAR_NEGATIF",$C797="TARIH_BOS"),"YUKSEK","ORTA"))</f>
        <v/>
      </c>
      <c r="F797" s="16">
        <f>IF($C797="","",IF(OR($C797="TARIH_BOS",$C797="VKN_UZUNLUK",$C797="TUTAR_NEGATIF",$C797="DONEM_EKSIK"),$C797,"TANIMSIZ"))</f>
        <v/>
      </c>
      <c r="G797" s="16">
        <f>IF($C797="","",1)</f>
        <v/>
      </c>
    </row>
    <row r="798">
      <c r="A798" s="16">
        <f>IF('VERI_A'!$A798="","",ROW()-ROW(tblVeriA[[#Headers]]))</f>
        <v/>
      </c>
      <c r="B798" s="23">
        <f>IF('VERI_A'!$A798="","",'VERI_A'!$A798)</f>
        <v/>
      </c>
      <c r="C798" s="16">
        <f>IF($B798="","",IF(OR('VERI_A'!$B798="",'VERI_A'!$B798=0),"TARIH_BOS",IF(LEN(TRIM('VERI_A'!$C798&amp;""))&lt;&gt;dbe_vknUzunluk,"VKN_UZUNLUK",IF('VERI_A'!$G798&lt;0,"TUTAR_NEGATIF",IF('VERI_A'!$I798="","DONEM_EKSIK",""))))</f>
        <v/>
      </c>
      <c r="D798" s="16">
        <f>IF($C798="","",IF($C798="TARIH_BOS","Belge tarihi zorunlu",IF($C798="VKN_UZUNLUK","VKN 10 hane olmalı",IF($C798="TUTAR_NEGATIF","Toplam negatif olamaz",IF($C798="DONEM_EKSIK","Dönem zorunlu","Elle incele"))))</f>
        <v/>
      </c>
      <c r="E798" s="16">
        <f>IF($C798="","",IF(OR($C798="TUTAR_NEGATIF",$C798="TARIH_BOS"),"YUKSEK","ORTA"))</f>
        <v/>
      </c>
      <c r="F798" s="16">
        <f>IF($C798="","",IF(OR($C798="TARIH_BOS",$C798="VKN_UZUNLUK",$C798="TUTAR_NEGATIF",$C798="DONEM_EKSIK"),$C798,"TANIMSIZ"))</f>
        <v/>
      </c>
      <c r="G798" s="16">
        <f>IF($C798="","",1)</f>
        <v/>
      </c>
    </row>
    <row r="799">
      <c r="A799" s="16">
        <f>IF('VERI_A'!$A799="","",ROW()-ROW(tblVeriA[[#Headers]]))</f>
        <v/>
      </c>
      <c r="B799" s="23">
        <f>IF('VERI_A'!$A799="","",'VERI_A'!$A799)</f>
        <v/>
      </c>
      <c r="C799" s="16">
        <f>IF($B799="","",IF(OR('VERI_A'!$B799="",'VERI_A'!$B799=0),"TARIH_BOS",IF(LEN(TRIM('VERI_A'!$C799&amp;""))&lt;&gt;dbe_vknUzunluk,"VKN_UZUNLUK",IF('VERI_A'!$G799&lt;0,"TUTAR_NEGATIF",IF('VERI_A'!$I799="","DONEM_EKSIK",""))))</f>
        <v/>
      </c>
      <c r="D799" s="16">
        <f>IF($C799="","",IF($C799="TARIH_BOS","Belge tarihi zorunlu",IF($C799="VKN_UZUNLUK","VKN 10 hane olmalı",IF($C799="TUTAR_NEGATIF","Toplam negatif olamaz",IF($C799="DONEM_EKSIK","Dönem zorunlu","Elle incele"))))</f>
        <v/>
      </c>
      <c r="E799" s="16">
        <f>IF($C799="","",IF(OR($C799="TUTAR_NEGATIF",$C799="TARIH_BOS"),"YUKSEK","ORTA"))</f>
        <v/>
      </c>
      <c r="F799" s="16">
        <f>IF($C799="","",IF(OR($C799="TARIH_BOS",$C799="VKN_UZUNLUK",$C799="TUTAR_NEGATIF",$C799="DONEM_EKSIK"),$C799,"TANIMSIZ"))</f>
        <v/>
      </c>
      <c r="G799" s="16">
        <f>IF($C799="","",1)</f>
        <v/>
      </c>
    </row>
    <row r="800">
      <c r="A800" s="16">
        <f>IF('VERI_A'!$A800="","",ROW()-ROW(tblVeriA[[#Headers]]))</f>
        <v/>
      </c>
      <c r="B800" s="23">
        <f>IF('VERI_A'!$A800="","",'VERI_A'!$A800)</f>
        <v/>
      </c>
      <c r="C800" s="16">
        <f>IF($B800="","",IF(OR('VERI_A'!$B800="",'VERI_A'!$B800=0),"TARIH_BOS",IF(LEN(TRIM('VERI_A'!$C800&amp;""))&lt;&gt;dbe_vknUzunluk,"VKN_UZUNLUK",IF('VERI_A'!$G800&lt;0,"TUTAR_NEGATIF",IF('VERI_A'!$I800="","DONEM_EKSIK",""))))</f>
        <v/>
      </c>
      <c r="D800" s="16">
        <f>IF($C800="","",IF($C800="TARIH_BOS","Belge tarihi zorunlu",IF($C800="VKN_UZUNLUK","VKN 10 hane olmalı",IF($C800="TUTAR_NEGATIF","Toplam negatif olamaz",IF($C800="DONEM_EKSIK","Dönem zorunlu","Elle incele"))))</f>
        <v/>
      </c>
      <c r="E800" s="16">
        <f>IF($C800="","",IF(OR($C800="TUTAR_NEGATIF",$C800="TARIH_BOS"),"YUKSEK","ORTA"))</f>
        <v/>
      </c>
      <c r="F800" s="16">
        <f>IF($C800="","",IF(OR($C800="TARIH_BOS",$C800="VKN_UZUNLUK",$C800="TUTAR_NEGATIF",$C800="DONEM_EKSIK"),$C800,"TANIMSIZ"))</f>
        <v/>
      </c>
      <c r="G800" s="16">
        <f>IF($C800="","",1)</f>
        <v/>
      </c>
    </row>
    <row r="801">
      <c r="A801" s="16">
        <f>IF('VERI_A'!$A801="","",ROW()-ROW(tblVeriA[[#Headers]]))</f>
        <v/>
      </c>
      <c r="B801" s="23">
        <f>IF('VERI_A'!$A801="","",'VERI_A'!$A801)</f>
        <v/>
      </c>
      <c r="C801" s="16">
        <f>IF($B801="","",IF(OR('VERI_A'!$B801="",'VERI_A'!$B801=0),"TARIH_BOS",IF(LEN(TRIM('VERI_A'!$C801&amp;""))&lt;&gt;dbe_vknUzunluk,"VKN_UZUNLUK",IF('VERI_A'!$G801&lt;0,"TUTAR_NEGATIF",IF('VERI_A'!$I801="","DONEM_EKSIK",""))))</f>
        <v/>
      </c>
      <c r="D801" s="16">
        <f>IF($C801="","",IF($C801="TARIH_BOS","Belge tarihi zorunlu",IF($C801="VKN_UZUNLUK","VKN 10 hane olmalı",IF($C801="TUTAR_NEGATIF","Toplam negatif olamaz",IF($C801="DONEM_EKSIK","Dönem zorunlu","Elle incele"))))</f>
        <v/>
      </c>
      <c r="E801" s="16">
        <f>IF($C801="","",IF(OR($C801="TUTAR_NEGATIF",$C801="TARIH_BOS"),"YUKSEK","ORTA"))</f>
        <v/>
      </c>
      <c r="F801" s="16">
        <f>IF($C801="","",IF(OR($C801="TARIH_BOS",$C801="VKN_UZUNLUK",$C801="TUTAR_NEGATIF",$C801="DONEM_EKSIK"),$C801,"TANIMSIZ"))</f>
        <v/>
      </c>
      <c r="G801" s="16">
        <f>IF($C801="","",1)</f>
        <v/>
      </c>
    </row>
    <row r="802">
      <c r="A802" s="16">
        <f>IF('VERI_A'!$A802="","",ROW()-ROW(tblVeriA[[#Headers]]))</f>
        <v/>
      </c>
      <c r="B802" s="23">
        <f>IF('VERI_A'!$A802="","",'VERI_A'!$A802)</f>
        <v/>
      </c>
      <c r="C802" s="16">
        <f>IF($B802="","",IF(OR('VERI_A'!$B802="",'VERI_A'!$B802=0),"TARIH_BOS",IF(LEN(TRIM('VERI_A'!$C802&amp;""))&lt;&gt;dbe_vknUzunluk,"VKN_UZUNLUK",IF('VERI_A'!$G802&lt;0,"TUTAR_NEGATIF",IF('VERI_A'!$I802="","DONEM_EKSIK",""))))</f>
        <v/>
      </c>
      <c r="D802" s="16">
        <f>IF($C802="","",IF($C802="TARIH_BOS","Belge tarihi zorunlu",IF($C802="VKN_UZUNLUK","VKN 10 hane olmalı",IF($C802="TUTAR_NEGATIF","Toplam negatif olamaz",IF($C802="DONEM_EKSIK","Dönem zorunlu","Elle incele"))))</f>
        <v/>
      </c>
      <c r="E802" s="16">
        <f>IF($C802="","",IF(OR($C802="TUTAR_NEGATIF",$C802="TARIH_BOS"),"YUKSEK","ORTA"))</f>
        <v/>
      </c>
      <c r="F802" s="16">
        <f>IF($C802="","",IF(OR($C802="TARIH_BOS",$C802="VKN_UZUNLUK",$C802="TUTAR_NEGATIF",$C802="DONEM_EKSIK"),$C802,"TANIMSIZ"))</f>
        <v/>
      </c>
      <c r="G802" s="16">
        <f>IF($C802="","",1)</f>
        <v/>
      </c>
    </row>
    <row r="803">
      <c r="A803" s="16">
        <f>IF('VERI_A'!$A803="","",ROW()-ROW(tblVeriA[[#Headers]]))</f>
        <v/>
      </c>
      <c r="B803" s="23">
        <f>IF('VERI_A'!$A803="","",'VERI_A'!$A803)</f>
        <v/>
      </c>
      <c r="C803" s="16">
        <f>IF($B803="","",IF(OR('VERI_A'!$B803="",'VERI_A'!$B803=0),"TARIH_BOS",IF(LEN(TRIM('VERI_A'!$C803&amp;""))&lt;&gt;dbe_vknUzunluk,"VKN_UZUNLUK",IF('VERI_A'!$G803&lt;0,"TUTAR_NEGATIF",IF('VERI_A'!$I803="","DONEM_EKSIK",""))))</f>
        <v/>
      </c>
      <c r="D803" s="16">
        <f>IF($C803="","",IF($C803="TARIH_BOS","Belge tarihi zorunlu",IF($C803="VKN_UZUNLUK","VKN 10 hane olmalı",IF($C803="TUTAR_NEGATIF","Toplam negatif olamaz",IF($C803="DONEM_EKSIK","Dönem zorunlu","Elle incele"))))</f>
        <v/>
      </c>
      <c r="E803" s="16">
        <f>IF($C803="","",IF(OR($C803="TUTAR_NEGATIF",$C803="TARIH_BOS"),"YUKSEK","ORTA"))</f>
        <v/>
      </c>
      <c r="F803" s="16">
        <f>IF($C803="","",IF(OR($C803="TARIH_BOS",$C803="VKN_UZUNLUK",$C803="TUTAR_NEGATIF",$C803="DONEM_EKSIK"),$C803,"TANIMSIZ"))</f>
        <v/>
      </c>
      <c r="G803" s="16">
        <f>IF($C803="","",1)</f>
        <v/>
      </c>
    </row>
    <row r="804">
      <c r="A804" s="16">
        <f>IF('VERI_A'!$A804="","",ROW()-ROW(tblVeriA[[#Headers]]))</f>
        <v/>
      </c>
      <c r="B804" s="23">
        <f>IF('VERI_A'!$A804="","",'VERI_A'!$A804)</f>
        <v/>
      </c>
      <c r="C804" s="16">
        <f>IF($B804="","",IF(OR('VERI_A'!$B804="",'VERI_A'!$B804=0),"TARIH_BOS",IF(LEN(TRIM('VERI_A'!$C804&amp;""))&lt;&gt;dbe_vknUzunluk,"VKN_UZUNLUK",IF('VERI_A'!$G804&lt;0,"TUTAR_NEGATIF",IF('VERI_A'!$I804="","DONEM_EKSIK",""))))</f>
        <v/>
      </c>
      <c r="D804" s="16">
        <f>IF($C804="","",IF($C804="TARIH_BOS","Belge tarihi zorunlu",IF($C804="VKN_UZUNLUK","VKN 10 hane olmalı",IF($C804="TUTAR_NEGATIF","Toplam negatif olamaz",IF($C804="DONEM_EKSIK","Dönem zorunlu","Elle incele"))))</f>
        <v/>
      </c>
      <c r="E804" s="16">
        <f>IF($C804="","",IF(OR($C804="TUTAR_NEGATIF",$C804="TARIH_BOS"),"YUKSEK","ORTA"))</f>
        <v/>
      </c>
      <c r="F804" s="16">
        <f>IF($C804="","",IF(OR($C804="TARIH_BOS",$C804="VKN_UZUNLUK",$C804="TUTAR_NEGATIF",$C804="DONEM_EKSIK"),$C804,"TANIMSIZ"))</f>
        <v/>
      </c>
      <c r="G804" s="16">
        <f>IF($C804="","",1)</f>
        <v/>
      </c>
    </row>
    <row r="805">
      <c r="A805" s="16">
        <f>IF('VERI_A'!$A805="","",ROW()-ROW(tblVeriA[[#Headers]]))</f>
        <v/>
      </c>
      <c r="B805" s="23">
        <f>IF('VERI_A'!$A805="","",'VERI_A'!$A805)</f>
        <v/>
      </c>
      <c r="C805" s="16">
        <f>IF($B805="","",IF(OR('VERI_A'!$B805="",'VERI_A'!$B805=0),"TARIH_BOS",IF(LEN(TRIM('VERI_A'!$C805&amp;""))&lt;&gt;dbe_vknUzunluk,"VKN_UZUNLUK",IF('VERI_A'!$G805&lt;0,"TUTAR_NEGATIF",IF('VERI_A'!$I805="","DONEM_EKSIK",""))))</f>
        <v/>
      </c>
      <c r="D805" s="16">
        <f>IF($C805="","",IF($C805="TARIH_BOS","Belge tarihi zorunlu",IF($C805="VKN_UZUNLUK","VKN 10 hane olmalı",IF($C805="TUTAR_NEGATIF","Toplam negatif olamaz",IF($C805="DONEM_EKSIK","Dönem zorunlu","Elle incele"))))</f>
        <v/>
      </c>
      <c r="E805" s="16">
        <f>IF($C805="","",IF(OR($C805="TUTAR_NEGATIF",$C805="TARIH_BOS"),"YUKSEK","ORTA"))</f>
        <v/>
      </c>
      <c r="F805" s="16">
        <f>IF($C805="","",IF(OR($C805="TARIH_BOS",$C805="VKN_UZUNLUK",$C805="TUTAR_NEGATIF",$C805="DONEM_EKSIK"),$C805,"TANIMSIZ"))</f>
        <v/>
      </c>
      <c r="G805" s="16">
        <f>IF($C805="","",1)</f>
        <v/>
      </c>
    </row>
    <row r="806">
      <c r="A806" s="16">
        <f>IF('VERI_A'!$A806="","",ROW()-ROW(tblVeriA[[#Headers]]))</f>
        <v/>
      </c>
      <c r="B806" s="23">
        <f>IF('VERI_A'!$A806="","",'VERI_A'!$A806)</f>
        <v/>
      </c>
      <c r="C806" s="16">
        <f>IF($B806="","",IF(OR('VERI_A'!$B806="",'VERI_A'!$B806=0),"TARIH_BOS",IF(LEN(TRIM('VERI_A'!$C806&amp;""))&lt;&gt;dbe_vknUzunluk,"VKN_UZUNLUK",IF('VERI_A'!$G806&lt;0,"TUTAR_NEGATIF",IF('VERI_A'!$I806="","DONEM_EKSIK",""))))</f>
        <v/>
      </c>
      <c r="D806" s="16">
        <f>IF($C806="","",IF($C806="TARIH_BOS","Belge tarihi zorunlu",IF($C806="VKN_UZUNLUK","VKN 10 hane olmalı",IF($C806="TUTAR_NEGATIF","Toplam negatif olamaz",IF($C806="DONEM_EKSIK","Dönem zorunlu","Elle incele"))))</f>
        <v/>
      </c>
      <c r="E806" s="16">
        <f>IF($C806="","",IF(OR($C806="TUTAR_NEGATIF",$C806="TARIH_BOS"),"YUKSEK","ORTA"))</f>
        <v/>
      </c>
      <c r="F806" s="16">
        <f>IF($C806="","",IF(OR($C806="TARIH_BOS",$C806="VKN_UZUNLUK",$C806="TUTAR_NEGATIF",$C806="DONEM_EKSIK"),$C806,"TANIMSIZ"))</f>
        <v/>
      </c>
      <c r="G806" s="16">
        <f>IF($C806="","",1)</f>
        <v/>
      </c>
    </row>
    <row r="807">
      <c r="A807" s="16">
        <f>IF('VERI_A'!$A807="","",ROW()-ROW(tblVeriA[[#Headers]]))</f>
        <v/>
      </c>
      <c r="B807" s="23">
        <f>IF('VERI_A'!$A807="","",'VERI_A'!$A807)</f>
        <v/>
      </c>
      <c r="C807" s="16">
        <f>IF($B807="","",IF(OR('VERI_A'!$B807="",'VERI_A'!$B807=0),"TARIH_BOS",IF(LEN(TRIM('VERI_A'!$C807&amp;""))&lt;&gt;dbe_vknUzunluk,"VKN_UZUNLUK",IF('VERI_A'!$G807&lt;0,"TUTAR_NEGATIF",IF('VERI_A'!$I807="","DONEM_EKSIK",""))))</f>
        <v/>
      </c>
      <c r="D807" s="16">
        <f>IF($C807="","",IF($C807="TARIH_BOS","Belge tarihi zorunlu",IF($C807="VKN_UZUNLUK","VKN 10 hane olmalı",IF($C807="TUTAR_NEGATIF","Toplam negatif olamaz",IF($C807="DONEM_EKSIK","Dönem zorunlu","Elle incele"))))</f>
        <v/>
      </c>
      <c r="E807" s="16">
        <f>IF($C807="","",IF(OR($C807="TUTAR_NEGATIF",$C807="TARIH_BOS"),"YUKSEK","ORTA"))</f>
        <v/>
      </c>
      <c r="F807" s="16">
        <f>IF($C807="","",IF(OR($C807="TARIH_BOS",$C807="VKN_UZUNLUK",$C807="TUTAR_NEGATIF",$C807="DONEM_EKSIK"),$C807,"TANIMSIZ"))</f>
        <v/>
      </c>
      <c r="G807" s="16">
        <f>IF($C807="","",1)</f>
        <v/>
      </c>
    </row>
    <row r="808">
      <c r="A808" s="16">
        <f>IF('VERI_A'!$A808="","",ROW()-ROW(tblVeriA[[#Headers]]))</f>
        <v/>
      </c>
      <c r="B808" s="23">
        <f>IF('VERI_A'!$A808="","",'VERI_A'!$A808)</f>
        <v/>
      </c>
      <c r="C808" s="16">
        <f>IF($B808="","",IF(OR('VERI_A'!$B808="",'VERI_A'!$B808=0),"TARIH_BOS",IF(LEN(TRIM('VERI_A'!$C808&amp;""))&lt;&gt;dbe_vknUzunluk,"VKN_UZUNLUK",IF('VERI_A'!$G808&lt;0,"TUTAR_NEGATIF",IF('VERI_A'!$I808="","DONEM_EKSIK",""))))</f>
        <v/>
      </c>
      <c r="D808" s="16">
        <f>IF($C808="","",IF($C808="TARIH_BOS","Belge tarihi zorunlu",IF($C808="VKN_UZUNLUK","VKN 10 hane olmalı",IF($C808="TUTAR_NEGATIF","Toplam negatif olamaz",IF($C808="DONEM_EKSIK","Dönem zorunlu","Elle incele"))))</f>
        <v/>
      </c>
      <c r="E808" s="16">
        <f>IF($C808="","",IF(OR($C808="TUTAR_NEGATIF",$C808="TARIH_BOS"),"YUKSEK","ORTA"))</f>
        <v/>
      </c>
      <c r="F808" s="16">
        <f>IF($C808="","",IF(OR($C808="TARIH_BOS",$C808="VKN_UZUNLUK",$C808="TUTAR_NEGATIF",$C808="DONEM_EKSIK"),$C808,"TANIMSIZ"))</f>
        <v/>
      </c>
      <c r="G808" s="16">
        <f>IF($C808="","",1)</f>
        <v/>
      </c>
    </row>
    <row r="809">
      <c r="A809" s="16">
        <f>IF('VERI_A'!$A809="","",ROW()-ROW(tblVeriA[[#Headers]]))</f>
        <v/>
      </c>
      <c r="B809" s="23">
        <f>IF('VERI_A'!$A809="","",'VERI_A'!$A809)</f>
        <v/>
      </c>
      <c r="C809" s="16">
        <f>IF($B809="","",IF(OR('VERI_A'!$B809="",'VERI_A'!$B809=0),"TARIH_BOS",IF(LEN(TRIM('VERI_A'!$C809&amp;""))&lt;&gt;dbe_vknUzunluk,"VKN_UZUNLUK",IF('VERI_A'!$G809&lt;0,"TUTAR_NEGATIF",IF('VERI_A'!$I809="","DONEM_EKSIK",""))))</f>
        <v/>
      </c>
      <c r="D809" s="16">
        <f>IF($C809="","",IF($C809="TARIH_BOS","Belge tarihi zorunlu",IF($C809="VKN_UZUNLUK","VKN 10 hane olmalı",IF($C809="TUTAR_NEGATIF","Toplam negatif olamaz",IF($C809="DONEM_EKSIK","Dönem zorunlu","Elle incele"))))</f>
        <v/>
      </c>
      <c r="E809" s="16">
        <f>IF($C809="","",IF(OR($C809="TUTAR_NEGATIF",$C809="TARIH_BOS"),"YUKSEK","ORTA"))</f>
        <v/>
      </c>
      <c r="F809" s="16">
        <f>IF($C809="","",IF(OR($C809="TARIH_BOS",$C809="VKN_UZUNLUK",$C809="TUTAR_NEGATIF",$C809="DONEM_EKSIK"),$C809,"TANIMSIZ"))</f>
        <v/>
      </c>
      <c r="G809" s="16">
        <f>IF($C809="","",1)</f>
        <v/>
      </c>
    </row>
    <row r="810">
      <c r="A810" s="16">
        <f>IF('VERI_A'!$A810="","",ROW()-ROW(tblVeriA[[#Headers]]))</f>
        <v/>
      </c>
      <c r="B810" s="23">
        <f>IF('VERI_A'!$A810="","",'VERI_A'!$A810)</f>
        <v/>
      </c>
      <c r="C810" s="16">
        <f>IF($B810="","",IF(OR('VERI_A'!$B810="",'VERI_A'!$B810=0),"TARIH_BOS",IF(LEN(TRIM('VERI_A'!$C810&amp;""))&lt;&gt;dbe_vknUzunluk,"VKN_UZUNLUK",IF('VERI_A'!$G810&lt;0,"TUTAR_NEGATIF",IF('VERI_A'!$I810="","DONEM_EKSIK",""))))</f>
        <v/>
      </c>
      <c r="D810" s="16">
        <f>IF($C810="","",IF($C810="TARIH_BOS","Belge tarihi zorunlu",IF($C810="VKN_UZUNLUK","VKN 10 hane olmalı",IF($C810="TUTAR_NEGATIF","Toplam negatif olamaz",IF($C810="DONEM_EKSIK","Dönem zorunlu","Elle incele"))))</f>
        <v/>
      </c>
      <c r="E810" s="16">
        <f>IF($C810="","",IF(OR($C810="TUTAR_NEGATIF",$C810="TARIH_BOS"),"YUKSEK","ORTA"))</f>
        <v/>
      </c>
      <c r="F810" s="16">
        <f>IF($C810="","",IF(OR($C810="TARIH_BOS",$C810="VKN_UZUNLUK",$C810="TUTAR_NEGATIF",$C810="DONEM_EKSIK"),$C810,"TANIMSIZ"))</f>
        <v/>
      </c>
      <c r="G810" s="16">
        <f>IF($C810="","",1)</f>
        <v/>
      </c>
    </row>
    <row r="811">
      <c r="A811" s="16">
        <f>IF('VERI_A'!$A811="","",ROW()-ROW(tblVeriA[[#Headers]]))</f>
        <v/>
      </c>
      <c r="B811" s="23">
        <f>IF('VERI_A'!$A811="","",'VERI_A'!$A811)</f>
        <v/>
      </c>
      <c r="C811" s="16">
        <f>IF($B811="","",IF(OR('VERI_A'!$B811="",'VERI_A'!$B811=0),"TARIH_BOS",IF(LEN(TRIM('VERI_A'!$C811&amp;""))&lt;&gt;dbe_vknUzunluk,"VKN_UZUNLUK",IF('VERI_A'!$G811&lt;0,"TUTAR_NEGATIF",IF('VERI_A'!$I811="","DONEM_EKSIK",""))))</f>
        <v/>
      </c>
      <c r="D811" s="16">
        <f>IF($C811="","",IF($C811="TARIH_BOS","Belge tarihi zorunlu",IF($C811="VKN_UZUNLUK","VKN 10 hane olmalı",IF($C811="TUTAR_NEGATIF","Toplam negatif olamaz",IF($C811="DONEM_EKSIK","Dönem zorunlu","Elle incele"))))</f>
        <v/>
      </c>
      <c r="E811" s="16">
        <f>IF($C811="","",IF(OR($C811="TUTAR_NEGATIF",$C811="TARIH_BOS"),"YUKSEK","ORTA"))</f>
        <v/>
      </c>
      <c r="F811" s="16">
        <f>IF($C811="","",IF(OR($C811="TARIH_BOS",$C811="VKN_UZUNLUK",$C811="TUTAR_NEGATIF",$C811="DONEM_EKSIK"),$C811,"TANIMSIZ"))</f>
        <v/>
      </c>
      <c r="G811" s="16">
        <f>IF($C811="","",1)</f>
        <v/>
      </c>
    </row>
    <row r="812">
      <c r="A812" s="16">
        <f>IF('VERI_A'!$A812="","",ROW()-ROW(tblVeriA[[#Headers]]))</f>
        <v/>
      </c>
      <c r="B812" s="23">
        <f>IF('VERI_A'!$A812="","",'VERI_A'!$A812)</f>
        <v/>
      </c>
      <c r="C812" s="16">
        <f>IF($B812="","",IF(OR('VERI_A'!$B812="",'VERI_A'!$B812=0),"TARIH_BOS",IF(LEN(TRIM('VERI_A'!$C812&amp;""))&lt;&gt;dbe_vknUzunluk,"VKN_UZUNLUK",IF('VERI_A'!$G812&lt;0,"TUTAR_NEGATIF",IF('VERI_A'!$I812="","DONEM_EKSIK",""))))</f>
        <v/>
      </c>
      <c r="D812" s="16">
        <f>IF($C812="","",IF($C812="TARIH_BOS","Belge tarihi zorunlu",IF($C812="VKN_UZUNLUK","VKN 10 hane olmalı",IF($C812="TUTAR_NEGATIF","Toplam negatif olamaz",IF($C812="DONEM_EKSIK","Dönem zorunlu","Elle incele"))))</f>
        <v/>
      </c>
      <c r="E812" s="16">
        <f>IF($C812="","",IF(OR($C812="TUTAR_NEGATIF",$C812="TARIH_BOS"),"YUKSEK","ORTA"))</f>
        <v/>
      </c>
      <c r="F812" s="16">
        <f>IF($C812="","",IF(OR($C812="TARIH_BOS",$C812="VKN_UZUNLUK",$C812="TUTAR_NEGATIF",$C812="DONEM_EKSIK"),$C812,"TANIMSIZ"))</f>
        <v/>
      </c>
      <c r="G812" s="16">
        <f>IF($C812="","",1)</f>
        <v/>
      </c>
    </row>
    <row r="813">
      <c r="A813" s="16">
        <f>IF('VERI_A'!$A813="","",ROW()-ROW(tblVeriA[[#Headers]]))</f>
        <v/>
      </c>
      <c r="B813" s="23">
        <f>IF('VERI_A'!$A813="","",'VERI_A'!$A813)</f>
        <v/>
      </c>
      <c r="C813" s="16">
        <f>IF($B813="","",IF(OR('VERI_A'!$B813="",'VERI_A'!$B813=0),"TARIH_BOS",IF(LEN(TRIM('VERI_A'!$C813&amp;""))&lt;&gt;dbe_vknUzunluk,"VKN_UZUNLUK",IF('VERI_A'!$G813&lt;0,"TUTAR_NEGATIF",IF('VERI_A'!$I813="","DONEM_EKSIK",""))))</f>
        <v/>
      </c>
      <c r="D813" s="16">
        <f>IF($C813="","",IF($C813="TARIH_BOS","Belge tarihi zorunlu",IF($C813="VKN_UZUNLUK","VKN 10 hane olmalı",IF($C813="TUTAR_NEGATIF","Toplam negatif olamaz",IF($C813="DONEM_EKSIK","Dönem zorunlu","Elle incele"))))</f>
        <v/>
      </c>
      <c r="E813" s="16">
        <f>IF($C813="","",IF(OR($C813="TUTAR_NEGATIF",$C813="TARIH_BOS"),"YUKSEK","ORTA"))</f>
        <v/>
      </c>
      <c r="F813" s="16">
        <f>IF($C813="","",IF(OR($C813="TARIH_BOS",$C813="VKN_UZUNLUK",$C813="TUTAR_NEGATIF",$C813="DONEM_EKSIK"),$C813,"TANIMSIZ"))</f>
        <v/>
      </c>
      <c r="G813" s="16">
        <f>IF($C813="","",1)</f>
        <v/>
      </c>
    </row>
    <row r="814">
      <c r="A814" s="16">
        <f>IF('VERI_A'!$A814="","",ROW()-ROW(tblVeriA[[#Headers]]))</f>
        <v/>
      </c>
      <c r="B814" s="23">
        <f>IF('VERI_A'!$A814="","",'VERI_A'!$A814)</f>
        <v/>
      </c>
      <c r="C814" s="16">
        <f>IF($B814="","",IF(OR('VERI_A'!$B814="",'VERI_A'!$B814=0),"TARIH_BOS",IF(LEN(TRIM('VERI_A'!$C814&amp;""))&lt;&gt;dbe_vknUzunluk,"VKN_UZUNLUK",IF('VERI_A'!$G814&lt;0,"TUTAR_NEGATIF",IF('VERI_A'!$I814="","DONEM_EKSIK",""))))</f>
        <v/>
      </c>
      <c r="D814" s="16">
        <f>IF($C814="","",IF($C814="TARIH_BOS","Belge tarihi zorunlu",IF($C814="VKN_UZUNLUK","VKN 10 hane olmalı",IF($C814="TUTAR_NEGATIF","Toplam negatif olamaz",IF($C814="DONEM_EKSIK","Dönem zorunlu","Elle incele"))))</f>
        <v/>
      </c>
      <c r="E814" s="16">
        <f>IF($C814="","",IF(OR($C814="TUTAR_NEGATIF",$C814="TARIH_BOS"),"YUKSEK","ORTA"))</f>
        <v/>
      </c>
      <c r="F814" s="16">
        <f>IF($C814="","",IF(OR($C814="TARIH_BOS",$C814="VKN_UZUNLUK",$C814="TUTAR_NEGATIF",$C814="DONEM_EKSIK"),$C814,"TANIMSIZ"))</f>
        <v/>
      </c>
      <c r="G814" s="16">
        <f>IF($C814="","",1)</f>
        <v/>
      </c>
    </row>
    <row r="815">
      <c r="A815" s="16">
        <f>IF('VERI_A'!$A815="","",ROW()-ROW(tblVeriA[[#Headers]]))</f>
        <v/>
      </c>
      <c r="B815" s="23">
        <f>IF('VERI_A'!$A815="","",'VERI_A'!$A815)</f>
        <v/>
      </c>
      <c r="C815" s="16">
        <f>IF($B815="","",IF(OR('VERI_A'!$B815="",'VERI_A'!$B815=0),"TARIH_BOS",IF(LEN(TRIM('VERI_A'!$C815&amp;""))&lt;&gt;dbe_vknUzunluk,"VKN_UZUNLUK",IF('VERI_A'!$G815&lt;0,"TUTAR_NEGATIF",IF('VERI_A'!$I815="","DONEM_EKSIK",""))))</f>
        <v/>
      </c>
      <c r="D815" s="16">
        <f>IF($C815="","",IF($C815="TARIH_BOS","Belge tarihi zorunlu",IF($C815="VKN_UZUNLUK","VKN 10 hane olmalı",IF($C815="TUTAR_NEGATIF","Toplam negatif olamaz",IF($C815="DONEM_EKSIK","Dönem zorunlu","Elle incele"))))</f>
        <v/>
      </c>
      <c r="E815" s="16">
        <f>IF($C815="","",IF(OR($C815="TUTAR_NEGATIF",$C815="TARIH_BOS"),"YUKSEK","ORTA"))</f>
        <v/>
      </c>
      <c r="F815" s="16">
        <f>IF($C815="","",IF(OR($C815="TARIH_BOS",$C815="VKN_UZUNLUK",$C815="TUTAR_NEGATIF",$C815="DONEM_EKSIK"),$C815,"TANIMSIZ"))</f>
        <v/>
      </c>
      <c r="G815" s="16">
        <f>IF($C815="","",1)</f>
        <v/>
      </c>
    </row>
    <row r="816">
      <c r="A816" s="16">
        <f>IF('VERI_A'!$A816="","",ROW()-ROW(tblVeriA[[#Headers]]))</f>
        <v/>
      </c>
      <c r="B816" s="23">
        <f>IF('VERI_A'!$A816="","",'VERI_A'!$A816)</f>
        <v/>
      </c>
      <c r="C816" s="16">
        <f>IF($B816="","",IF(OR('VERI_A'!$B816="",'VERI_A'!$B816=0),"TARIH_BOS",IF(LEN(TRIM('VERI_A'!$C816&amp;""))&lt;&gt;dbe_vknUzunluk,"VKN_UZUNLUK",IF('VERI_A'!$G816&lt;0,"TUTAR_NEGATIF",IF('VERI_A'!$I816="","DONEM_EKSIK",""))))</f>
        <v/>
      </c>
      <c r="D816" s="16">
        <f>IF($C816="","",IF($C816="TARIH_BOS","Belge tarihi zorunlu",IF($C816="VKN_UZUNLUK","VKN 10 hane olmalı",IF($C816="TUTAR_NEGATIF","Toplam negatif olamaz",IF($C816="DONEM_EKSIK","Dönem zorunlu","Elle incele"))))</f>
        <v/>
      </c>
      <c r="E816" s="16">
        <f>IF($C816="","",IF(OR($C816="TUTAR_NEGATIF",$C816="TARIH_BOS"),"YUKSEK","ORTA"))</f>
        <v/>
      </c>
      <c r="F816" s="16">
        <f>IF($C816="","",IF(OR($C816="TARIH_BOS",$C816="VKN_UZUNLUK",$C816="TUTAR_NEGATIF",$C816="DONEM_EKSIK"),$C816,"TANIMSIZ"))</f>
        <v/>
      </c>
      <c r="G816" s="16">
        <f>IF($C816="","",1)</f>
        <v/>
      </c>
    </row>
    <row r="817">
      <c r="A817" s="16">
        <f>IF('VERI_A'!$A817="","",ROW()-ROW(tblVeriA[[#Headers]]))</f>
        <v/>
      </c>
      <c r="B817" s="23">
        <f>IF('VERI_A'!$A817="","",'VERI_A'!$A817)</f>
        <v/>
      </c>
      <c r="C817" s="16">
        <f>IF($B817="","",IF(OR('VERI_A'!$B817="",'VERI_A'!$B817=0),"TARIH_BOS",IF(LEN(TRIM('VERI_A'!$C817&amp;""))&lt;&gt;dbe_vknUzunluk,"VKN_UZUNLUK",IF('VERI_A'!$G817&lt;0,"TUTAR_NEGATIF",IF('VERI_A'!$I817="","DONEM_EKSIK",""))))</f>
        <v/>
      </c>
      <c r="D817" s="16">
        <f>IF($C817="","",IF($C817="TARIH_BOS","Belge tarihi zorunlu",IF($C817="VKN_UZUNLUK","VKN 10 hane olmalı",IF($C817="TUTAR_NEGATIF","Toplam negatif olamaz",IF($C817="DONEM_EKSIK","Dönem zorunlu","Elle incele"))))</f>
        <v/>
      </c>
      <c r="E817" s="16">
        <f>IF($C817="","",IF(OR($C817="TUTAR_NEGATIF",$C817="TARIH_BOS"),"YUKSEK","ORTA"))</f>
        <v/>
      </c>
      <c r="F817" s="16">
        <f>IF($C817="","",IF(OR($C817="TARIH_BOS",$C817="VKN_UZUNLUK",$C817="TUTAR_NEGATIF",$C817="DONEM_EKSIK"),$C817,"TANIMSIZ"))</f>
        <v/>
      </c>
      <c r="G817" s="16">
        <f>IF($C817="","",1)</f>
        <v/>
      </c>
    </row>
    <row r="818">
      <c r="A818" s="16">
        <f>IF('VERI_A'!$A818="","",ROW()-ROW(tblVeriA[[#Headers]]))</f>
        <v/>
      </c>
      <c r="B818" s="23">
        <f>IF('VERI_A'!$A818="","",'VERI_A'!$A818)</f>
        <v/>
      </c>
      <c r="C818" s="16">
        <f>IF($B818="","",IF(OR('VERI_A'!$B818="",'VERI_A'!$B818=0),"TARIH_BOS",IF(LEN(TRIM('VERI_A'!$C818&amp;""))&lt;&gt;dbe_vknUzunluk,"VKN_UZUNLUK",IF('VERI_A'!$G818&lt;0,"TUTAR_NEGATIF",IF('VERI_A'!$I818="","DONEM_EKSIK",""))))</f>
        <v/>
      </c>
      <c r="D818" s="16">
        <f>IF($C818="","",IF($C818="TARIH_BOS","Belge tarihi zorunlu",IF($C818="VKN_UZUNLUK","VKN 10 hane olmalı",IF($C818="TUTAR_NEGATIF","Toplam negatif olamaz",IF($C818="DONEM_EKSIK","Dönem zorunlu","Elle incele"))))</f>
        <v/>
      </c>
      <c r="E818" s="16">
        <f>IF($C818="","",IF(OR($C818="TUTAR_NEGATIF",$C818="TARIH_BOS"),"YUKSEK","ORTA"))</f>
        <v/>
      </c>
      <c r="F818" s="16">
        <f>IF($C818="","",IF(OR($C818="TARIH_BOS",$C818="VKN_UZUNLUK",$C818="TUTAR_NEGATIF",$C818="DONEM_EKSIK"),$C818,"TANIMSIZ"))</f>
        <v/>
      </c>
      <c r="G818" s="16">
        <f>IF($C818="","",1)</f>
        <v/>
      </c>
    </row>
    <row r="819">
      <c r="A819" s="16">
        <f>IF('VERI_A'!$A819="","",ROW()-ROW(tblVeriA[[#Headers]]))</f>
        <v/>
      </c>
      <c r="B819" s="23">
        <f>IF('VERI_A'!$A819="","",'VERI_A'!$A819)</f>
        <v/>
      </c>
      <c r="C819" s="16">
        <f>IF($B819="","",IF(OR('VERI_A'!$B819="",'VERI_A'!$B819=0),"TARIH_BOS",IF(LEN(TRIM('VERI_A'!$C819&amp;""))&lt;&gt;dbe_vknUzunluk,"VKN_UZUNLUK",IF('VERI_A'!$G819&lt;0,"TUTAR_NEGATIF",IF('VERI_A'!$I819="","DONEM_EKSIK",""))))</f>
        <v/>
      </c>
      <c r="D819" s="16">
        <f>IF($C819="","",IF($C819="TARIH_BOS","Belge tarihi zorunlu",IF($C819="VKN_UZUNLUK","VKN 10 hane olmalı",IF($C819="TUTAR_NEGATIF","Toplam negatif olamaz",IF($C819="DONEM_EKSIK","Dönem zorunlu","Elle incele"))))</f>
        <v/>
      </c>
      <c r="E819" s="16">
        <f>IF($C819="","",IF(OR($C819="TUTAR_NEGATIF",$C819="TARIH_BOS"),"YUKSEK","ORTA"))</f>
        <v/>
      </c>
      <c r="F819" s="16">
        <f>IF($C819="","",IF(OR($C819="TARIH_BOS",$C819="VKN_UZUNLUK",$C819="TUTAR_NEGATIF",$C819="DONEM_EKSIK"),$C819,"TANIMSIZ"))</f>
        <v/>
      </c>
      <c r="G819" s="16">
        <f>IF($C819="","",1)</f>
        <v/>
      </c>
    </row>
    <row r="820">
      <c r="A820" s="16">
        <f>IF('VERI_A'!$A820="","",ROW()-ROW(tblVeriA[[#Headers]]))</f>
        <v/>
      </c>
      <c r="B820" s="23">
        <f>IF('VERI_A'!$A820="","",'VERI_A'!$A820)</f>
        <v/>
      </c>
      <c r="C820" s="16">
        <f>IF($B820="","",IF(OR('VERI_A'!$B820="",'VERI_A'!$B820=0),"TARIH_BOS",IF(LEN(TRIM('VERI_A'!$C820&amp;""))&lt;&gt;dbe_vknUzunluk,"VKN_UZUNLUK",IF('VERI_A'!$G820&lt;0,"TUTAR_NEGATIF",IF('VERI_A'!$I820="","DONEM_EKSIK",""))))</f>
        <v/>
      </c>
      <c r="D820" s="16">
        <f>IF($C820="","",IF($C820="TARIH_BOS","Belge tarihi zorunlu",IF($C820="VKN_UZUNLUK","VKN 10 hane olmalı",IF($C820="TUTAR_NEGATIF","Toplam negatif olamaz",IF($C820="DONEM_EKSIK","Dönem zorunlu","Elle incele"))))</f>
        <v/>
      </c>
      <c r="E820" s="16">
        <f>IF($C820="","",IF(OR($C820="TUTAR_NEGATIF",$C820="TARIH_BOS"),"YUKSEK","ORTA"))</f>
        <v/>
      </c>
      <c r="F820" s="16">
        <f>IF($C820="","",IF(OR($C820="TARIH_BOS",$C820="VKN_UZUNLUK",$C820="TUTAR_NEGATIF",$C820="DONEM_EKSIK"),$C820,"TANIMSIZ"))</f>
        <v/>
      </c>
      <c r="G820" s="16">
        <f>IF($C820="","",1)</f>
        <v/>
      </c>
    </row>
    <row r="821">
      <c r="A821" s="16">
        <f>IF('VERI_A'!$A821="","",ROW()-ROW(tblVeriA[[#Headers]]))</f>
        <v/>
      </c>
      <c r="B821" s="23">
        <f>IF('VERI_A'!$A821="","",'VERI_A'!$A821)</f>
        <v/>
      </c>
      <c r="C821" s="16">
        <f>IF($B821="","",IF(OR('VERI_A'!$B821="",'VERI_A'!$B821=0),"TARIH_BOS",IF(LEN(TRIM('VERI_A'!$C821&amp;""))&lt;&gt;dbe_vknUzunluk,"VKN_UZUNLUK",IF('VERI_A'!$G821&lt;0,"TUTAR_NEGATIF",IF('VERI_A'!$I821="","DONEM_EKSIK",""))))</f>
        <v/>
      </c>
      <c r="D821" s="16">
        <f>IF($C821="","",IF($C821="TARIH_BOS","Belge tarihi zorunlu",IF($C821="VKN_UZUNLUK","VKN 10 hane olmalı",IF($C821="TUTAR_NEGATIF","Toplam negatif olamaz",IF($C821="DONEM_EKSIK","Dönem zorunlu","Elle incele"))))</f>
        <v/>
      </c>
      <c r="E821" s="16">
        <f>IF($C821="","",IF(OR($C821="TUTAR_NEGATIF",$C821="TARIH_BOS"),"YUKSEK","ORTA"))</f>
        <v/>
      </c>
      <c r="F821" s="16">
        <f>IF($C821="","",IF(OR($C821="TARIH_BOS",$C821="VKN_UZUNLUK",$C821="TUTAR_NEGATIF",$C821="DONEM_EKSIK"),$C821,"TANIMSIZ"))</f>
        <v/>
      </c>
      <c r="G821" s="16">
        <f>IF($C821="","",1)</f>
        <v/>
      </c>
    </row>
    <row r="822">
      <c r="A822" s="16">
        <f>IF('VERI_A'!$A822="","",ROW()-ROW(tblVeriA[[#Headers]]))</f>
        <v/>
      </c>
      <c r="B822" s="23">
        <f>IF('VERI_A'!$A822="","",'VERI_A'!$A822)</f>
        <v/>
      </c>
      <c r="C822" s="16">
        <f>IF($B822="","",IF(OR('VERI_A'!$B822="",'VERI_A'!$B822=0),"TARIH_BOS",IF(LEN(TRIM('VERI_A'!$C822&amp;""))&lt;&gt;dbe_vknUzunluk,"VKN_UZUNLUK",IF('VERI_A'!$G822&lt;0,"TUTAR_NEGATIF",IF('VERI_A'!$I822="","DONEM_EKSIK",""))))</f>
        <v/>
      </c>
      <c r="D822" s="16">
        <f>IF($C822="","",IF($C822="TARIH_BOS","Belge tarihi zorunlu",IF($C822="VKN_UZUNLUK","VKN 10 hane olmalı",IF($C822="TUTAR_NEGATIF","Toplam negatif olamaz",IF($C822="DONEM_EKSIK","Dönem zorunlu","Elle incele"))))</f>
        <v/>
      </c>
      <c r="E822" s="16">
        <f>IF($C822="","",IF(OR($C822="TUTAR_NEGATIF",$C822="TARIH_BOS"),"YUKSEK","ORTA"))</f>
        <v/>
      </c>
      <c r="F822" s="16">
        <f>IF($C822="","",IF(OR($C822="TARIH_BOS",$C822="VKN_UZUNLUK",$C822="TUTAR_NEGATIF",$C822="DONEM_EKSIK"),$C822,"TANIMSIZ"))</f>
        <v/>
      </c>
      <c r="G822" s="16">
        <f>IF($C822="","",1)</f>
        <v/>
      </c>
    </row>
    <row r="823">
      <c r="A823" s="16">
        <f>IF('VERI_A'!$A823="","",ROW()-ROW(tblVeriA[[#Headers]]))</f>
        <v/>
      </c>
      <c r="B823" s="23">
        <f>IF('VERI_A'!$A823="","",'VERI_A'!$A823)</f>
        <v/>
      </c>
      <c r="C823" s="16">
        <f>IF($B823="","",IF(OR('VERI_A'!$B823="",'VERI_A'!$B823=0),"TARIH_BOS",IF(LEN(TRIM('VERI_A'!$C823&amp;""))&lt;&gt;dbe_vknUzunluk,"VKN_UZUNLUK",IF('VERI_A'!$G823&lt;0,"TUTAR_NEGATIF",IF('VERI_A'!$I823="","DONEM_EKSIK",""))))</f>
        <v/>
      </c>
      <c r="D823" s="16">
        <f>IF($C823="","",IF($C823="TARIH_BOS","Belge tarihi zorunlu",IF($C823="VKN_UZUNLUK","VKN 10 hane olmalı",IF($C823="TUTAR_NEGATIF","Toplam negatif olamaz",IF($C823="DONEM_EKSIK","Dönem zorunlu","Elle incele"))))</f>
        <v/>
      </c>
      <c r="E823" s="16">
        <f>IF($C823="","",IF(OR($C823="TUTAR_NEGATIF",$C823="TARIH_BOS"),"YUKSEK","ORTA"))</f>
        <v/>
      </c>
      <c r="F823" s="16">
        <f>IF($C823="","",IF(OR($C823="TARIH_BOS",$C823="VKN_UZUNLUK",$C823="TUTAR_NEGATIF",$C823="DONEM_EKSIK"),$C823,"TANIMSIZ"))</f>
        <v/>
      </c>
      <c r="G823" s="16">
        <f>IF($C823="","",1)</f>
        <v/>
      </c>
    </row>
    <row r="824">
      <c r="A824" s="16">
        <f>IF('VERI_A'!$A824="","",ROW()-ROW(tblVeriA[[#Headers]]))</f>
        <v/>
      </c>
      <c r="B824" s="23">
        <f>IF('VERI_A'!$A824="","",'VERI_A'!$A824)</f>
        <v/>
      </c>
      <c r="C824" s="16">
        <f>IF($B824="","",IF(OR('VERI_A'!$B824="",'VERI_A'!$B824=0),"TARIH_BOS",IF(LEN(TRIM('VERI_A'!$C824&amp;""))&lt;&gt;dbe_vknUzunluk,"VKN_UZUNLUK",IF('VERI_A'!$G824&lt;0,"TUTAR_NEGATIF",IF('VERI_A'!$I824="","DONEM_EKSIK",""))))</f>
        <v/>
      </c>
      <c r="D824" s="16">
        <f>IF($C824="","",IF($C824="TARIH_BOS","Belge tarihi zorunlu",IF($C824="VKN_UZUNLUK","VKN 10 hane olmalı",IF($C824="TUTAR_NEGATIF","Toplam negatif olamaz",IF($C824="DONEM_EKSIK","Dönem zorunlu","Elle incele"))))</f>
        <v/>
      </c>
      <c r="E824" s="16">
        <f>IF($C824="","",IF(OR($C824="TUTAR_NEGATIF",$C824="TARIH_BOS"),"YUKSEK","ORTA"))</f>
        <v/>
      </c>
      <c r="F824" s="16">
        <f>IF($C824="","",IF(OR($C824="TARIH_BOS",$C824="VKN_UZUNLUK",$C824="TUTAR_NEGATIF",$C824="DONEM_EKSIK"),$C824,"TANIMSIZ"))</f>
        <v/>
      </c>
      <c r="G824" s="16">
        <f>IF($C824="","",1)</f>
        <v/>
      </c>
    </row>
    <row r="825">
      <c r="A825" s="16">
        <f>IF('VERI_A'!$A825="","",ROW()-ROW(tblVeriA[[#Headers]]))</f>
        <v/>
      </c>
      <c r="B825" s="23">
        <f>IF('VERI_A'!$A825="","",'VERI_A'!$A825)</f>
        <v/>
      </c>
      <c r="C825" s="16">
        <f>IF($B825="","",IF(OR('VERI_A'!$B825="",'VERI_A'!$B825=0),"TARIH_BOS",IF(LEN(TRIM('VERI_A'!$C825&amp;""))&lt;&gt;dbe_vknUzunluk,"VKN_UZUNLUK",IF('VERI_A'!$G825&lt;0,"TUTAR_NEGATIF",IF('VERI_A'!$I825="","DONEM_EKSIK",""))))</f>
        <v/>
      </c>
      <c r="D825" s="16">
        <f>IF($C825="","",IF($C825="TARIH_BOS","Belge tarihi zorunlu",IF($C825="VKN_UZUNLUK","VKN 10 hane olmalı",IF($C825="TUTAR_NEGATIF","Toplam negatif olamaz",IF($C825="DONEM_EKSIK","Dönem zorunlu","Elle incele"))))</f>
        <v/>
      </c>
      <c r="E825" s="16">
        <f>IF($C825="","",IF(OR($C825="TUTAR_NEGATIF",$C825="TARIH_BOS"),"YUKSEK","ORTA"))</f>
        <v/>
      </c>
      <c r="F825" s="16">
        <f>IF($C825="","",IF(OR($C825="TARIH_BOS",$C825="VKN_UZUNLUK",$C825="TUTAR_NEGATIF",$C825="DONEM_EKSIK"),$C825,"TANIMSIZ"))</f>
        <v/>
      </c>
      <c r="G825" s="16">
        <f>IF($C825="","",1)</f>
        <v/>
      </c>
    </row>
    <row r="826">
      <c r="A826" s="16">
        <f>IF('VERI_A'!$A826="","",ROW()-ROW(tblVeriA[[#Headers]]))</f>
        <v/>
      </c>
      <c r="B826" s="23">
        <f>IF('VERI_A'!$A826="","",'VERI_A'!$A826)</f>
        <v/>
      </c>
      <c r="C826" s="16">
        <f>IF($B826="","",IF(OR('VERI_A'!$B826="",'VERI_A'!$B826=0),"TARIH_BOS",IF(LEN(TRIM('VERI_A'!$C826&amp;""))&lt;&gt;dbe_vknUzunluk,"VKN_UZUNLUK",IF('VERI_A'!$G826&lt;0,"TUTAR_NEGATIF",IF('VERI_A'!$I826="","DONEM_EKSIK",""))))</f>
        <v/>
      </c>
      <c r="D826" s="16">
        <f>IF($C826="","",IF($C826="TARIH_BOS","Belge tarihi zorunlu",IF($C826="VKN_UZUNLUK","VKN 10 hane olmalı",IF($C826="TUTAR_NEGATIF","Toplam negatif olamaz",IF($C826="DONEM_EKSIK","Dönem zorunlu","Elle incele"))))</f>
        <v/>
      </c>
      <c r="E826" s="16">
        <f>IF($C826="","",IF(OR($C826="TUTAR_NEGATIF",$C826="TARIH_BOS"),"YUKSEK","ORTA"))</f>
        <v/>
      </c>
      <c r="F826" s="16">
        <f>IF($C826="","",IF(OR($C826="TARIH_BOS",$C826="VKN_UZUNLUK",$C826="TUTAR_NEGATIF",$C826="DONEM_EKSIK"),$C826,"TANIMSIZ"))</f>
        <v/>
      </c>
      <c r="G826" s="16">
        <f>IF($C826="","",1)</f>
        <v/>
      </c>
    </row>
    <row r="827">
      <c r="A827" s="16">
        <f>IF('VERI_A'!$A827="","",ROW()-ROW(tblVeriA[[#Headers]]))</f>
        <v/>
      </c>
      <c r="B827" s="23">
        <f>IF('VERI_A'!$A827="","",'VERI_A'!$A827)</f>
        <v/>
      </c>
      <c r="C827" s="16">
        <f>IF($B827="","",IF(OR('VERI_A'!$B827="",'VERI_A'!$B827=0),"TARIH_BOS",IF(LEN(TRIM('VERI_A'!$C827&amp;""))&lt;&gt;dbe_vknUzunluk,"VKN_UZUNLUK",IF('VERI_A'!$G827&lt;0,"TUTAR_NEGATIF",IF('VERI_A'!$I827="","DONEM_EKSIK",""))))</f>
        <v/>
      </c>
      <c r="D827" s="16">
        <f>IF($C827="","",IF($C827="TARIH_BOS","Belge tarihi zorunlu",IF($C827="VKN_UZUNLUK","VKN 10 hane olmalı",IF($C827="TUTAR_NEGATIF","Toplam negatif olamaz",IF($C827="DONEM_EKSIK","Dönem zorunlu","Elle incele"))))</f>
        <v/>
      </c>
      <c r="E827" s="16">
        <f>IF($C827="","",IF(OR($C827="TUTAR_NEGATIF",$C827="TARIH_BOS"),"YUKSEK","ORTA"))</f>
        <v/>
      </c>
      <c r="F827" s="16">
        <f>IF($C827="","",IF(OR($C827="TARIH_BOS",$C827="VKN_UZUNLUK",$C827="TUTAR_NEGATIF",$C827="DONEM_EKSIK"),$C827,"TANIMSIZ"))</f>
        <v/>
      </c>
      <c r="G827" s="16">
        <f>IF($C827="","",1)</f>
        <v/>
      </c>
    </row>
    <row r="828">
      <c r="A828" s="16">
        <f>IF('VERI_A'!$A828="","",ROW()-ROW(tblVeriA[[#Headers]]))</f>
        <v/>
      </c>
      <c r="B828" s="23">
        <f>IF('VERI_A'!$A828="","",'VERI_A'!$A828)</f>
        <v/>
      </c>
      <c r="C828" s="16">
        <f>IF($B828="","",IF(OR('VERI_A'!$B828="",'VERI_A'!$B828=0),"TARIH_BOS",IF(LEN(TRIM('VERI_A'!$C828&amp;""))&lt;&gt;dbe_vknUzunluk,"VKN_UZUNLUK",IF('VERI_A'!$G828&lt;0,"TUTAR_NEGATIF",IF('VERI_A'!$I828="","DONEM_EKSIK",""))))</f>
        <v/>
      </c>
      <c r="D828" s="16">
        <f>IF($C828="","",IF($C828="TARIH_BOS","Belge tarihi zorunlu",IF($C828="VKN_UZUNLUK","VKN 10 hane olmalı",IF($C828="TUTAR_NEGATIF","Toplam negatif olamaz",IF($C828="DONEM_EKSIK","Dönem zorunlu","Elle incele"))))</f>
        <v/>
      </c>
      <c r="E828" s="16">
        <f>IF($C828="","",IF(OR($C828="TUTAR_NEGATIF",$C828="TARIH_BOS"),"YUKSEK","ORTA"))</f>
        <v/>
      </c>
      <c r="F828" s="16">
        <f>IF($C828="","",IF(OR($C828="TARIH_BOS",$C828="VKN_UZUNLUK",$C828="TUTAR_NEGATIF",$C828="DONEM_EKSIK"),$C828,"TANIMSIZ"))</f>
        <v/>
      </c>
      <c r="G828" s="16">
        <f>IF($C828="","",1)</f>
        <v/>
      </c>
    </row>
    <row r="829">
      <c r="A829" s="16">
        <f>IF('VERI_A'!$A829="","",ROW()-ROW(tblVeriA[[#Headers]]))</f>
        <v/>
      </c>
      <c r="B829" s="23">
        <f>IF('VERI_A'!$A829="","",'VERI_A'!$A829)</f>
        <v/>
      </c>
      <c r="C829" s="16">
        <f>IF($B829="","",IF(OR('VERI_A'!$B829="",'VERI_A'!$B829=0),"TARIH_BOS",IF(LEN(TRIM('VERI_A'!$C829&amp;""))&lt;&gt;dbe_vknUzunluk,"VKN_UZUNLUK",IF('VERI_A'!$G829&lt;0,"TUTAR_NEGATIF",IF('VERI_A'!$I829="","DONEM_EKSIK",""))))</f>
        <v/>
      </c>
      <c r="D829" s="16">
        <f>IF($C829="","",IF($C829="TARIH_BOS","Belge tarihi zorunlu",IF($C829="VKN_UZUNLUK","VKN 10 hane olmalı",IF($C829="TUTAR_NEGATIF","Toplam negatif olamaz",IF($C829="DONEM_EKSIK","Dönem zorunlu","Elle incele"))))</f>
        <v/>
      </c>
      <c r="E829" s="16">
        <f>IF($C829="","",IF(OR($C829="TUTAR_NEGATIF",$C829="TARIH_BOS"),"YUKSEK","ORTA"))</f>
        <v/>
      </c>
      <c r="F829" s="16">
        <f>IF($C829="","",IF(OR($C829="TARIH_BOS",$C829="VKN_UZUNLUK",$C829="TUTAR_NEGATIF",$C829="DONEM_EKSIK"),$C829,"TANIMSIZ"))</f>
        <v/>
      </c>
      <c r="G829" s="16">
        <f>IF($C829="","",1)</f>
        <v/>
      </c>
    </row>
    <row r="830">
      <c r="A830" s="16">
        <f>IF('VERI_A'!$A830="","",ROW()-ROW(tblVeriA[[#Headers]]))</f>
        <v/>
      </c>
      <c r="B830" s="23">
        <f>IF('VERI_A'!$A830="","",'VERI_A'!$A830)</f>
        <v/>
      </c>
      <c r="C830" s="16">
        <f>IF($B830="","",IF(OR('VERI_A'!$B830="",'VERI_A'!$B830=0),"TARIH_BOS",IF(LEN(TRIM('VERI_A'!$C830&amp;""))&lt;&gt;dbe_vknUzunluk,"VKN_UZUNLUK",IF('VERI_A'!$G830&lt;0,"TUTAR_NEGATIF",IF('VERI_A'!$I830="","DONEM_EKSIK",""))))</f>
        <v/>
      </c>
      <c r="D830" s="16">
        <f>IF($C830="","",IF($C830="TARIH_BOS","Belge tarihi zorunlu",IF($C830="VKN_UZUNLUK","VKN 10 hane olmalı",IF($C830="TUTAR_NEGATIF","Toplam negatif olamaz",IF($C830="DONEM_EKSIK","Dönem zorunlu","Elle incele"))))</f>
        <v/>
      </c>
      <c r="E830" s="16">
        <f>IF($C830="","",IF(OR($C830="TUTAR_NEGATIF",$C830="TARIH_BOS"),"YUKSEK","ORTA"))</f>
        <v/>
      </c>
      <c r="F830" s="16">
        <f>IF($C830="","",IF(OR($C830="TARIH_BOS",$C830="VKN_UZUNLUK",$C830="TUTAR_NEGATIF",$C830="DONEM_EKSIK"),$C830,"TANIMSIZ"))</f>
        <v/>
      </c>
      <c r="G830" s="16">
        <f>IF($C830="","",1)</f>
        <v/>
      </c>
    </row>
    <row r="831">
      <c r="A831" s="16">
        <f>IF('VERI_A'!$A831="","",ROW()-ROW(tblVeriA[[#Headers]]))</f>
        <v/>
      </c>
      <c r="B831" s="23">
        <f>IF('VERI_A'!$A831="","",'VERI_A'!$A831)</f>
        <v/>
      </c>
      <c r="C831" s="16">
        <f>IF($B831="","",IF(OR('VERI_A'!$B831="",'VERI_A'!$B831=0),"TARIH_BOS",IF(LEN(TRIM('VERI_A'!$C831&amp;""))&lt;&gt;dbe_vknUzunluk,"VKN_UZUNLUK",IF('VERI_A'!$G831&lt;0,"TUTAR_NEGATIF",IF('VERI_A'!$I831="","DONEM_EKSIK",""))))</f>
        <v/>
      </c>
      <c r="D831" s="16">
        <f>IF($C831="","",IF($C831="TARIH_BOS","Belge tarihi zorunlu",IF($C831="VKN_UZUNLUK","VKN 10 hane olmalı",IF($C831="TUTAR_NEGATIF","Toplam negatif olamaz",IF($C831="DONEM_EKSIK","Dönem zorunlu","Elle incele"))))</f>
        <v/>
      </c>
      <c r="E831" s="16">
        <f>IF($C831="","",IF(OR($C831="TUTAR_NEGATIF",$C831="TARIH_BOS"),"YUKSEK","ORTA"))</f>
        <v/>
      </c>
      <c r="F831" s="16">
        <f>IF($C831="","",IF(OR($C831="TARIH_BOS",$C831="VKN_UZUNLUK",$C831="TUTAR_NEGATIF",$C831="DONEM_EKSIK"),$C831,"TANIMSIZ"))</f>
        <v/>
      </c>
      <c r="G831" s="16">
        <f>IF($C831="","",1)</f>
        <v/>
      </c>
    </row>
    <row r="832">
      <c r="A832" s="16">
        <f>IF('VERI_A'!$A832="","",ROW()-ROW(tblVeriA[[#Headers]]))</f>
        <v/>
      </c>
      <c r="B832" s="23">
        <f>IF('VERI_A'!$A832="","",'VERI_A'!$A832)</f>
        <v/>
      </c>
      <c r="C832" s="16">
        <f>IF($B832="","",IF(OR('VERI_A'!$B832="",'VERI_A'!$B832=0),"TARIH_BOS",IF(LEN(TRIM('VERI_A'!$C832&amp;""))&lt;&gt;dbe_vknUzunluk,"VKN_UZUNLUK",IF('VERI_A'!$G832&lt;0,"TUTAR_NEGATIF",IF('VERI_A'!$I832="","DONEM_EKSIK",""))))</f>
        <v/>
      </c>
      <c r="D832" s="16">
        <f>IF($C832="","",IF($C832="TARIH_BOS","Belge tarihi zorunlu",IF($C832="VKN_UZUNLUK","VKN 10 hane olmalı",IF($C832="TUTAR_NEGATIF","Toplam negatif olamaz",IF($C832="DONEM_EKSIK","Dönem zorunlu","Elle incele"))))</f>
        <v/>
      </c>
      <c r="E832" s="16">
        <f>IF($C832="","",IF(OR($C832="TUTAR_NEGATIF",$C832="TARIH_BOS"),"YUKSEK","ORTA"))</f>
        <v/>
      </c>
      <c r="F832" s="16">
        <f>IF($C832="","",IF(OR($C832="TARIH_BOS",$C832="VKN_UZUNLUK",$C832="TUTAR_NEGATIF",$C832="DONEM_EKSIK"),$C832,"TANIMSIZ"))</f>
        <v/>
      </c>
      <c r="G832" s="16">
        <f>IF($C832="","",1)</f>
        <v/>
      </c>
    </row>
    <row r="833">
      <c r="A833" s="16">
        <f>IF('VERI_A'!$A833="","",ROW()-ROW(tblVeriA[[#Headers]]))</f>
        <v/>
      </c>
      <c r="B833" s="23">
        <f>IF('VERI_A'!$A833="","",'VERI_A'!$A833)</f>
        <v/>
      </c>
      <c r="C833" s="16">
        <f>IF($B833="","",IF(OR('VERI_A'!$B833="",'VERI_A'!$B833=0),"TARIH_BOS",IF(LEN(TRIM('VERI_A'!$C833&amp;""))&lt;&gt;dbe_vknUzunluk,"VKN_UZUNLUK",IF('VERI_A'!$G833&lt;0,"TUTAR_NEGATIF",IF('VERI_A'!$I833="","DONEM_EKSIK",""))))</f>
        <v/>
      </c>
      <c r="D833" s="16">
        <f>IF($C833="","",IF($C833="TARIH_BOS","Belge tarihi zorunlu",IF($C833="VKN_UZUNLUK","VKN 10 hane olmalı",IF($C833="TUTAR_NEGATIF","Toplam negatif olamaz",IF($C833="DONEM_EKSIK","Dönem zorunlu","Elle incele"))))</f>
        <v/>
      </c>
      <c r="E833" s="16">
        <f>IF($C833="","",IF(OR($C833="TUTAR_NEGATIF",$C833="TARIH_BOS"),"YUKSEK","ORTA"))</f>
        <v/>
      </c>
      <c r="F833" s="16">
        <f>IF($C833="","",IF(OR($C833="TARIH_BOS",$C833="VKN_UZUNLUK",$C833="TUTAR_NEGATIF",$C833="DONEM_EKSIK"),$C833,"TANIMSIZ"))</f>
        <v/>
      </c>
      <c r="G833" s="16">
        <f>IF($C833="","",1)</f>
        <v/>
      </c>
    </row>
    <row r="834">
      <c r="A834" s="16">
        <f>IF('VERI_A'!$A834="","",ROW()-ROW(tblVeriA[[#Headers]]))</f>
        <v/>
      </c>
      <c r="B834" s="23">
        <f>IF('VERI_A'!$A834="","",'VERI_A'!$A834)</f>
        <v/>
      </c>
      <c r="C834" s="16">
        <f>IF($B834="","",IF(OR('VERI_A'!$B834="",'VERI_A'!$B834=0),"TARIH_BOS",IF(LEN(TRIM('VERI_A'!$C834&amp;""))&lt;&gt;dbe_vknUzunluk,"VKN_UZUNLUK",IF('VERI_A'!$G834&lt;0,"TUTAR_NEGATIF",IF('VERI_A'!$I834="","DONEM_EKSIK",""))))</f>
        <v/>
      </c>
      <c r="D834" s="16">
        <f>IF($C834="","",IF($C834="TARIH_BOS","Belge tarihi zorunlu",IF($C834="VKN_UZUNLUK","VKN 10 hane olmalı",IF($C834="TUTAR_NEGATIF","Toplam negatif olamaz",IF($C834="DONEM_EKSIK","Dönem zorunlu","Elle incele"))))</f>
        <v/>
      </c>
      <c r="E834" s="16">
        <f>IF($C834="","",IF(OR($C834="TUTAR_NEGATIF",$C834="TARIH_BOS"),"YUKSEK","ORTA"))</f>
        <v/>
      </c>
      <c r="F834" s="16">
        <f>IF($C834="","",IF(OR($C834="TARIH_BOS",$C834="VKN_UZUNLUK",$C834="TUTAR_NEGATIF",$C834="DONEM_EKSIK"),$C834,"TANIMSIZ"))</f>
        <v/>
      </c>
      <c r="G834" s="16">
        <f>IF($C834="","",1)</f>
        <v/>
      </c>
    </row>
    <row r="835">
      <c r="A835" s="16">
        <f>IF('VERI_A'!$A835="","",ROW()-ROW(tblVeriA[[#Headers]]))</f>
        <v/>
      </c>
      <c r="B835" s="23">
        <f>IF('VERI_A'!$A835="","",'VERI_A'!$A835)</f>
        <v/>
      </c>
      <c r="C835" s="16">
        <f>IF($B835="","",IF(OR('VERI_A'!$B835="",'VERI_A'!$B835=0),"TARIH_BOS",IF(LEN(TRIM('VERI_A'!$C835&amp;""))&lt;&gt;dbe_vknUzunluk,"VKN_UZUNLUK",IF('VERI_A'!$G835&lt;0,"TUTAR_NEGATIF",IF('VERI_A'!$I835="","DONEM_EKSIK",""))))</f>
        <v/>
      </c>
      <c r="D835" s="16">
        <f>IF($C835="","",IF($C835="TARIH_BOS","Belge tarihi zorunlu",IF($C835="VKN_UZUNLUK","VKN 10 hane olmalı",IF($C835="TUTAR_NEGATIF","Toplam negatif olamaz",IF($C835="DONEM_EKSIK","Dönem zorunlu","Elle incele"))))</f>
        <v/>
      </c>
      <c r="E835" s="16">
        <f>IF($C835="","",IF(OR($C835="TUTAR_NEGATIF",$C835="TARIH_BOS"),"YUKSEK","ORTA"))</f>
        <v/>
      </c>
      <c r="F835" s="16">
        <f>IF($C835="","",IF(OR($C835="TARIH_BOS",$C835="VKN_UZUNLUK",$C835="TUTAR_NEGATIF",$C835="DONEM_EKSIK"),$C835,"TANIMSIZ"))</f>
        <v/>
      </c>
      <c r="G835" s="16">
        <f>IF($C835="","",1)</f>
        <v/>
      </c>
    </row>
    <row r="836">
      <c r="A836" s="16">
        <f>IF('VERI_A'!$A836="","",ROW()-ROW(tblVeriA[[#Headers]]))</f>
        <v/>
      </c>
      <c r="B836" s="23">
        <f>IF('VERI_A'!$A836="","",'VERI_A'!$A836)</f>
        <v/>
      </c>
      <c r="C836" s="16">
        <f>IF($B836="","",IF(OR('VERI_A'!$B836="",'VERI_A'!$B836=0),"TARIH_BOS",IF(LEN(TRIM('VERI_A'!$C836&amp;""))&lt;&gt;dbe_vknUzunluk,"VKN_UZUNLUK",IF('VERI_A'!$G836&lt;0,"TUTAR_NEGATIF",IF('VERI_A'!$I836="","DONEM_EKSIK",""))))</f>
        <v/>
      </c>
      <c r="D836" s="16">
        <f>IF($C836="","",IF($C836="TARIH_BOS","Belge tarihi zorunlu",IF($C836="VKN_UZUNLUK","VKN 10 hane olmalı",IF($C836="TUTAR_NEGATIF","Toplam negatif olamaz",IF($C836="DONEM_EKSIK","Dönem zorunlu","Elle incele"))))</f>
        <v/>
      </c>
      <c r="E836" s="16">
        <f>IF($C836="","",IF(OR($C836="TUTAR_NEGATIF",$C836="TARIH_BOS"),"YUKSEK","ORTA"))</f>
        <v/>
      </c>
      <c r="F836" s="16">
        <f>IF($C836="","",IF(OR($C836="TARIH_BOS",$C836="VKN_UZUNLUK",$C836="TUTAR_NEGATIF",$C836="DONEM_EKSIK"),$C836,"TANIMSIZ"))</f>
        <v/>
      </c>
      <c r="G836" s="16">
        <f>IF($C836="","",1)</f>
        <v/>
      </c>
    </row>
    <row r="837">
      <c r="A837" s="16">
        <f>IF('VERI_A'!$A837="","",ROW()-ROW(tblVeriA[[#Headers]]))</f>
        <v/>
      </c>
      <c r="B837" s="23">
        <f>IF('VERI_A'!$A837="","",'VERI_A'!$A837)</f>
        <v/>
      </c>
      <c r="C837" s="16">
        <f>IF($B837="","",IF(OR('VERI_A'!$B837="",'VERI_A'!$B837=0),"TARIH_BOS",IF(LEN(TRIM('VERI_A'!$C837&amp;""))&lt;&gt;dbe_vknUzunluk,"VKN_UZUNLUK",IF('VERI_A'!$G837&lt;0,"TUTAR_NEGATIF",IF('VERI_A'!$I837="","DONEM_EKSIK",""))))</f>
        <v/>
      </c>
      <c r="D837" s="16">
        <f>IF($C837="","",IF($C837="TARIH_BOS","Belge tarihi zorunlu",IF($C837="VKN_UZUNLUK","VKN 10 hane olmalı",IF($C837="TUTAR_NEGATIF","Toplam negatif olamaz",IF($C837="DONEM_EKSIK","Dönem zorunlu","Elle incele"))))</f>
        <v/>
      </c>
      <c r="E837" s="16">
        <f>IF($C837="","",IF(OR($C837="TUTAR_NEGATIF",$C837="TARIH_BOS"),"YUKSEK","ORTA"))</f>
        <v/>
      </c>
      <c r="F837" s="16">
        <f>IF($C837="","",IF(OR($C837="TARIH_BOS",$C837="VKN_UZUNLUK",$C837="TUTAR_NEGATIF",$C837="DONEM_EKSIK"),$C837,"TANIMSIZ"))</f>
        <v/>
      </c>
      <c r="G837" s="16">
        <f>IF($C837="","",1)</f>
        <v/>
      </c>
    </row>
    <row r="838">
      <c r="A838" s="16">
        <f>IF('VERI_A'!$A838="","",ROW()-ROW(tblVeriA[[#Headers]]))</f>
        <v/>
      </c>
      <c r="B838" s="23">
        <f>IF('VERI_A'!$A838="","",'VERI_A'!$A838)</f>
        <v/>
      </c>
      <c r="C838" s="16">
        <f>IF($B838="","",IF(OR('VERI_A'!$B838="",'VERI_A'!$B838=0),"TARIH_BOS",IF(LEN(TRIM('VERI_A'!$C838&amp;""))&lt;&gt;dbe_vknUzunluk,"VKN_UZUNLUK",IF('VERI_A'!$G838&lt;0,"TUTAR_NEGATIF",IF('VERI_A'!$I838="","DONEM_EKSIK",""))))</f>
        <v/>
      </c>
      <c r="D838" s="16">
        <f>IF($C838="","",IF($C838="TARIH_BOS","Belge tarihi zorunlu",IF($C838="VKN_UZUNLUK","VKN 10 hane olmalı",IF($C838="TUTAR_NEGATIF","Toplam negatif olamaz",IF($C838="DONEM_EKSIK","Dönem zorunlu","Elle incele"))))</f>
        <v/>
      </c>
      <c r="E838" s="16">
        <f>IF($C838="","",IF(OR($C838="TUTAR_NEGATIF",$C838="TARIH_BOS"),"YUKSEK","ORTA"))</f>
        <v/>
      </c>
      <c r="F838" s="16">
        <f>IF($C838="","",IF(OR($C838="TARIH_BOS",$C838="VKN_UZUNLUK",$C838="TUTAR_NEGATIF",$C838="DONEM_EKSIK"),$C838,"TANIMSIZ"))</f>
        <v/>
      </c>
      <c r="G838" s="16">
        <f>IF($C838="","",1)</f>
        <v/>
      </c>
    </row>
    <row r="839">
      <c r="A839" s="16">
        <f>IF('VERI_A'!$A839="","",ROW()-ROW(tblVeriA[[#Headers]]))</f>
        <v/>
      </c>
      <c r="B839" s="23">
        <f>IF('VERI_A'!$A839="","",'VERI_A'!$A839)</f>
        <v/>
      </c>
      <c r="C839" s="16">
        <f>IF($B839="","",IF(OR('VERI_A'!$B839="",'VERI_A'!$B839=0),"TARIH_BOS",IF(LEN(TRIM('VERI_A'!$C839&amp;""))&lt;&gt;dbe_vknUzunluk,"VKN_UZUNLUK",IF('VERI_A'!$G839&lt;0,"TUTAR_NEGATIF",IF('VERI_A'!$I839="","DONEM_EKSIK",""))))</f>
        <v/>
      </c>
      <c r="D839" s="16">
        <f>IF($C839="","",IF($C839="TARIH_BOS","Belge tarihi zorunlu",IF($C839="VKN_UZUNLUK","VKN 10 hane olmalı",IF($C839="TUTAR_NEGATIF","Toplam negatif olamaz",IF($C839="DONEM_EKSIK","Dönem zorunlu","Elle incele"))))</f>
        <v/>
      </c>
      <c r="E839" s="16">
        <f>IF($C839="","",IF(OR($C839="TUTAR_NEGATIF",$C839="TARIH_BOS"),"YUKSEK","ORTA"))</f>
        <v/>
      </c>
      <c r="F839" s="16">
        <f>IF($C839="","",IF(OR($C839="TARIH_BOS",$C839="VKN_UZUNLUK",$C839="TUTAR_NEGATIF",$C839="DONEM_EKSIK"),$C839,"TANIMSIZ"))</f>
        <v/>
      </c>
      <c r="G839" s="16">
        <f>IF($C839="","",1)</f>
        <v/>
      </c>
    </row>
    <row r="840">
      <c r="A840" s="16">
        <f>IF('VERI_A'!$A840="","",ROW()-ROW(tblVeriA[[#Headers]]))</f>
        <v/>
      </c>
      <c r="B840" s="23">
        <f>IF('VERI_A'!$A840="","",'VERI_A'!$A840)</f>
        <v/>
      </c>
      <c r="C840" s="16">
        <f>IF($B840="","",IF(OR('VERI_A'!$B840="",'VERI_A'!$B840=0),"TARIH_BOS",IF(LEN(TRIM('VERI_A'!$C840&amp;""))&lt;&gt;dbe_vknUzunluk,"VKN_UZUNLUK",IF('VERI_A'!$G840&lt;0,"TUTAR_NEGATIF",IF('VERI_A'!$I840="","DONEM_EKSIK",""))))</f>
        <v/>
      </c>
      <c r="D840" s="16">
        <f>IF($C840="","",IF($C840="TARIH_BOS","Belge tarihi zorunlu",IF($C840="VKN_UZUNLUK","VKN 10 hane olmalı",IF($C840="TUTAR_NEGATIF","Toplam negatif olamaz",IF($C840="DONEM_EKSIK","Dönem zorunlu","Elle incele"))))</f>
        <v/>
      </c>
      <c r="E840" s="16">
        <f>IF($C840="","",IF(OR($C840="TUTAR_NEGATIF",$C840="TARIH_BOS"),"YUKSEK","ORTA"))</f>
        <v/>
      </c>
      <c r="F840" s="16">
        <f>IF($C840="","",IF(OR($C840="TARIH_BOS",$C840="VKN_UZUNLUK",$C840="TUTAR_NEGATIF",$C840="DONEM_EKSIK"),$C840,"TANIMSIZ"))</f>
        <v/>
      </c>
      <c r="G840" s="16">
        <f>IF($C840="","",1)</f>
        <v/>
      </c>
    </row>
    <row r="841">
      <c r="A841" s="16">
        <f>IF('VERI_A'!$A841="","",ROW()-ROW(tblVeriA[[#Headers]]))</f>
        <v/>
      </c>
      <c r="B841" s="23">
        <f>IF('VERI_A'!$A841="","",'VERI_A'!$A841)</f>
        <v/>
      </c>
      <c r="C841" s="16">
        <f>IF($B841="","",IF(OR('VERI_A'!$B841="",'VERI_A'!$B841=0),"TARIH_BOS",IF(LEN(TRIM('VERI_A'!$C841&amp;""))&lt;&gt;dbe_vknUzunluk,"VKN_UZUNLUK",IF('VERI_A'!$G841&lt;0,"TUTAR_NEGATIF",IF('VERI_A'!$I841="","DONEM_EKSIK",""))))</f>
        <v/>
      </c>
      <c r="D841" s="16">
        <f>IF($C841="","",IF($C841="TARIH_BOS","Belge tarihi zorunlu",IF($C841="VKN_UZUNLUK","VKN 10 hane olmalı",IF($C841="TUTAR_NEGATIF","Toplam negatif olamaz",IF($C841="DONEM_EKSIK","Dönem zorunlu","Elle incele"))))</f>
        <v/>
      </c>
      <c r="E841" s="16">
        <f>IF($C841="","",IF(OR($C841="TUTAR_NEGATIF",$C841="TARIH_BOS"),"YUKSEK","ORTA"))</f>
        <v/>
      </c>
      <c r="F841" s="16">
        <f>IF($C841="","",IF(OR($C841="TARIH_BOS",$C841="VKN_UZUNLUK",$C841="TUTAR_NEGATIF",$C841="DONEM_EKSIK"),$C841,"TANIMSIZ"))</f>
        <v/>
      </c>
      <c r="G841" s="16">
        <f>IF($C841="","",1)</f>
        <v/>
      </c>
    </row>
    <row r="842">
      <c r="A842" s="16">
        <f>IF('VERI_A'!$A842="","",ROW()-ROW(tblVeriA[[#Headers]]))</f>
        <v/>
      </c>
      <c r="B842" s="23">
        <f>IF('VERI_A'!$A842="","",'VERI_A'!$A842)</f>
        <v/>
      </c>
      <c r="C842" s="16">
        <f>IF($B842="","",IF(OR('VERI_A'!$B842="",'VERI_A'!$B842=0),"TARIH_BOS",IF(LEN(TRIM('VERI_A'!$C842&amp;""))&lt;&gt;dbe_vknUzunluk,"VKN_UZUNLUK",IF('VERI_A'!$G842&lt;0,"TUTAR_NEGATIF",IF('VERI_A'!$I842="","DONEM_EKSIK",""))))</f>
        <v/>
      </c>
      <c r="D842" s="16">
        <f>IF($C842="","",IF($C842="TARIH_BOS","Belge tarihi zorunlu",IF($C842="VKN_UZUNLUK","VKN 10 hane olmalı",IF($C842="TUTAR_NEGATIF","Toplam negatif olamaz",IF($C842="DONEM_EKSIK","Dönem zorunlu","Elle incele"))))</f>
        <v/>
      </c>
      <c r="E842" s="16">
        <f>IF($C842="","",IF(OR($C842="TUTAR_NEGATIF",$C842="TARIH_BOS"),"YUKSEK","ORTA"))</f>
        <v/>
      </c>
      <c r="F842" s="16">
        <f>IF($C842="","",IF(OR($C842="TARIH_BOS",$C842="VKN_UZUNLUK",$C842="TUTAR_NEGATIF",$C842="DONEM_EKSIK"),$C842,"TANIMSIZ"))</f>
        <v/>
      </c>
      <c r="G842" s="16">
        <f>IF($C842="","",1)</f>
        <v/>
      </c>
    </row>
    <row r="843">
      <c r="A843" s="16">
        <f>IF('VERI_A'!$A843="","",ROW()-ROW(tblVeriA[[#Headers]]))</f>
        <v/>
      </c>
      <c r="B843" s="23">
        <f>IF('VERI_A'!$A843="","",'VERI_A'!$A843)</f>
        <v/>
      </c>
      <c r="C843" s="16">
        <f>IF($B843="","",IF(OR('VERI_A'!$B843="",'VERI_A'!$B843=0),"TARIH_BOS",IF(LEN(TRIM('VERI_A'!$C843&amp;""))&lt;&gt;dbe_vknUzunluk,"VKN_UZUNLUK",IF('VERI_A'!$G843&lt;0,"TUTAR_NEGATIF",IF('VERI_A'!$I843="","DONEM_EKSIK",""))))</f>
        <v/>
      </c>
      <c r="D843" s="16">
        <f>IF($C843="","",IF($C843="TARIH_BOS","Belge tarihi zorunlu",IF($C843="VKN_UZUNLUK","VKN 10 hane olmalı",IF($C843="TUTAR_NEGATIF","Toplam negatif olamaz",IF($C843="DONEM_EKSIK","Dönem zorunlu","Elle incele"))))</f>
        <v/>
      </c>
      <c r="E843" s="16">
        <f>IF($C843="","",IF(OR($C843="TUTAR_NEGATIF",$C843="TARIH_BOS"),"YUKSEK","ORTA"))</f>
        <v/>
      </c>
      <c r="F843" s="16">
        <f>IF($C843="","",IF(OR($C843="TARIH_BOS",$C843="VKN_UZUNLUK",$C843="TUTAR_NEGATIF",$C843="DONEM_EKSIK"),$C843,"TANIMSIZ"))</f>
        <v/>
      </c>
      <c r="G843" s="16">
        <f>IF($C843="","",1)</f>
        <v/>
      </c>
    </row>
    <row r="844">
      <c r="A844" s="16">
        <f>IF('VERI_A'!$A844="","",ROW()-ROW(tblVeriA[[#Headers]]))</f>
        <v/>
      </c>
      <c r="B844" s="23">
        <f>IF('VERI_A'!$A844="","",'VERI_A'!$A844)</f>
        <v/>
      </c>
      <c r="C844" s="16">
        <f>IF($B844="","",IF(OR('VERI_A'!$B844="",'VERI_A'!$B844=0),"TARIH_BOS",IF(LEN(TRIM('VERI_A'!$C844&amp;""))&lt;&gt;dbe_vknUzunluk,"VKN_UZUNLUK",IF('VERI_A'!$G844&lt;0,"TUTAR_NEGATIF",IF('VERI_A'!$I844="","DONEM_EKSIK",""))))</f>
        <v/>
      </c>
      <c r="D844" s="16">
        <f>IF($C844="","",IF($C844="TARIH_BOS","Belge tarihi zorunlu",IF($C844="VKN_UZUNLUK","VKN 10 hane olmalı",IF($C844="TUTAR_NEGATIF","Toplam negatif olamaz",IF($C844="DONEM_EKSIK","Dönem zorunlu","Elle incele"))))</f>
        <v/>
      </c>
      <c r="E844" s="16">
        <f>IF($C844="","",IF(OR($C844="TUTAR_NEGATIF",$C844="TARIH_BOS"),"YUKSEK","ORTA"))</f>
        <v/>
      </c>
      <c r="F844" s="16">
        <f>IF($C844="","",IF(OR($C844="TARIH_BOS",$C844="VKN_UZUNLUK",$C844="TUTAR_NEGATIF",$C844="DONEM_EKSIK"),$C844,"TANIMSIZ"))</f>
        <v/>
      </c>
      <c r="G844" s="16">
        <f>IF($C844="","",1)</f>
        <v/>
      </c>
    </row>
    <row r="845">
      <c r="A845" s="16">
        <f>IF('VERI_A'!$A845="","",ROW()-ROW(tblVeriA[[#Headers]]))</f>
        <v/>
      </c>
      <c r="B845" s="23">
        <f>IF('VERI_A'!$A845="","",'VERI_A'!$A845)</f>
        <v/>
      </c>
      <c r="C845" s="16">
        <f>IF($B845="","",IF(OR('VERI_A'!$B845="",'VERI_A'!$B845=0),"TARIH_BOS",IF(LEN(TRIM('VERI_A'!$C845&amp;""))&lt;&gt;dbe_vknUzunluk,"VKN_UZUNLUK",IF('VERI_A'!$G845&lt;0,"TUTAR_NEGATIF",IF('VERI_A'!$I845="","DONEM_EKSIK",""))))</f>
        <v/>
      </c>
      <c r="D845" s="16">
        <f>IF($C845="","",IF($C845="TARIH_BOS","Belge tarihi zorunlu",IF($C845="VKN_UZUNLUK","VKN 10 hane olmalı",IF($C845="TUTAR_NEGATIF","Toplam negatif olamaz",IF($C845="DONEM_EKSIK","Dönem zorunlu","Elle incele"))))</f>
        <v/>
      </c>
      <c r="E845" s="16">
        <f>IF($C845="","",IF(OR($C845="TUTAR_NEGATIF",$C845="TARIH_BOS"),"YUKSEK","ORTA"))</f>
        <v/>
      </c>
      <c r="F845" s="16">
        <f>IF($C845="","",IF(OR($C845="TARIH_BOS",$C845="VKN_UZUNLUK",$C845="TUTAR_NEGATIF",$C845="DONEM_EKSIK"),$C845,"TANIMSIZ"))</f>
        <v/>
      </c>
      <c r="G845" s="16">
        <f>IF($C845="","",1)</f>
        <v/>
      </c>
    </row>
    <row r="846">
      <c r="A846" s="16">
        <f>IF('VERI_A'!$A846="","",ROW()-ROW(tblVeriA[[#Headers]]))</f>
        <v/>
      </c>
      <c r="B846" s="23">
        <f>IF('VERI_A'!$A846="","",'VERI_A'!$A846)</f>
        <v/>
      </c>
      <c r="C846" s="16">
        <f>IF($B846="","",IF(OR('VERI_A'!$B846="",'VERI_A'!$B846=0),"TARIH_BOS",IF(LEN(TRIM('VERI_A'!$C846&amp;""))&lt;&gt;dbe_vknUzunluk,"VKN_UZUNLUK",IF('VERI_A'!$G846&lt;0,"TUTAR_NEGATIF",IF('VERI_A'!$I846="","DONEM_EKSIK",""))))</f>
        <v/>
      </c>
      <c r="D846" s="16">
        <f>IF($C846="","",IF($C846="TARIH_BOS","Belge tarihi zorunlu",IF($C846="VKN_UZUNLUK","VKN 10 hane olmalı",IF($C846="TUTAR_NEGATIF","Toplam negatif olamaz",IF($C846="DONEM_EKSIK","Dönem zorunlu","Elle incele"))))</f>
        <v/>
      </c>
      <c r="E846" s="16">
        <f>IF($C846="","",IF(OR($C846="TUTAR_NEGATIF",$C846="TARIH_BOS"),"YUKSEK","ORTA"))</f>
        <v/>
      </c>
      <c r="F846" s="16">
        <f>IF($C846="","",IF(OR($C846="TARIH_BOS",$C846="VKN_UZUNLUK",$C846="TUTAR_NEGATIF",$C846="DONEM_EKSIK"),$C846,"TANIMSIZ"))</f>
        <v/>
      </c>
      <c r="G846" s="16">
        <f>IF($C846="","",1)</f>
        <v/>
      </c>
    </row>
    <row r="847">
      <c r="A847" s="16">
        <f>IF('VERI_A'!$A847="","",ROW()-ROW(tblVeriA[[#Headers]]))</f>
        <v/>
      </c>
      <c r="B847" s="23">
        <f>IF('VERI_A'!$A847="","",'VERI_A'!$A847)</f>
        <v/>
      </c>
      <c r="C847" s="16">
        <f>IF($B847="","",IF(OR('VERI_A'!$B847="",'VERI_A'!$B847=0),"TARIH_BOS",IF(LEN(TRIM('VERI_A'!$C847&amp;""))&lt;&gt;dbe_vknUzunluk,"VKN_UZUNLUK",IF('VERI_A'!$G847&lt;0,"TUTAR_NEGATIF",IF('VERI_A'!$I847="","DONEM_EKSIK",""))))</f>
        <v/>
      </c>
      <c r="D847" s="16">
        <f>IF($C847="","",IF($C847="TARIH_BOS","Belge tarihi zorunlu",IF($C847="VKN_UZUNLUK","VKN 10 hane olmalı",IF($C847="TUTAR_NEGATIF","Toplam negatif olamaz",IF($C847="DONEM_EKSIK","Dönem zorunlu","Elle incele"))))</f>
        <v/>
      </c>
      <c r="E847" s="16">
        <f>IF($C847="","",IF(OR($C847="TUTAR_NEGATIF",$C847="TARIH_BOS"),"YUKSEK","ORTA"))</f>
        <v/>
      </c>
      <c r="F847" s="16">
        <f>IF($C847="","",IF(OR($C847="TARIH_BOS",$C847="VKN_UZUNLUK",$C847="TUTAR_NEGATIF",$C847="DONEM_EKSIK"),$C847,"TANIMSIZ"))</f>
        <v/>
      </c>
      <c r="G847" s="16">
        <f>IF($C847="","",1)</f>
        <v/>
      </c>
    </row>
    <row r="848">
      <c r="A848" s="16">
        <f>IF('VERI_A'!$A848="","",ROW()-ROW(tblVeriA[[#Headers]]))</f>
        <v/>
      </c>
      <c r="B848" s="23">
        <f>IF('VERI_A'!$A848="","",'VERI_A'!$A848)</f>
        <v/>
      </c>
      <c r="C848" s="16">
        <f>IF($B848="","",IF(OR('VERI_A'!$B848="",'VERI_A'!$B848=0),"TARIH_BOS",IF(LEN(TRIM('VERI_A'!$C848&amp;""))&lt;&gt;dbe_vknUzunluk,"VKN_UZUNLUK",IF('VERI_A'!$G848&lt;0,"TUTAR_NEGATIF",IF('VERI_A'!$I848="","DONEM_EKSIK",""))))</f>
        <v/>
      </c>
      <c r="D848" s="16">
        <f>IF($C848="","",IF($C848="TARIH_BOS","Belge tarihi zorunlu",IF($C848="VKN_UZUNLUK","VKN 10 hane olmalı",IF($C848="TUTAR_NEGATIF","Toplam negatif olamaz",IF($C848="DONEM_EKSIK","Dönem zorunlu","Elle incele"))))</f>
        <v/>
      </c>
      <c r="E848" s="16">
        <f>IF($C848="","",IF(OR($C848="TUTAR_NEGATIF",$C848="TARIH_BOS"),"YUKSEK","ORTA"))</f>
        <v/>
      </c>
      <c r="F848" s="16">
        <f>IF($C848="","",IF(OR($C848="TARIH_BOS",$C848="VKN_UZUNLUK",$C848="TUTAR_NEGATIF",$C848="DONEM_EKSIK"),$C848,"TANIMSIZ"))</f>
        <v/>
      </c>
      <c r="G848" s="16">
        <f>IF($C848="","",1)</f>
        <v/>
      </c>
    </row>
    <row r="849">
      <c r="A849" s="16">
        <f>IF('VERI_A'!$A849="","",ROW()-ROW(tblVeriA[[#Headers]]))</f>
        <v/>
      </c>
      <c r="B849" s="23">
        <f>IF('VERI_A'!$A849="","",'VERI_A'!$A849)</f>
        <v/>
      </c>
      <c r="C849" s="16">
        <f>IF($B849="","",IF(OR('VERI_A'!$B849="",'VERI_A'!$B849=0),"TARIH_BOS",IF(LEN(TRIM('VERI_A'!$C849&amp;""))&lt;&gt;dbe_vknUzunluk,"VKN_UZUNLUK",IF('VERI_A'!$G849&lt;0,"TUTAR_NEGATIF",IF('VERI_A'!$I849="","DONEM_EKSIK",""))))</f>
        <v/>
      </c>
      <c r="D849" s="16">
        <f>IF($C849="","",IF($C849="TARIH_BOS","Belge tarihi zorunlu",IF($C849="VKN_UZUNLUK","VKN 10 hane olmalı",IF($C849="TUTAR_NEGATIF","Toplam negatif olamaz",IF($C849="DONEM_EKSIK","Dönem zorunlu","Elle incele"))))</f>
        <v/>
      </c>
      <c r="E849" s="16">
        <f>IF($C849="","",IF(OR($C849="TUTAR_NEGATIF",$C849="TARIH_BOS"),"YUKSEK","ORTA"))</f>
        <v/>
      </c>
      <c r="F849" s="16">
        <f>IF($C849="","",IF(OR($C849="TARIH_BOS",$C849="VKN_UZUNLUK",$C849="TUTAR_NEGATIF",$C849="DONEM_EKSIK"),$C849,"TANIMSIZ"))</f>
        <v/>
      </c>
      <c r="G849" s="16">
        <f>IF($C849="","",1)</f>
        <v/>
      </c>
    </row>
    <row r="850">
      <c r="A850" s="16">
        <f>IF('VERI_A'!$A850="","",ROW()-ROW(tblVeriA[[#Headers]]))</f>
        <v/>
      </c>
      <c r="B850" s="23">
        <f>IF('VERI_A'!$A850="","",'VERI_A'!$A850)</f>
        <v/>
      </c>
      <c r="C850" s="16">
        <f>IF($B850="","",IF(OR('VERI_A'!$B850="",'VERI_A'!$B850=0),"TARIH_BOS",IF(LEN(TRIM('VERI_A'!$C850&amp;""))&lt;&gt;dbe_vknUzunluk,"VKN_UZUNLUK",IF('VERI_A'!$G850&lt;0,"TUTAR_NEGATIF",IF('VERI_A'!$I850="","DONEM_EKSIK",""))))</f>
        <v/>
      </c>
      <c r="D850" s="16">
        <f>IF($C850="","",IF($C850="TARIH_BOS","Belge tarihi zorunlu",IF($C850="VKN_UZUNLUK","VKN 10 hane olmalı",IF($C850="TUTAR_NEGATIF","Toplam negatif olamaz",IF($C850="DONEM_EKSIK","Dönem zorunlu","Elle incele"))))</f>
        <v/>
      </c>
      <c r="E850" s="16">
        <f>IF($C850="","",IF(OR($C850="TUTAR_NEGATIF",$C850="TARIH_BOS"),"YUKSEK","ORTA"))</f>
        <v/>
      </c>
      <c r="F850" s="16">
        <f>IF($C850="","",IF(OR($C850="TARIH_BOS",$C850="VKN_UZUNLUK",$C850="TUTAR_NEGATIF",$C850="DONEM_EKSIK"),$C850,"TANIMSIZ"))</f>
        <v/>
      </c>
      <c r="G850" s="16">
        <f>IF($C850="","",1)</f>
        <v/>
      </c>
    </row>
    <row r="851">
      <c r="A851" s="16">
        <f>IF('VERI_A'!$A851="","",ROW()-ROW(tblVeriA[[#Headers]]))</f>
        <v/>
      </c>
      <c r="B851" s="23">
        <f>IF('VERI_A'!$A851="","",'VERI_A'!$A851)</f>
        <v/>
      </c>
      <c r="C851" s="16">
        <f>IF($B851="","",IF(OR('VERI_A'!$B851="",'VERI_A'!$B851=0),"TARIH_BOS",IF(LEN(TRIM('VERI_A'!$C851&amp;""))&lt;&gt;dbe_vknUzunluk,"VKN_UZUNLUK",IF('VERI_A'!$G851&lt;0,"TUTAR_NEGATIF",IF('VERI_A'!$I851="","DONEM_EKSIK",""))))</f>
        <v/>
      </c>
      <c r="D851" s="16">
        <f>IF($C851="","",IF($C851="TARIH_BOS","Belge tarihi zorunlu",IF($C851="VKN_UZUNLUK","VKN 10 hane olmalı",IF($C851="TUTAR_NEGATIF","Toplam negatif olamaz",IF($C851="DONEM_EKSIK","Dönem zorunlu","Elle incele"))))</f>
        <v/>
      </c>
      <c r="E851" s="16">
        <f>IF($C851="","",IF(OR($C851="TUTAR_NEGATIF",$C851="TARIH_BOS"),"YUKSEK","ORTA"))</f>
        <v/>
      </c>
      <c r="F851" s="16">
        <f>IF($C851="","",IF(OR($C851="TARIH_BOS",$C851="VKN_UZUNLUK",$C851="TUTAR_NEGATIF",$C851="DONEM_EKSIK"),$C851,"TANIMSIZ"))</f>
        <v/>
      </c>
      <c r="G851" s="16">
        <f>IF($C851="","",1)</f>
        <v/>
      </c>
    </row>
    <row r="852">
      <c r="A852" s="16">
        <f>IF('VERI_A'!$A852="","",ROW()-ROW(tblVeriA[[#Headers]]))</f>
        <v/>
      </c>
      <c r="B852" s="23">
        <f>IF('VERI_A'!$A852="","",'VERI_A'!$A852)</f>
        <v/>
      </c>
      <c r="C852" s="16">
        <f>IF($B852="","",IF(OR('VERI_A'!$B852="",'VERI_A'!$B852=0),"TARIH_BOS",IF(LEN(TRIM('VERI_A'!$C852&amp;""))&lt;&gt;dbe_vknUzunluk,"VKN_UZUNLUK",IF('VERI_A'!$G852&lt;0,"TUTAR_NEGATIF",IF('VERI_A'!$I852="","DONEM_EKSIK",""))))</f>
        <v/>
      </c>
      <c r="D852" s="16">
        <f>IF($C852="","",IF($C852="TARIH_BOS","Belge tarihi zorunlu",IF($C852="VKN_UZUNLUK","VKN 10 hane olmalı",IF($C852="TUTAR_NEGATIF","Toplam negatif olamaz",IF($C852="DONEM_EKSIK","Dönem zorunlu","Elle incele"))))</f>
        <v/>
      </c>
      <c r="E852" s="16">
        <f>IF($C852="","",IF(OR($C852="TUTAR_NEGATIF",$C852="TARIH_BOS"),"YUKSEK","ORTA"))</f>
        <v/>
      </c>
      <c r="F852" s="16">
        <f>IF($C852="","",IF(OR($C852="TARIH_BOS",$C852="VKN_UZUNLUK",$C852="TUTAR_NEGATIF",$C852="DONEM_EKSIK"),$C852,"TANIMSIZ"))</f>
        <v/>
      </c>
      <c r="G852" s="16">
        <f>IF($C852="","",1)</f>
        <v/>
      </c>
    </row>
    <row r="853">
      <c r="A853" s="16">
        <f>IF('VERI_A'!$A853="","",ROW()-ROW(tblVeriA[[#Headers]]))</f>
        <v/>
      </c>
      <c r="B853" s="23">
        <f>IF('VERI_A'!$A853="","",'VERI_A'!$A853)</f>
        <v/>
      </c>
      <c r="C853" s="16">
        <f>IF($B853="","",IF(OR('VERI_A'!$B853="",'VERI_A'!$B853=0),"TARIH_BOS",IF(LEN(TRIM('VERI_A'!$C853&amp;""))&lt;&gt;dbe_vknUzunluk,"VKN_UZUNLUK",IF('VERI_A'!$G853&lt;0,"TUTAR_NEGATIF",IF('VERI_A'!$I853="","DONEM_EKSIK",""))))</f>
        <v/>
      </c>
      <c r="D853" s="16">
        <f>IF($C853="","",IF($C853="TARIH_BOS","Belge tarihi zorunlu",IF($C853="VKN_UZUNLUK","VKN 10 hane olmalı",IF($C853="TUTAR_NEGATIF","Toplam negatif olamaz",IF($C853="DONEM_EKSIK","Dönem zorunlu","Elle incele"))))</f>
        <v/>
      </c>
      <c r="E853" s="16">
        <f>IF($C853="","",IF(OR($C853="TUTAR_NEGATIF",$C853="TARIH_BOS"),"YUKSEK","ORTA"))</f>
        <v/>
      </c>
      <c r="F853" s="16">
        <f>IF($C853="","",IF(OR($C853="TARIH_BOS",$C853="VKN_UZUNLUK",$C853="TUTAR_NEGATIF",$C853="DONEM_EKSIK"),$C853,"TANIMSIZ"))</f>
        <v/>
      </c>
      <c r="G853" s="16">
        <f>IF($C853="","",1)</f>
        <v/>
      </c>
    </row>
    <row r="854">
      <c r="A854" s="16">
        <f>IF('VERI_A'!$A854="","",ROW()-ROW(tblVeriA[[#Headers]]))</f>
        <v/>
      </c>
      <c r="B854" s="23">
        <f>IF('VERI_A'!$A854="","",'VERI_A'!$A854)</f>
        <v/>
      </c>
      <c r="C854" s="16">
        <f>IF($B854="","",IF(OR('VERI_A'!$B854="",'VERI_A'!$B854=0),"TARIH_BOS",IF(LEN(TRIM('VERI_A'!$C854&amp;""))&lt;&gt;dbe_vknUzunluk,"VKN_UZUNLUK",IF('VERI_A'!$G854&lt;0,"TUTAR_NEGATIF",IF('VERI_A'!$I854="","DONEM_EKSIK",""))))</f>
        <v/>
      </c>
      <c r="D854" s="16">
        <f>IF($C854="","",IF($C854="TARIH_BOS","Belge tarihi zorunlu",IF($C854="VKN_UZUNLUK","VKN 10 hane olmalı",IF($C854="TUTAR_NEGATIF","Toplam negatif olamaz",IF($C854="DONEM_EKSIK","Dönem zorunlu","Elle incele"))))</f>
        <v/>
      </c>
      <c r="E854" s="16">
        <f>IF($C854="","",IF(OR($C854="TUTAR_NEGATIF",$C854="TARIH_BOS"),"YUKSEK","ORTA"))</f>
        <v/>
      </c>
      <c r="F854" s="16">
        <f>IF($C854="","",IF(OR($C854="TARIH_BOS",$C854="VKN_UZUNLUK",$C854="TUTAR_NEGATIF",$C854="DONEM_EKSIK"),$C854,"TANIMSIZ"))</f>
        <v/>
      </c>
      <c r="G854" s="16">
        <f>IF($C854="","",1)</f>
        <v/>
      </c>
    </row>
    <row r="855">
      <c r="A855" s="16">
        <f>IF('VERI_A'!$A855="","",ROW()-ROW(tblVeriA[[#Headers]]))</f>
        <v/>
      </c>
      <c r="B855" s="23">
        <f>IF('VERI_A'!$A855="","",'VERI_A'!$A855)</f>
        <v/>
      </c>
      <c r="C855" s="16">
        <f>IF($B855="","",IF(OR('VERI_A'!$B855="",'VERI_A'!$B855=0),"TARIH_BOS",IF(LEN(TRIM('VERI_A'!$C855&amp;""))&lt;&gt;dbe_vknUzunluk,"VKN_UZUNLUK",IF('VERI_A'!$G855&lt;0,"TUTAR_NEGATIF",IF('VERI_A'!$I855="","DONEM_EKSIK",""))))</f>
        <v/>
      </c>
      <c r="D855" s="16">
        <f>IF($C855="","",IF($C855="TARIH_BOS","Belge tarihi zorunlu",IF($C855="VKN_UZUNLUK","VKN 10 hane olmalı",IF($C855="TUTAR_NEGATIF","Toplam negatif olamaz",IF($C855="DONEM_EKSIK","Dönem zorunlu","Elle incele"))))</f>
        <v/>
      </c>
      <c r="E855" s="16">
        <f>IF($C855="","",IF(OR($C855="TUTAR_NEGATIF",$C855="TARIH_BOS"),"YUKSEK","ORTA"))</f>
        <v/>
      </c>
      <c r="F855" s="16">
        <f>IF($C855="","",IF(OR($C855="TARIH_BOS",$C855="VKN_UZUNLUK",$C855="TUTAR_NEGATIF",$C855="DONEM_EKSIK"),$C855,"TANIMSIZ"))</f>
        <v/>
      </c>
      <c r="G855" s="16">
        <f>IF($C855="","",1)</f>
        <v/>
      </c>
    </row>
    <row r="856">
      <c r="A856" s="16">
        <f>IF('VERI_A'!$A856="","",ROW()-ROW(tblVeriA[[#Headers]]))</f>
        <v/>
      </c>
      <c r="B856" s="23">
        <f>IF('VERI_A'!$A856="","",'VERI_A'!$A856)</f>
        <v/>
      </c>
      <c r="C856" s="16">
        <f>IF($B856="","",IF(OR('VERI_A'!$B856="",'VERI_A'!$B856=0),"TARIH_BOS",IF(LEN(TRIM('VERI_A'!$C856&amp;""))&lt;&gt;dbe_vknUzunluk,"VKN_UZUNLUK",IF('VERI_A'!$G856&lt;0,"TUTAR_NEGATIF",IF('VERI_A'!$I856="","DONEM_EKSIK",""))))</f>
        <v/>
      </c>
      <c r="D856" s="16">
        <f>IF($C856="","",IF($C856="TARIH_BOS","Belge tarihi zorunlu",IF($C856="VKN_UZUNLUK","VKN 10 hane olmalı",IF($C856="TUTAR_NEGATIF","Toplam negatif olamaz",IF($C856="DONEM_EKSIK","Dönem zorunlu","Elle incele"))))</f>
        <v/>
      </c>
      <c r="E856" s="16">
        <f>IF($C856="","",IF(OR($C856="TUTAR_NEGATIF",$C856="TARIH_BOS"),"YUKSEK","ORTA"))</f>
        <v/>
      </c>
      <c r="F856" s="16">
        <f>IF($C856="","",IF(OR($C856="TARIH_BOS",$C856="VKN_UZUNLUK",$C856="TUTAR_NEGATIF",$C856="DONEM_EKSIK"),$C856,"TANIMSIZ"))</f>
        <v/>
      </c>
      <c r="G856" s="16">
        <f>IF($C856="","",1)</f>
        <v/>
      </c>
    </row>
    <row r="857">
      <c r="A857" s="16">
        <f>IF('VERI_A'!$A857="","",ROW()-ROW(tblVeriA[[#Headers]]))</f>
        <v/>
      </c>
      <c r="B857" s="23">
        <f>IF('VERI_A'!$A857="","",'VERI_A'!$A857)</f>
        <v/>
      </c>
      <c r="C857" s="16">
        <f>IF($B857="","",IF(OR('VERI_A'!$B857="",'VERI_A'!$B857=0),"TARIH_BOS",IF(LEN(TRIM('VERI_A'!$C857&amp;""))&lt;&gt;dbe_vknUzunluk,"VKN_UZUNLUK",IF('VERI_A'!$G857&lt;0,"TUTAR_NEGATIF",IF('VERI_A'!$I857="","DONEM_EKSIK",""))))</f>
        <v/>
      </c>
      <c r="D857" s="16">
        <f>IF($C857="","",IF($C857="TARIH_BOS","Belge tarihi zorunlu",IF($C857="VKN_UZUNLUK","VKN 10 hane olmalı",IF($C857="TUTAR_NEGATIF","Toplam negatif olamaz",IF($C857="DONEM_EKSIK","Dönem zorunlu","Elle incele"))))</f>
        <v/>
      </c>
      <c r="E857" s="16">
        <f>IF($C857="","",IF(OR($C857="TUTAR_NEGATIF",$C857="TARIH_BOS"),"YUKSEK","ORTA"))</f>
        <v/>
      </c>
      <c r="F857" s="16">
        <f>IF($C857="","",IF(OR($C857="TARIH_BOS",$C857="VKN_UZUNLUK",$C857="TUTAR_NEGATIF",$C857="DONEM_EKSIK"),$C857,"TANIMSIZ"))</f>
        <v/>
      </c>
      <c r="G857" s="16">
        <f>IF($C857="","",1)</f>
        <v/>
      </c>
    </row>
    <row r="858">
      <c r="A858" s="16">
        <f>IF('VERI_A'!$A858="","",ROW()-ROW(tblVeriA[[#Headers]]))</f>
        <v/>
      </c>
      <c r="B858" s="23">
        <f>IF('VERI_A'!$A858="","",'VERI_A'!$A858)</f>
        <v/>
      </c>
      <c r="C858" s="16">
        <f>IF($B858="","",IF(OR('VERI_A'!$B858="",'VERI_A'!$B858=0),"TARIH_BOS",IF(LEN(TRIM('VERI_A'!$C858&amp;""))&lt;&gt;dbe_vknUzunluk,"VKN_UZUNLUK",IF('VERI_A'!$G858&lt;0,"TUTAR_NEGATIF",IF('VERI_A'!$I858="","DONEM_EKSIK",""))))</f>
        <v/>
      </c>
      <c r="D858" s="16">
        <f>IF($C858="","",IF($C858="TARIH_BOS","Belge tarihi zorunlu",IF($C858="VKN_UZUNLUK","VKN 10 hane olmalı",IF($C858="TUTAR_NEGATIF","Toplam negatif olamaz",IF($C858="DONEM_EKSIK","Dönem zorunlu","Elle incele"))))</f>
        <v/>
      </c>
      <c r="E858" s="16">
        <f>IF($C858="","",IF(OR($C858="TUTAR_NEGATIF",$C858="TARIH_BOS"),"YUKSEK","ORTA"))</f>
        <v/>
      </c>
      <c r="F858" s="16">
        <f>IF($C858="","",IF(OR($C858="TARIH_BOS",$C858="VKN_UZUNLUK",$C858="TUTAR_NEGATIF",$C858="DONEM_EKSIK"),$C858,"TANIMSIZ"))</f>
        <v/>
      </c>
      <c r="G858" s="16">
        <f>IF($C858="","",1)</f>
        <v/>
      </c>
    </row>
    <row r="859">
      <c r="A859" s="16">
        <f>IF('VERI_A'!$A859="","",ROW()-ROW(tblVeriA[[#Headers]]))</f>
        <v/>
      </c>
      <c r="B859" s="23">
        <f>IF('VERI_A'!$A859="","",'VERI_A'!$A859)</f>
        <v/>
      </c>
      <c r="C859" s="16">
        <f>IF($B859="","",IF(OR('VERI_A'!$B859="",'VERI_A'!$B859=0),"TARIH_BOS",IF(LEN(TRIM('VERI_A'!$C859&amp;""))&lt;&gt;dbe_vknUzunluk,"VKN_UZUNLUK",IF('VERI_A'!$G859&lt;0,"TUTAR_NEGATIF",IF('VERI_A'!$I859="","DONEM_EKSIK",""))))</f>
        <v/>
      </c>
      <c r="D859" s="16">
        <f>IF($C859="","",IF($C859="TARIH_BOS","Belge tarihi zorunlu",IF($C859="VKN_UZUNLUK","VKN 10 hane olmalı",IF($C859="TUTAR_NEGATIF","Toplam negatif olamaz",IF($C859="DONEM_EKSIK","Dönem zorunlu","Elle incele"))))</f>
        <v/>
      </c>
      <c r="E859" s="16">
        <f>IF($C859="","",IF(OR($C859="TUTAR_NEGATIF",$C859="TARIH_BOS"),"YUKSEK","ORTA"))</f>
        <v/>
      </c>
      <c r="F859" s="16">
        <f>IF($C859="","",IF(OR($C859="TARIH_BOS",$C859="VKN_UZUNLUK",$C859="TUTAR_NEGATIF",$C859="DONEM_EKSIK"),$C859,"TANIMSIZ"))</f>
        <v/>
      </c>
      <c r="G859" s="16">
        <f>IF($C859="","",1)</f>
        <v/>
      </c>
    </row>
    <row r="860">
      <c r="A860" s="16">
        <f>IF('VERI_A'!$A860="","",ROW()-ROW(tblVeriA[[#Headers]]))</f>
        <v/>
      </c>
      <c r="B860" s="23">
        <f>IF('VERI_A'!$A860="","",'VERI_A'!$A860)</f>
        <v/>
      </c>
      <c r="C860" s="16">
        <f>IF($B860="","",IF(OR('VERI_A'!$B860="",'VERI_A'!$B860=0),"TARIH_BOS",IF(LEN(TRIM('VERI_A'!$C860&amp;""))&lt;&gt;dbe_vknUzunluk,"VKN_UZUNLUK",IF('VERI_A'!$G860&lt;0,"TUTAR_NEGATIF",IF('VERI_A'!$I860="","DONEM_EKSIK",""))))</f>
        <v/>
      </c>
      <c r="D860" s="16">
        <f>IF($C860="","",IF($C860="TARIH_BOS","Belge tarihi zorunlu",IF($C860="VKN_UZUNLUK","VKN 10 hane olmalı",IF($C860="TUTAR_NEGATIF","Toplam negatif olamaz",IF($C860="DONEM_EKSIK","Dönem zorunlu","Elle incele"))))</f>
        <v/>
      </c>
      <c r="E860" s="16">
        <f>IF($C860="","",IF(OR($C860="TUTAR_NEGATIF",$C860="TARIH_BOS"),"YUKSEK","ORTA"))</f>
        <v/>
      </c>
      <c r="F860" s="16">
        <f>IF($C860="","",IF(OR($C860="TARIH_BOS",$C860="VKN_UZUNLUK",$C860="TUTAR_NEGATIF",$C860="DONEM_EKSIK"),$C860,"TANIMSIZ"))</f>
        <v/>
      </c>
      <c r="G860" s="16">
        <f>IF($C860="","",1)</f>
        <v/>
      </c>
    </row>
    <row r="861">
      <c r="A861" s="16">
        <f>IF('VERI_A'!$A861="","",ROW()-ROW(tblVeriA[[#Headers]]))</f>
        <v/>
      </c>
      <c r="B861" s="23">
        <f>IF('VERI_A'!$A861="","",'VERI_A'!$A861)</f>
        <v/>
      </c>
      <c r="C861" s="16">
        <f>IF($B861="","",IF(OR('VERI_A'!$B861="",'VERI_A'!$B861=0),"TARIH_BOS",IF(LEN(TRIM('VERI_A'!$C861&amp;""))&lt;&gt;dbe_vknUzunluk,"VKN_UZUNLUK",IF('VERI_A'!$G861&lt;0,"TUTAR_NEGATIF",IF('VERI_A'!$I861="","DONEM_EKSIK",""))))</f>
        <v/>
      </c>
      <c r="D861" s="16">
        <f>IF($C861="","",IF($C861="TARIH_BOS","Belge tarihi zorunlu",IF($C861="VKN_UZUNLUK","VKN 10 hane olmalı",IF($C861="TUTAR_NEGATIF","Toplam negatif olamaz",IF($C861="DONEM_EKSIK","Dönem zorunlu","Elle incele"))))</f>
        <v/>
      </c>
      <c r="E861" s="16">
        <f>IF($C861="","",IF(OR($C861="TUTAR_NEGATIF",$C861="TARIH_BOS"),"YUKSEK","ORTA"))</f>
        <v/>
      </c>
      <c r="F861" s="16">
        <f>IF($C861="","",IF(OR($C861="TARIH_BOS",$C861="VKN_UZUNLUK",$C861="TUTAR_NEGATIF",$C861="DONEM_EKSIK"),$C861,"TANIMSIZ"))</f>
        <v/>
      </c>
      <c r="G861" s="16">
        <f>IF($C861="","",1)</f>
        <v/>
      </c>
    </row>
    <row r="862">
      <c r="A862" s="16">
        <f>IF('VERI_A'!$A862="","",ROW()-ROW(tblVeriA[[#Headers]]))</f>
        <v/>
      </c>
      <c r="B862" s="23">
        <f>IF('VERI_A'!$A862="","",'VERI_A'!$A862)</f>
        <v/>
      </c>
      <c r="C862" s="16">
        <f>IF($B862="","",IF(OR('VERI_A'!$B862="",'VERI_A'!$B862=0),"TARIH_BOS",IF(LEN(TRIM('VERI_A'!$C862&amp;""))&lt;&gt;dbe_vknUzunluk,"VKN_UZUNLUK",IF('VERI_A'!$G862&lt;0,"TUTAR_NEGATIF",IF('VERI_A'!$I862="","DONEM_EKSIK",""))))</f>
        <v/>
      </c>
      <c r="D862" s="16">
        <f>IF($C862="","",IF($C862="TARIH_BOS","Belge tarihi zorunlu",IF($C862="VKN_UZUNLUK","VKN 10 hane olmalı",IF($C862="TUTAR_NEGATIF","Toplam negatif olamaz",IF($C862="DONEM_EKSIK","Dönem zorunlu","Elle incele"))))</f>
        <v/>
      </c>
      <c r="E862" s="16">
        <f>IF($C862="","",IF(OR($C862="TUTAR_NEGATIF",$C862="TARIH_BOS"),"YUKSEK","ORTA"))</f>
        <v/>
      </c>
      <c r="F862" s="16">
        <f>IF($C862="","",IF(OR($C862="TARIH_BOS",$C862="VKN_UZUNLUK",$C862="TUTAR_NEGATIF",$C862="DONEM_EKSIK"),$C862,"TANIMSIZ"))</f>
        <v/>
      </c>
      <c r="G862" s="16">
        <f>IF($C862="","",1)</f>
        <v/>
      </c>
    </row>
    <row r="863">
      <c r="A863" s="16">
        <f>IF('VERI_A'!$A863="","",ROW()-ROW(tblVeriA[[#Headers]]))</f>
        <v/>
      </c>
      <c r="B863" s="23">
        <f>IF('VERI_A'!$A863="","",'VERI_A'!$A863)</f>
        <v/>
      </c>
      <c r="C863" s="16">
        <f>IF($B863="","",IF(OR('VERI_A'!$B863="",'VERI_A'!$B863=0),"TARIH_BOS",IF(LEN(TRIM('VERI_A'!$C863&amp;""))&lt;&gt;dbe_vknUzunluk,"VKN_UZUNLUK",IF('VERI_A'!$G863&lt;0,"TUTAR_NEGATIF",IF('VERI_A'!$I863="","DONEM_EKSIK",""))))</f>
        <v/>
      </c>
      <c r="D863" s="16">
        <f>IF($C863="","",IF($C863="TARIH_BOS","Belge tarihi zorunlu",IF($C863="VKN_UZUNLUK","VKN 10 hane olmalı",IF($C863="TUTAR_NEGATIF","Toplam negatif olamaz",IF($C863="DONEM_EKSIK","Dönem zorunlu","Elle incele"))))</f>
        <v/>
      </c>
      <c r="E863" s="16">
        <f>IF($C863="","",IF(OR($C863="TUTAR_NEGATIF",$C863="TARIH_BOS"),"YUKSEK","ORTA"))</f>
        <v/>
      </c>
      <c r="F863" s="16">
        <f>IF($C863="","",IF(OR($C863="TARIH_BOS",$C863="VKN_UZUNLUK",$C863="TUTAR_NEGATIF",$C863="DONEM_EKSIK"),$C863,"TANIMSIZ"))</f>
        <v/>
      </c>
      <c r="G863" s="16">
        <f>IF($C863="","",1)</f>
        <v/>
      </c>
    </row>
    <row r="864">
      <c r="A864" s="16">
        <f>IF('VERI_A'!$A864="","",ROW()-ROW(tblVeriA[[#Headers]]))</f>
        <v/>
      </c>
      <c r="B864" s="23">
        <f>IF('VERI_A'!$A864="","",'VERI_A'!$A864)</f>
        <v/>
      </c>
      <c r="C864" s="16">
        <f>IF($B864="","",IF(OR('VERI_A'!$B864="",'VERI_A'!$B864=0),"TARIH_BOS",IF(LEN(TRIM('VERI_A'!$C864&amp;""))&lt;&gt;dbe_vknUzunluk,"VKN_UZUNLUK",IF('VERI_A'!$G864&lt;0,"TUTAR_NEGATIF",IF('VERI_A'!$I864="","DONEM_EKSIK",""))))</f>
        <v/>
      </c>
      <c r="D864" s="16">
        <f>IF($C864="","",IF($C864="TARIH_BOS","Belge tarihi zorunlu",IF($C864="VKN_UZUNLUK","VKN 10 hane olmalı",IF($C864="TUTAR_NEGATIF","Toplam negatif olamaz",IF($C864="DONEM_EKSIK","Dönem zorunlu","Elle incele"))))</f>
        <v/>
      </c>
      <c r="E864" s="16">
        <f>IF($C864="","",IF(OR($C864="TUTAR_NEGATIF",$C864="TARIH_BOS"),"YUKSEK","ORTA"))</f>
        <v/>
      </c>
      <c r="F864" s="16">
        <f>IF($C864="","",IF(OR($C864="TARIH_BOS",$C864="VKN_UZUNLUK",$C864="TUTAR_NEGATIF",$C864="DONEM_EKSIK"),$C864,"TANIMSIZ"))</f>
        <v/>
      </c>
      <c r="G864" s="16">
        <f>IF($C864="","",1)</f>
        <v/>
      </c>
    </row>
    <row r="865">
      <c r="A865" s="16">
        <f>IF('VERI_A'!$A865="","",ROW()-ROW(tblVeriA[[#Headers]]))</f>
        <v/>
      </c>
      <c r="B865" s="23">
        <f>IF('VERI_A'!$A865="","",'VERI_A'!$A865)</f>
        <v/>
      </c>
      <c r="C865" s="16">
        <f>IF($B865="","",IF(OR('VERI_A'!$B865="",'VERI_A'!$B865=0),"TARIH_BOS",IF(LEN(TRIM('VERI_A'!$C865&amp;""))&lt;&gt;dbe_vknUzunluk,"VKN_UZUNLUK",IF('VERI_A'!$G865&lt;0,"TUTAR_NEGATIF",IF('VERI_A'!$I865="","DONEM_EKSIK",""))))</f>
        <v/>
      </c>
      <c r="D865" s="16">
        <f>IF($C865="","",IF($C865="TARIH_BOS","Belge tarihi zorunlu",IF($C865="VKN_UZUNLUK","VKN 10 hane olmalı",IF($C865="TUTAR_NEGATIF","Toplam negatif olamaz",IF($C865="DONEM_EKSIK","Dönem zorunlu","Elle incele"))))</f>
        <v/>
      </c>
      <c r="E865" s="16">
        <f>IF($C865="","",IF(OR($C865="TUTAR_NEGATIF",$C865="TARIH_BOS"),"YUKSEK","ORTA"))</f>
        <v/>
      </c>
      <c r="F865" s="16">
        <f>IF($C865="","",IF(OR($C865="TARIH_BOS",$C865="VKN_UZUNLUK",$C865="TUTAR_NEGATIF",$C865="DONEM_EKSIK"),$C865,"TANIMSIZ"))</f>
        <v/>
      </c>
      <c r="G865" s="16">
        <f>IF($C865="","",1)</f>
        <v/>
      </c>
    </row>
    <row r="866">
      <c r="A866" s="16">
        <f>IF('VERI_A'!$A866="","",ROW()-ROW(tblVeriA[[#Headers]]))</f>
        <v/>
      </c>
      <c r="B866" s="23">
        <f>IF('VERI_A'!$A866="","",'VERI_A'!$A866)</f>
        <v/>
      </c>
      <c r="C866" s="16">
        <f>IF($B866="","",IF(OR('VERI_A'!$B866="",'VERI_A'!$B866=0),"TARIH_BOS",IF(LEN(TRIM('VERI_A'!$C866&amp;""))&lt;&gt;dbe_vknUzunluk,"VKN_UZUNLUK",IF('VERI_A'!$G866&lt;0,"TUTAR_NEGATIF",IF('VERI_A'!$I866="","DONEM_EKSIK",""))))</f>
        <v/>
      </c>
      <c r="D866" s="16">
        <f>IF($C866="","",IF($C866="TARIH_BOS","Belge tarihi zorunlu",IF($C866="VKN_UZUNLUK","VKN 10 hane olmalı",IF($C866="TUTAR_NEGATIF","Toplam negatif olamaz",IF($C866="DONEM_EKSIK","Dönem zorunlu","Elle incele"))))</f>
        <v/>
      </c>
      <c r="E866" s="16">
        <f>IF($C866="","",IF(OR($C866="TUTAR_NEGATIF",$C866="TARIH_BOS"),"YUKSEK","ORTA"))</f>
        <v/>
      </c>
      <c r="F866" s="16">
        <f>IF($C866="","",IF(OR($C866="TARIH_BOS",$C866="VKN_UZUNLUK",$C866="TUTAR_NEGATIF",$C866="DONEM_EKSIK"),$C866,"TANIMSIZ"))</f>
        <v/>
      </c>
      <c r="G866" s="16">
        <f>IF($C866="","",1)</f>
        <v/>
      </c>
    </row>
    <row r="867">
      <c r="A867" s="16">
        <f>IF('VERI_A'!$A867="","",ROW()-ROW(tblVeriA[[#Headers]]))</f>
        <v/>
      </c>
      <c r="B867" s="23">
        <f>IF('VERI_A'!$A867="","",'VERI_A'!$A867)</f>
        <v/>
      </c>
      <c r="C867" s="16">
        <f>IF($B867="","",IF(OR('VERI_A'!$B867="",'VERI_A'!$B867=0),"TARIH_BOS",IF(LEN(TRIM('VERI_A'!$C867&amp;""))&lt;&gt;dbe_vknUzunluk,"VKN_UZUNLUK",IF('VERI_A'!$G867&lt;0,"TUTAR_NEGATIF",IF('VERI_A'!$I867="","DONEM_EKSIK",""))))</f>
        <v/>
      </c>
      <c r="D867" s="16">
        <f>IF($C867="","",IF($C867="TARIH_BOS","Belge tarihi zorunlu",IF($C867="VKN_UZUNLUK","VKN 10 hane olmalı",IF($C867="TUTAR_NEGATIF","Toplam negatif olamaz",IF($C867="DONEM_EKSIK","Dönem zorunlu","Elle incele"))))</f>
        <v/>
      </c>
      <c r="E867" s="16">
        <f>IF($C867="","",IF(OR($C867="TUTAR_NEGATIF",$C867="TARIH_BOS"),"YUKSEK","ORTA"))</f>
        <v/>
      </c>
      <c r="F867" s="16">
        <f>IF($C867="","",IF(OR($C867="TARIH_BOS",$C867="VKN_UZUNLUK",$C867="TUTAR_NEGATIF",$C867="DONEM_EKSIK"),$C867,"TANIMSIZ"))</f>
        <v/>
      </c>
      <c r="G867" s="16">
        <f>IF($C867="","",1)</f>
        <v/>
      </c>
    </row>
    <row r="868">
      <c r="A868" s="16">
        <f>IF('VERI_A'!$A868="","",ROW()-ROW(tblVeriA[[#Headers]]))</f>
        <v/>
      </c>
      <c r="B868" s="23">
        <f>IF('VERI_A'!$A868="","",'VERI_A'!$A868)</f>
        <v/>
      </c>
      <c r="C868" s="16">
        <f>IF($B868="","",IF(OR('VERI_A'!$B868="",'VERI_A'!$B868=0),"TARIH_BOS",IF(LEN(TRIM('VERI_A'!$C868&amp;""))&lt;&gt;dbe_vknUzunluk,"VKN_UZUNLUK",IF('VERI_A'!$G868&lt;0,"TUTAR_NEGATIF",IF('VERI_A'!$I868="","DONEM_EKSIK",""))))</f>
        <v/>
      </c>
      <c r="D868" s="16">
        <f>IF($C868="","",IF($C868="TARIH_BOS","Belge tarihi zorunlu",IF($C868="VKN_UZUNLUK","VKN 10 hane olmalı",IF($C868="TUTAR_NEGATIF","Toplam negatif olamaz",IF($C868="DONEM_EKSIK","Dönem zorunlu","Elle incele"))))</f>
        <v/>
      </c>
      <c r="E868" s="16">
        <f>IF($C868="","",IF(OR($C868="TUTAR_NEGATIF",$C868="TARIH_BOS"),"YUKSEK","ORTA"))</f>
        <v/>
      </c>
      <c r="F868" s="16">
        <f>IF($C868="","",IF(OR($C868="TARIH_BOS",$C868="VKN_UZUNLUK",$C868="TUTAR_NEGATIF",$C868="DONEM_EKSIK"),$C868,"TANIMSIZ"))</f>
        <v/>
      </c>
      <c r="G868" s="16">
        <f>IF($C868="","",1)</f>
        <v/>
      </c>
    </row>
    <row r="869">
      <c r="A869" s="16">
        <f>IF('VERI_A'!$A869="","",ROW()-ROW(tblVeriA[[#Headers]]))</f>
        <v/>
      </c>
      <c r="B869" s="23">
        <f>IF('VERI_A'!$A869="","",'VERI_A'!$A869)</f>
        <v/>
      </c>
      <c r="C869" s="16">
        <f>IF($B869="","",IF(OR('VERI_A'!$B869="",'VERI_A'!$B869=0),"TARIH_BOS",IF(LEN(TRIM('VERI_A'!$C869&amp;""))&lt;&gt;dbe_vknUzunluk,"VKN_UZUNLUK",IF('VERI_A'!$G869&lt;0,"TUTAR_NEGATIF",IF('VERI_A'!$I869="","DONEM_EKSIK",""))))</f>
        <v/>
      </c>
      <c r="D869" s="16">
        <f>IF($C869="","",IF($C869="TARIH_BOS","Belge tarihi zorunlu",IF($C869="VKN_UZUNLUK","VKN 10 hane olmalı",IF($C869="TUTAR_NEGATIF","Toplam negatif olamaz",IF($C869="DONEM_EKSIK","Dönem zorunlu","Elle incele"))))</f>
        <v/>
      </c>
      <c r="E869" s="16">
        <f>IF($C869="","",IF(OR($C869="TUTAR_NEGATIF",$C869="TARIH_BOS"),"YUKSEK","ORTA"))</f>
        <v/>
      </c>
      <c r="F869" s="16">
        <f>IF($C869="","",IF(OR($C869="TARIH_BOS",$C869="VKN_UZUNLUK",$C869="TUTAR_NEGATIF",$C869="DONEM_EKSIK"),$C869,"TANIMSIZ"))</f>
        <v/>
      </c>
      <c r="G869" s="16">
        <f>IF($C869="","",1)</f>
        <v/>
      </c>
    </row>
    <row r="870">
      <c r="A870" s="16">
        <f>IF('VERI_A'!$A870="","",ROW()-ROW(tblVeriA[[#Headers]]))</f>
        <v/>
      </c>
      <c r="B870" s="23">
        <f>IF('VERI_A'!$A870="","",'VERI_A'!$A870)</f>
        <v/>
      </c>
      <c r="C870" s="16">
        <f>IF($B870="","",IF(OR('VERI_A'!$B870="",'VERI_A'!$B870=0),"TARIH_BOS",IF(LEN(TRIM('VERI_A'!$C870&amp;""))&lt;&gt;dbe_vknUzunluk,"VKN_UZUNLUK",IF('VERI_A'!$G870&lt;0,"TUTAR_NEGATIF",IF('VERI_A'!$I870="","DONEM_EKSIK",""))))</f>
        <v/>
      </c>
      <c r="D870" s="16">
        <f>IF($C870="","",IF($C870="TARIH_BOS","Belge tarihi zorunlu",IF($C870="VKN_UZUNLUK","VKN 10 hane olmalı",IF($C870="TUTAR_NEGATIF","Toplam negatif olamaz",IF($C870="DONEM_EKSIK","Dönem zorunlu","Elle incele"))))</f>
        <v/>
      </c>
      <c r="E870" s="16">
        <f>IF($C870="","",IF(OR($C870="TUTAR_NEGATIF",$C870="TARIH_BOS"),"YUKSEK","ORTA"))</f>
        <v/>
      </c>
      <c r="F870" s="16">
        <f>IF($C870="","",IF(OR($C870="TARIH_BOS",$C870="VKN_UZUNLUK",$C870="TUTAR_NEGATIF",$C870="DONEM_EKSIK"),$C870,"TANIMSIZ"))</f>
        <v/>
      </c>
      <c r="G870" s="16">
        <f>IF($C870="","",1)</f>
        <v/>
      </c>
    </row>
    <row r="871">
      <c r="A871" s="16">
        <f>IF('VERI_A'!$A871="","",ROW()-ROW(tblVeriA[[#Headers]]))</f>
        <v/>
      </c>
      <c r="B871" s="23">
        <f>IF('VERI_A'!$A871="","",'VERI_A'!$A871)</f>
        <v/>
      </c>
      <c r="C871" s="16">
        <f>IF($B871="","",IF(OR('VERI_A'!$B871="",'VERI_A'!$B871=0),"TARIH_BOS",IF(LEN(TRIM('VERI_A'!$C871&amp;""))&lt;&gt;dbe_vknUzunluk,"VKN_UZUNLUK",IF('VERI_A'!$G871&lt;0,"TUTAR_NEGATIF",IF('VERI_A'!$I871="","DONEM_EKSIK",""))))</f>
        <v/>
      </c>
      <c r="D871" s="16">
        <f>IF($C871="","",IF($C871="TARIH_BOS","Belge tarihi zorunlu",IF($C871="VKN_UZUNLUK","VKN 10 hane olmalı",IF($C871="TUTAR_NEGATIF","Toplam negatif olamaz",IF($C871="DONEM_EKSIK","Dönem zorunlu","Elle incele"))))</f>
        <v/>
      </c>
      <c r="E871" s="16">
        <f>IF($C871="","",IF(OR($C871="TUTAR_NEGATIF",$C871="TARIH_BOS"),"YUKSEK","ORTA"))</f>
        <v/>
      </c>
      <c r="F871" s="16">
        <f>IF($C871="","",IF(OR($C871="TARIH_BOS",$C871="VKN_UZUNLUK",$C871="TUTAR_NEGATIF",$C871="DONEM_EKSIK"),$C871,"TANIMSIZ"))</f>
        <v/>
      </c>
      <c r="G871" s="16">
        <f>IF($C871="","",1)</f>
        <v/>
      </c>
    </row>
    <row r="872">
      <c r="A872" s="16">
        <f>IF('VERI_A'!$A872="","",ROW()-ROW(tblVeriA[[#Headers]]))</f>
        <v/>
      </c>
      <c r="B872" s="23">
        <f>IF('VERI_A'!$A872="","",'VERI_A'!$A872)</f>
        <v/>
      </c>
      <c r="C872" s="16">
        <f>IF($B872="","",IF(OR('VERI_A'!$B872="",'VERI_A'!$B872=0),"TARIH_BOS",IF(LEN(TRIM('VERI_A'!$C872&amp;""))&lt;&gt;dbe_vknUzunluk,"VKN_UZUNLUK",IF('VERI_A'!$G872&lt;0,"TUTAR_NEGATIF",IF('VERI_A'!$I872="","DONEM_EKSIK",""))))</f>
        <v/>
      </c>
      <c r="D872" s="16">
        <f>IF($C872="","",IF($C872="TARIH_BOS","Belge tarihi zorunlu",IF($C872="VKN_UZUNLUK","VKN 10 hane olmalı",IF($C872="TUTAR_NEGATIF","Toplam negatif olamaz",IF($C872="DONEM_EKSIK","Dönem zorunlu","Elle incele"))))</f>
        <v/>
      </c>
      <c r="E872" s="16">
        <f>IF($C872="","",IF(OR($C872="TUTAR_NEGATIF",$C872="TARIH_BOS"),"YUKSEK","ORTA"))</f>
        <v/>
      </c>
      <c r="F872" s="16">
        <f>IF($C872="","",IF(OR($C872="TARIH_BOS",$C872="VKN_UZUNLUK",$C872="TUTAR_NEGATIF",$C872="DONEM_EKSIK"),$C872,"TANIMSIZ"))</f>
        <v/>
      </c>
      <c r="G872" s="16">
        <f>IF($C872="","",1)</f>
        <v/>
      </c>
    </row>
    <row r="873">
      <c r="A873" s="16">
        <f>IF('VERI_A'!$A873="","",ROW()-ROW(tblVeriA[[#Headers]]))</f>
        <v/>
      </c>
      <c r="B873" s="23">
        <f>IF('VERI_A'!$A873="","",'VERI_A'!$A873)</f>
        <v/>
      </c>
      <c r="C873" s="16">
        <f>IF($B873="","",IF(OR('VERI_A'!$B873="",'VERI_A'!$B873=0),"TARIH_BOS",IF(LEN(TRIM('VERI_A'!$C873&amp;""))&lt;&gt;dbe_vknUzunluk,"VKN_UZUNLUK",IF('VERI_A'!$G873&lt;0,"TUTAR_NEGATIF",IF('VERI_A'!$I873="","DONEM_EKSIK",""))))</f>
        <v/>
      </c>
      <c r="D873" s="16">
        <f>IF($C873="","",IF($C873="TARIH_BOS","Belge tarihi zorunlu",IF($C873="VKN_UZUNLUK","VKN 10 hane olmalı",IF($C873="TUTAR_NEGATIF","Toplam negatif olamaz",IF($C873="DONEM_EKSIK","Dönem zorunlu","Elle incele"))))</f>
        <v/>
      </c>
      <c r="E873" s="16">
        <f>IF($C873="","",IF(OR($C873="TUTAR_NEGATIF",$C873="TARIH_BOS"),"YUKSEK","ORTA"))</f>
        <v/>
      </c>
      <c r="F873" s="16">
        <f>IF($C873="","",IF(OR($C873="TARIH_BOS",$C873="VKN_UZUNLUK",$C873="TUTAR_NEGATIF",$C873="DONEM_EKSIK"),$C873,"TANIMSIZ"))</f>
        <v/>
      </c>
      <c r="G873" s="16">
        <f>IF($C873="","",1)</f>
        <v/>
      </c>
    </row>
    <row r="874">
      <c r="A874" s="16">
        <f>IF('VERI_A'!$A874="","",ROW()-ROW(tblVeriA[[#Headers]]))</f>
        <v/>
      </c>
      <c r="B874" s="23">
        <f>IF('VERI_A'!$A874="","",'VERI_A'!$A874)</f>
        <v/>
      </c>
      <c r="C874" s="16">
        <f>IF($B874="","",IF(OR('VERI_A'!$B874="",'VERI_A'!$B874=0),"TARIH_BOS",IF(LEN(TRIM('VERI_A'!$C874&amp;""))&lt;&gt;dbe_vknUzunluk,"VKN_UZUNLUK",IF('VERI_A'!$G874&lt;0,"TUTAR_NEGATIF",IF('VERI_A'!$I874="","DONEM_EKSIK",""))))</f>
        <v/>
      </c>
      <c r="D874" s="16">
        <f>IF($C874="","",IF($C874="TARIH_BOS","Belge tarihi zorunlu",IF($C874="VKN_UZUNLUK","VKN 10 hane olmalı",IF($C874="TUTAR_NEGATIF","Toplam negatif olamaz",IF($C874="DONEM_EKSIK","Dönem zorunlu","Elle incele"))))</f>
        <v/>
      </c>
      <c r="E874" s="16">
        <f>IF($C874="","",IF(OR($C874="TUTAR_NEGATIF",$C874="TARIH_BOS"),"YUKSEK","ORTA"))</f>
        <v/>
      </c>
      <c r="F874" s="16">
        <f>IF($C874="","",IF(OR($C874="TARIH_BOS",$C874="VKN_UZUNLUK",$C874="TUTAR_NEGATIF",$C874="DONEM_EKSIK"),$C874,"TANIMSIZ"))</f>
        <v/>
      </c>
      <c r="G874" s="16">
        <f>IF($C874="","",1)</f>
        <v/>
      </c>
    </row>
    <row r="875">
      <c r="A875" s="16">
        <f>IF('VERI_A'!$A875="","",ROW()-ROW(tblVeriA[[#Headers]]))</f>
        <v/>
      </c>
      <c r="B875" s="23">
        <f>IF('VERI_A'!$A875="","",'VERI_A'!$A875)</f>
        <v/>
      </c>
      <c r="C875" s="16">
        <f>IF($B875="","",IF(OR('VERI_A'!$B875="",'VERI_A'!$B875=0),"TARIH_BOS",IF(LEN(TRIM('VERI_A'!$C875&amp;""))&lt;&gt;dbe_vknUzunluk,"VKN_UZUNLUK",IF('VERI_A'!$G875&lt;0,"TUTAR_NEGATIF",IF('VERI_A'!$I875="","DONEM_EKSIK",""))))</f>
        <v/>
      </c>
      <c r="D875" s="16">
        <f>IF($C875="","",IF($C875="TARIH_BOS","Belge tarihi zorunlu",IF($C875="VKN_UZUNLUK","VKN 10 hane olmalı",IF($C875="TUTAR_NEGATIF","Toplam negatif olamaz",IF($C875="DONEM_EKSIK","Dönem zorunlu","Elle incele"))))</f>
        <v/>
      </c>
      <c r="E875" s="16">
        <f>IF($C875="","",IF(OR($C875="TUTAR_NEGATIF",$C875="TARIH_BOS"),"YUKSEK","ORTA"))</f>
        <v/>
      </c>
      <c r="F875" s="16">
        <f>IF($C875="","",IF(OR($C875="TARIH_BOS",$C875="VKN_UZUNLUK",$C875="TUTAR_NEGATIF",$C875="DONEM_EKSIK"),$C875,"TANIMSIZ"))</f>
        <v/>
      </c>
      <c r="G875" s="16">
        <f>IF($C875="","",1)</f>
        <v/>
      </c>
    </row>
    <row r="876">
      <c r="A876" s="16">
        <f>IF('VERI_A'!$A876="","",ROW()-ROW(tblVeriA[[#Headers]]))</f>
        <v/>
      </c>
      <c r="B876" s="23">
        <f>IF('VERI_A'!$A876="","",'VERI_A'!$A876)</f>
        <v/>
      </c>
      <c r="C876" s="16">
        <f>IF($B876="","",IF(OR('VERI_A'!$B876="",'VERI_A'!$B876=0),"TARIH_BOS",IF(LEN(TRIM('VERI_A'!$C876&amp;""))&lt;&gt;dbe_vknUzunluk,"VKN_UZUNLUK",IF('VERI_A'!$G876&lt;0,"TUTAR_NEGATIF",IF('VERI_A'!$I876="","DONEM_EKSIK",""))))</f>
        <v/>
      </c>
      <c r="D876" s="16">
        <f>IF($C876="","",IF($C876="TARIH_BOS","Belge tarihi zorunlu",IF($C876="VKN_UZUNLUK","VKN 10 hane olmalı",IF($C876="TUTAR_NEGATIF","Toplam negatif olamaz",IF($C876="DONEM_EKSIK","Dönem zorunlu","Elle incele"))))</f>
        <v/>
      </c>
      <c r="E876" s="16">
        <f>IF($C876="","",IF(OR($C876="TUTAR_NEGATIF",$C876="TARIH_BOS"),"YUKSEK","ORTA"))</f>
        <v/>
      </c>
      <c r="F876" s="16">
        <f>IF($C876="","",IF(OR($C876="TARIH_BOS",$C876="VKN_UZUNLUK",$C876="TUTAR_NEGATIF",$C876="DONEM_EKSIK"),$C876,"TANIMSIZ"))</f>
        <v/>
      </c>
      <c r="G876" s="16">
        <f>IF($C876="","",1)</f>
        <v/>
      </c>
    </row>
    <row r="877">
      <c r="A877" s="16">
        <f>IF('VERI_A'!$A877="","",ROW()-ROW(tblVeriA[[#Headers]]))</f>
        <v/>
      </c>
      <c r="B877" s="23">
        <f>IF('VERI_A'!$A877="","",'VERI_A'!$A877)</f>
        <v/>
      </c>
      <c r="C877" s="16">
        <f>IF($B877="","",IF(OR('VERI_A'!$B877="",'VERI_A'!$B877=0),"TARIH_BOS",IF(LEN(TRIM('VERI_A'!$C877&amp;""))&lt;&gt;dbe_vknUzunluk,"VKN_UZUNLUK",IF('VERI_A'!$G877&lt;0,"TUTAR_NEGATIF",IF('VERI_A'!$I877="","DONEM_EKSIK",""))))</f>
        <v/>
      </c>
      <c r="D877" s="16">
        <f>IF($C877="","",IF($C877="TARIH_BOS","Belge tarihi zorunlu",IF($C877="VKN_UZUNLUK","VKN 10 hane olmalı",IF($C877="TUTAR_NEGATIF","Toplam negatif olamaz",IF($C877="DONEM_EKSIK","Dönem zorunlu","Elle incele"))))</f>
        <v/>
      </c>
      <c r="E877" s="16">
        <f>IF($C877="","",IF(OR($C877="TUTAR_NEGATIF",$C877="TARIH_BOS"),"YUKSEK","ORTA"))</f>
        <v/>
      </c>
      <c r="F877" s="16">
        <f>IF($C877="","",IF(OR($C877="TARIH_BOS",$C877="VKN_UZUNLUK",$C877="TUTAR_NEGATIF",$C877="DONEM_EKSIK"),$C877,"TANIMSIZ"))</f>
        <v/>
      </c>
      <c r="G877" s="16">
        <f>IF($C877="","",1)</f>
        <v/>
      </c>
    </row>
    <row r="878">
      <c r="A878" s="16">
        <f>IF('VERI_A'!$A878="","",ROW()-ROW(tblVeriA[[#Headers]]))</f>
        <v/>
      </c>
      <c r="B878" s="23">
        <f>IF('VERI_A'!$A878="","",'VERI_A'!$A878)</f>
        <v/>
      </c>
      <c r="C878" s="16">
        <f>IF($B878="","",IF(OR('VERI_A'!$B878="",'VERI_A'!$B878=0),"TARIH_BOS",IF(LEN(TRIM('VERI_A'!$C878&amp;""))&lt;&gt;dbe_vknUzunluk,"VKN_UZUNLUK",IF('VERI_A'!$G878&lt;0,"TUTAR_NEGATIF",IF('VERI_A'!$I878="","DONEM_EKSIK",""))))</f>
        <v/>
      </c>
      <c r="D878" s="16">
        <f>IF($C878="","",IF($C878="TARIH_BOS","Belge tarihi zorunlu",IF($C878="VKN_UZUNLUK","VKN 10 hane olmalı",IF($C878="TUTAR_NEGATIF","Toplam negatif olamaz",IF($C878="DONEM_EKSIK","Dönem zorunlu","Elle incele"))))</f>
        <v/>
      </c>
      <c r="E878" s="16">
        <f>IF($C878="","",IF(OR($C878="TUTAR_NEGATIF",$C878="TARIH_BOS"),"YUKSEK","ORTA"))</f>
        <v/>
      </c>
      <c r="F878" s="16">
        <f>IF($C878="","",IF(OR($C878="TARIH_BOS",$C878="VKN_UZUNLUK",$C878="TUTAR_NEGATIF",$C878="DONEM_EKSIK"),$C878,"TANIMSIZ"))</f>
        <v/>
      </c>
      <c r="G878" s="16">
        <f>IF($C878="","",1)</f>
        <v/>
      </c>
    </row>
    <row r="879">
      <c r="A879" s="16">
        <f>IF('VERI_A'!$A879="","",ROW()-ROW(tblVeriA[[#Headers]]))</f>
        <v/>
      </c>
      <c r="B879" s="23">
        <f>IF('VERI_A'!$A879="","",'VERI_A'!$A879)</f>
        <v/>
      </c>
      <c r="C879" s="16">
        <f>IF($B879="","",IF(OR('VERI_A'!$B879="",'VERI_A'!$B879=0),"TARIH_BOS",IF(LEN(TRIM('VERI_A'!$C879&amp;""))&lt;&gt;dbe_vknUzunluk,"VKN_UZUNLUK",IF('VERI_A'!$G879&lt;0,"TUTAR_NEGATIF",IF('VERI_A'!$I879="","DONEM_EKSIK",""))))</f>
        <v/>
      </c>
      <c r="D879" s="16">
        <f>IF($C879="","",IF($C879="TARIH_BOS","Belge tarihi zorunlu",IF($C879="VKN_UZUNLUK","VKN 10 hane olmalı",IF($C879="TUTAR_NEGATIF","Toplam negatif olamaz",IF($C879="DONEM_EKSIK","Dönem zorunlu","Elle incele"))))</f>
        <v/>
      </c>
      <c r="E879" s="16">
        <f>IF($C879="","",IF(OR($C879="TUTAR_NEGATIF",$C879="TARIH_BOS"),"YUKSEK","ORTA"))</f>
        <v/>
      </c>
      <c r="F879" s="16">
        <f>IF($C879="","",IF(OR($C879="TARIH_BOS",$C879="VKN_UZUNLUK",$C879="TUTAR_NEGATIF",$C879="DONEM_EKSIK"),$C879,"TANIMSIZ"))</f>
        <v/>
      </c>
      <c r="G879" s="16">
        <f>IF($C879="","",1)</f>
        <v/>
      </c>
    </row>
    <row r="880">
      <c r="A880" s="16">
        <f>IF('VERI_A'!$A880="","",ROW()-ROW(tblVeriA[[#Headers]]))</f>
        <v/>
      </c>
      <c r="B880" s="23">
        <f>IF('VERI_A'!$A880="","",'VERI_A'!$A880)</f>
        <v/>
      </c>
      <c r="C880" s="16">
        <f>IF($B880="","",IF(OR('VERI_A'!$B880="",'VERI_A'!$B880=0),"TARIH_BOS",IF(LEN(TRIM('VERI_A'!$C880&amp;""))&lt;&gt;dbe_vknUzunluk,"VKN_UZUNLUK",IF('VERI_A'!$G880&lt;0,"TUTAR_NEGATIF",IF('VERI_A'!$I880="","DONEM_EKSIK",""))))</f>
        <v/>
      </c>
      <c r="D880" s="16">
        <f>IF($C880="","",IF($C880="TARIH_BOS","Belge tarihi zorunlu",IF($C880="VKN_UZUNLUK","VKN 10 hane olmalı",IF($C880="TUTAR_NEGATIF","Toplam negatif olamaz",IF($C880="DONEM_EKSIK","Dönem zorunlu","Elle incele"))))</f>
        <v/>
      </c>
      <c r="E880" s="16">
        <f>IF($C880="","",IF(OR($C880="TUTAR_NEGATIF",$C880="TARIH_BOS"),"YUKSEK","ORTA"))</f>
        <v/>
      </c>
      <c r="F880" s="16">
        <f>IF($C880="","",IF(OR($C880="TARIH_BOS",$C880="VKN_UZUNLUK",$C880="TUTAR_NEGATIF",$C880="DONEM_EKSIK"),$C880,"TANIMSIZ"))</f>
        <v/>
      </c>
      <c r="G880" s="16">
        <f>IF($C880="","",1)</f>
        <v/>
      </c>
    </row>
    <row r="881">
      <c r="A881" s="16">
        <f>IF('VERI_A'!$A881="","",ROW()-ROW(tblVeriA[[#Headers]]))</f>
        <v/>
      </c>
      <c r="B881" s="23">
        <f>IF('VERI_A'!$A881="","",'VERI_A'!$A881)</f>
        <v/>
      </c>
      <c r="C881" s="16">
        <f>IF($B881="","",IF(OR('VERI_A'!$B881="",'VERI_A'!$B881=0),"TARIH_BOS",IF(LEN(TRIM('VERI_A'!$C881&amp;""))&lt;&gt;dbe_vknUzunluk,"VKN_UZUNLUK",IF('VERI_A'!$G881&lt;0,"TUTAR_NEGATIF",IF('VERI_A'!$I881="","DONEM_EKSIK",""))))</f>
        <v/>
      </c>
      <c r="D881" s="16">
        <f>IF($C881="","",IF($C881="TARIH_BOS","Belge tarihi zorunlu",IF($C881="VKN_UZUNLUK","VKN 10 hane olmalı",IF($C881="TUTAR_NEGATIF","Toplam negatif olamaz",IF($C881="DONEM_EKSIK","Dönem zorunlu","Elle incele"))))</f>
        <v/>
      </c>
      <c r="E881" s="16">
        <f>IF($C881="","",IF(OR($C881="TUTAR_NEGATIF",$C881="TARIH_BOS"),"YUKSEK","ORTA"))</f>
        <v/>
      </c>
      <c r="F881" s="16">
        <f>IF($C881="","",IF(OR($C881="TARIH_BOS",$C881="VKN_UZUNLUK",$C881="TUTAR_NEGATIF",$C881="DONEM_EKSIK"),$C881,"TANIMSIZ"))</f>
        <v/>
      </c>
      <c r="G881" s="16">
        <f>IF($C881="","",1)</f>
        <v/>
      </c>
    </row>
    <row r="882">
      <c r="A882" s="16">
        <f>IF('VERI_A'!$A882="","",ROW()-ROW(tblVeriA[[#Headers]]))</f>
        <v/>
      </c>
      <c r="B882" s="23">
        <f>IF('VERI_A'!$A882="","",'VERI_A'!$A882)</f>
        <v/>
      </c>
      <c r="C882" s="16">
        <f>IF($B882="","",IF(OR('VERI_A'!$B882="",'VERI_A'!$B882=0),"TARIH_BOS",IF(LEN(TRIM('VERI_A'!$C882&amp;""))&lt;&gt;dbe_vknUzunluk,"VKN_UZUNLUK",IF('VERI_A'!$G882&lt;0,"TUTAR_NEGATIF",IF('VERI_A'!$I882="","DONEM_EKSIK",""))))</f>
        <v/>
      </c>
      <c r="D882" s="16">
        <f>IF($C882="","",IF($C882="TARIH_BOS","Belge tarihi zorunlu",IF($C882="VKN_UZUNLUK","VKN 10 hane olmalı",IF($C882="TUTAR_NEGATIF","Toplam negatif olamaz",IF($C882="DONEM_EKSIK","Dönem zorunlu","Elle incele"))))</f>
        <v/>
      </c>
      <c r="E882" s="16">
        <f>IF($C882="","",IF(OR($C882="TUTAR_NEGATIF",$C882="TARIH_BOS"),"YUKSEK","ORTA"))</f>
        <v/>
      </c>
      <c r="F882" s="16">
        <f>IF($C882="","",IF(OR($C882="TARIH_BOS",$C882="VKN_UZUNLUK",$C882="TUTAR_NEGATIF",$C882="DONEM_EKSIK"),$C882,"TANIMSIZ"))</f>
        <v/>
      </c>
      <c r="G882" s="16">
        <f>IF($C882="","",1)</f>
        <v/>
      </c>
    </row>
    <row r="883">
      <c r="A883" s="16">
        <f>IF('VERI_A'!$A883="","",ROW()-ROW(tblVeriA[[#Headers]]))</f>
        <v/>
      </c>
      <c r="B883" s="23">
        <f>IF('VERI_A'!$A883="","",'VERI_A'!$A883)</f>
        <v/>
      </c>
      <c r="C883" s="16">
        <f>IF($B883="","",IF(OR('VERI_A'!$B883="",'VERI_A'!$B883=0),"TARIH_BOS",IF(LEN(TRIM('VERI_A'!$C883&amp;""))&lt;&gt;dbe_vknUzunluk,"VKN_UZUNLUK",IF('VERI_A'!$G883&lt;0,"TUTAR_NEGATIF",IF('VERI_A'!$I883="","DONEM_EKSIK",""))))</f>
        <v/>
      </c>
      <c r="D883" s="16">
        <f>IF($C883="","",IF($C883="TARIH_BOS","Belge tarihi zorunlu",IF($C883="VKN_UZUNLUK","VKN 10 hane olmalı",IF($C883="TUTAR_NEGATIF","Toplam negatif olamaz",IF($C883="DONEM_EKSIK","Dönem zorunlu","Elle incele"))))</f>
        <v/>
      </c>
      <c r="E883" s="16">
        <f>IF($C883="","",IF(OR($C883="TUTAR_NEGATIF",$C883="TARIH_BOS"),"YUKSEK","ORTA"))</f>
        <v/>
      </c>
      <c r="F883" s="16">
        <f>IF($C883="","",IF(OR($C883="TARIH_BOS",$C883="VKN_UZUNLUK",$C883="TUTAR_NEGATIF",$C883="DONEM_EKSIK"),$C883,"TANIMSIZ"))</f>
        <v/>
      </c>
      <c r="G883" s="16">
        <f>IF($C883="","",1)</f>
        <v/>
      </c>
    </row>
    <row r="884">
      <c r="A884" s="16">
        <f>IF('VERI_A'!$A884="","",ROW()-ROW(tblVeriA[[#Headers]]))</f>
        <v/>
      </c>
      <c r="B884" s="23">
        <f>IF('VERI_A'!$A884="","",'VERI_A'!$A884)</f>
        <v/>
      </c>
      <c r="C884" s="16">
        <f>IF($B884="","",IF(OR('VERI_A'!$B884="",'VERI_A'!$B884=0),"TARIH_BOS",IF(LEN(TRIM('VERI_A'!$C884&amp;""))&lt;&gt;dbe_vknUzunluk,"VKN_UZUNLUK",IF('VERI_A'!$G884&lt;0,"TUTAR_NEGATIF",IF('VERI_A'!$I884="","DONEM_EKSIK",""))))</f>
        <v/>
      </c>
      <c r="D884" s="16">
        <f>IF($C884="","",IF($C884="TARIH_BOS","Belge tarihi zorunlu",IF($C884="VKN_UZUNLUK","VKN 10 hane olmalı",IF($C884="TUTAR_NEGATIF","Toplam negatif olamaz",IF($C884="DONEM_EKSIK","Dönem zorunlu","Elle incele"))))</f>
        <v/>
      </c>
      <c r="E884" s="16">
        <f>IF($C884="","",IF(OR($C884="TUTAR_NEGATIF",$C884="TARIH_BOS"),"YUKSEK","ORTA"))</f>
        <v/>
      </c>
      <c r="F884" s="16">
        <f>IF($C884="","",IF(OR($C884="TARIH_BOS",$C884="VKN_UZUNLUK",$C884="TUTAR_NEGATIF",$C884="DONEM_EKSIK"),$C884,"TANIMSIZ"))</f>
        <v/>
      </c>
      <c r="G884" s="16">
        <f>IF($C884="","",1)</f>
        <v/>
      </c>
    </row>
    <row r="885">
      <c r="A885" s="16">
        <f>IF('VERI_A'!$A885="","",ROW()-ROW(tblVeriA[[#Headers]]))</f>
        <v/>
      </c>
      <c r="B885" s="23">
        <f>IF('VERI_A'!$A885="","",'VERI_A'!$A885)</f>
        <v/>
      </c>
      <c r="C885" s="16">
        <f>IF($B885="","",IF(OR('VERI_A'!$B885="",'VERI_A'!$B885=0),"TARIH_BOS",IF(LEN(TRIM('VERI_A'!$C885&amp;""))&lt;&gt;dbe_vknUzunluk,"VKN_UZUNLUK",IF('VERI_A'!$G885&lt;0,"TUTAR_NEGATIF",IF('VERI_A'!$I885="","DONEM_EKSIK",""))))</f>
        <v/>
      </c>
      <c r="D885" s="16">
        <f>IF($C885="","",IF($C885="TARIH_BOS","Belge tarihi zorunlu",IF($C885="VKN_UZUNLUK","VKN 10 hane olmalı",IF($C885="TUTAR_NEGATIF","Toplam negatif olamaz",IF($C885="DONEM_EKSIK","Dönem zorunlu","Elle incele"))))</f>
        <v/>
      </c>
      <c r="E885" s="16">
        <f>IF($C885="","",IF(OR($C885="TUTAR_NEGATIF",$C885="TARIH_BOS"),"YUKSEK","ORTA"))</f>
        <v/>
      </c>
      <c r="F885" s="16">
        <f>IF($C885="","",IF(OR($C885="TARIH_BOS",$C885="VKN_UZUNLUK",$C885="TUTAR_NEGATIF",$C885="DONEM_EKSIK"),$C885,"TANIMSIZ"))</f>
        <v/>
      </c>
      <c r="G885" s="16">
        <f>IF($C885="","",1)</f>
        <v/>
      </c>
    </row>
    <row r="886">
      <c r="A886" s="16">
        <f>IF('VERI_A'!$A886="","",ROW()-ROW(tblVeriA[[#Headers]]))</f>
        <v/>
      </c>
      <c r="B886" s="23">
        <f>IF('VERI_A'!$A886="","",'VERI_A'!$A886)</f>
        <v/>
      </c>
      <c r="C886" s="16">
        <f>IF($B886="","",IF(OR('VERI_A'!$B886="",'VERI_A'!$B886=0),"TARIH_BOS",IF(LEN(TRIM('VERI_A'!$C886&amp;""))&lt;&gt;dbe_vknUzunluk,"VKN_UZUNLUK",IF('VERI_A'!$G886&lt;0,"TUTAR_NEGATIF",IF('VERI_A'!$I886="","DONEM_EKSIK",""))))</f>
        <v/>
      </c>
      <c r="D886" s="16">
        <f>IF($C886="","",IF($C886="TARIH_BOS","Belge tarihi zorunlu",IF($C886="VKN_UZUNLUK","VKN 10 hane olmalı",IF($C886="TUTAR_NEGATIF","Toplam negatif olamaz",IF($C886="DONEM_EKSIK","Dönem zorunlu","Elle incele"))))</f>
        <v/>
      </c>
      <c r="E886" s="16">
        <f>IF($C886="","",IF(OR($C886="TUTAR_NEGATIF",$C886="TARIH_BOS"),"YUKSEK","ORTA"))</f>
        <v/>
      </c>
      <c r="F886" s="16">
        <f>IF($C886="","",IF(OR($C886="TARIH_BOS",$C886="VKN_UZUNLUK",$C886="TUTAR_NEGATIF",$C886="DONEM_EKSIK"),$C886,"TANIMSIZ"))</f>
        <v/>
      </c>
      <c r="G886" s="16">
        <f>IF($C886="","",1)</f>
        <v/>
      </c>
    </row>
    <row r="887">
      <c r="A887" s="16">
        <f>IF('VERI_A'!$A887="","",ROW()-ROW(tblVeriA[[#Headers]]))</f>
        <v/>
      </c>
      <c r="B887" s="23">
        <f>IF('VERI_A'!$A887="","",'VERI_A'!$A887)</f>
        <v/>
      </c>
      <c r="C887" s="16">
        <f>IF($B887="","",IF(OR('VERI_A'!$B887="",'VERI_A'!$B887=0),"TARIH_BOS",IF(LEN(TRIM('VERI_A'!$C887&amp;""))&lt;&gt;dbe_vknUzunluk,"VKN_UZUNLUK",IF('VERI_A'!$G887&lt;0,"TUTAR_NEGATIF",IF('VERI_A'!$I887="","DONEM_EKSIK",""))))</f>
        <v/>
      </c>
      <c r="D887" s="16">
        <f>IF($C887="","",IF($C887="TARIH_BOS","Belge tarihi zorunlu",IF($C887="VKN_UZUNLUK","VKN 10 hane olmalı",IF($C887="TUTAR_NEGATIF","Toplam negatif olamaz",IF($C887="DONEM_EKSIK","Dönem zorunlu","Elle incele"))))</f>
        <v/>
      </c>
      <c r="E887" s="16">
        <f>IF($C887="","",IF(OR($C887="TUTAR_NEGATIF",$C887="TARIH_BOS"),"YUKSEK","ORTA"))</f>
        <v/>
      </c>
      <c r="F887" s="16">
        <f>IF($C887="","",IF(OR($C887="TARIH_BOS",$C887="VKN_UZUNLUK",$C887="TUTAR_NEGATIF",$C887="DONEM_EKSIK"),$C887,"TANIMSIZ"))</f>
        <v/>
      </c>
      <c r="G887" s="16">
        <f>IF($C887="","",1)</f>
        <v/>
      </c>
    </row>
    <row r="888">
      <c r="A888" s="16">
        <f>IF('VERI_A'!$A888="","",ROW()-ROW(tblVeriA[[#Headers]]))</f>
        <v/>
      </c>
      <c r="B888" s="23">
        <f>IF('VERI_A'!$A888="","",'VERI_A'!$A888)</f>
        <v/>
      </c>
      <c r="C888" s="16">
        <f>IF($B888="","",IF(OR('VERI_A'!$B888="",'VERI_A'!$B888=0),"TARIH_BOS",IF(LEN(TRIM('VERI_A'!$C888&amp;""))&lt;&gt;dbe_vknUzunluk,"VKN_UZUNLUK",IF('VERI_A'!$G888&lt;0,"TUTAR_NEGATIF",IF('VERI_A'!$I888="","DONEM_EKSIK",""))))</f>
        <v/>
      </c>
      <c r="D888" s="16">
        <f>IF($C888="","",IF($C888="TARIH_BOS","Belge tarihi zorunlu",IF($C888="VKN_UZUNLUK","VKN 10 hane olmalı",IF($C888="TUTAR_NEGATIF","Toplam negatif olamaz",IF($C888="DONEM_EKSIK","Dönem zorunlu","Elle incele"))))</f>
        <v/>
      </c>
      <c r="E888" s="16">
        <f>IF($C888="","",IF(OR($C888="TUTAR_NEGATIF",$C888="TARIH_BOS"),"YUKSEK","ORTA"))</f>
        <v/>
      </c>
      <c r="F888" s="16">
        <f>IF($C888="","",IF(OR($C888="TARIH_BOS",$C888="VKN_UZUNLUK",$C888="TUTAR_NEGATIF",$C888="DONEM_EKSIK"),$C888,"TANIMSIZ"))</f>
        <v/>
      </c>
      <c r="G888" s="16">
        <f>IF($C888="","",1)</f>
        <v/>
      </c>
    </row>
    <row r="889">
      <c r="A889" s="16">
        <f>IF('VERI_A'!$A889="","",ROW()-ROW(tblVeriA[[#Headers]]))</f>
        <v/>
      </c>
      <c r="B889" s="23">
        <f>IF('VERI_A'!$A889="","",'VERI_A'!$A889)</f>
        <v/>
      </c>
      <c r="C889" s="16">
        <f>IF($B889="","",IF(OR('VERI_A'!$B889="",'VERI_A'!$B889=0),"TARIH_BOS",IF(LEN(TRIM('VERI_A'!$C889&amp;""))&lt;&gt;dbe_vknUzunluk,"VKN_UZUNLUK",IF('VERI_A'!$G889&lt;0,"TUTAR_NEGATIF",IF('VERI_A'!$I889="","DONEM_EKSIK",""))))</f>
        <v/>
      </c>
      <c r="D889" s="16">
        <f>IF($C889="","",IF($C889="TARIH_BOS","Belge tarihi zorunlu",IF($C889="VKN_UZUNLUK","VKN 10 hane olmalı",IF($C889="TUTAR_NEGATIF","Toplam negatif olamaz",IF($C889="DONEM_EKSIK","Dönem zorunlu","Elle incele"))))</f>
        <v/>
      </c>
      <c r="E889" s="16">
        <f>IF($C889="","",IF(OR($C889="TUTAR_NEGATIF",$C889="TARIH_BOS"),"YUKSEK","ORTA"))</f>
        <v/>
      </c>
      <c r="F889" s="16">
        <f>IF($C889="","",IF(OR($C889="TARIH_BOS",$C889="VKN_UZUNLUK",$C889="TUTAR_NEGATIF",$C889="DONEM_EKSIK"),$C889,"TANIMSIZ"))</f>
        <v/>
      </c>
      <c r="G889" s="16">
        <f>IF($C889="","",1)</f>
        <v/>
      </c>
    </row>
    <row r="890">
      <c r="A890" s="16">
        <f>IF('VERI_A'!$A890="","",ROW()-ROW(tblVeriA[[#Headers]]))</f>
        <v/>
      </c>
      <c r="B890" s="23">
        <f>IF('VERI_A'!$A890="","",'VERI_A'!$A890)</f>
        <v/>
      </c>
      <c r="C890" s="16">
        <f>IF($B890="","",IF(OR('VERI_A'!$B890="",'VERI_A'!$B890=0),"TARIH_BOS",IF(LEN(TRIM('VERI_A'!$C890&amp;""))&lt;&gt;dbe_vknUzunluk,"VKN_UZUNLUK",IF('VERI_A'!$G890&lt;0,"TUTAR_NEGATIF",IF('VERI_A'!$I890="","DONEM_EKSIK",""))))</f>
        <v/>
      </c>
      <c r="D890" s="16">
        <f>IF($C890="","",IF($C890="TARIH_BOS","Belge tarihi zorunlu",IF($C890="VKN_UZUNLUK","VKN 10 hane olmalı",IF($C890="TUTAR_NEGATIF","Toplam negatif olamaz",IF($C890="DONEM_EKSIK","Dönem zorunlu","Elle incele"))))</f>
        <v/>
      </c>
      <c r="E890" s="16">
        <f>IF($C890="","",IF(OR($C890="TUTAR_NEGATIF",$C890="TARIH_BOS"),"YUKSEK","ORTA"))</f>
        <v/>
      </c>
      <c r="F890" s="16">
        <f>IF($C890="","",IF(OR($C890="TARIH_BOS",$C890="VKN_UZUNLUK",$C890="TUTAR_NEGATIF",$C890="DONEM_EKSIK"),$C890,"TANIMSIZ"))</f>
        <v/>
      </c>
      <c r="G890" s="16">
        <f>IF($C890="","",1)</f>
        <v/>
      </c>
    </row>
    <row r="891">
      <c r="A891" s="16">
        <f>IF('VERI_A'!$A891="","",ROW()-ROW(tblVeriA[[#Headers]]))</f>
        <v/>
      </c>
      <c r="B891" s="23">
        <f>IF('VERI_A'!$A891="","",'VERI_A'!$A891)</f>
        <v/>
      </c>
      <c r="C891" s="16">
        <f>IF($B891="","",IF(OR('VERI_A'!$B891="",'VERI_A'!$B891=0),"TARIH_BOS",IF(LEN(TRIM('VERI_A'!$C891&amp;""))&lt;&gt;dbe_vknUzunluk,"VKN_UZUNLUK",IF('VERI_A'!$G891&lt;0,"TUTAR_NEGATIF",IF('VERI_A'!$I891="","DONEM_EKSIK",""))))</f>
        <v/>
      </c>
      <c r="D891" s="16">
        <f>IF($C891="","",IF($C891="TARIH_BOS","Belge tarihi zorunlu",IF($C891="VKN_UZUNLUK","VKN 10 hane olmalı",IF($C891="TUTAR_NEGATIF","Toplam negatif olamaz",IF($C891="DONEM_EKSIK","Dönem zorunlu","Elle incele"))))</f>
        <v/>
      </c>
      <c r="E891" s="16">
        <f>IF($C891="","",IF(OR($C891="TUTAR_NEGATIF",$C891="TARIH_BOS"),"YUKSEK","ORTA"))</f>
        <v/>
      </c>
      <c r="F891" s="16">
        <f>IF($C891="","",IF(OR($C891="TARIH_BOS",$C891="VKN_UZUNLUK",$C891="TUTAR_NEGATIF",$C891="DONEM_EKSIK"),$C891,"TANIMSIZ"))</f>
        <v/>
      </c>
      <c r="G891" s="16">
        <f>IF($C891="","",1)</f>
        <v/>
      </c>
    </row>
    <row r="892">
      <c r="A892" s="16">
        <f>IF('VERI_A'!$A892="","",ROW()-ROW(tblVeriA[[#Headers]]))</f>
        <v/>
      </c>
      <c r="B892" s="23">
        <f>IF('VERI_A'!$A892="","",'VERI_A'!$A892)</f>
        <v/>
      </c>
      <c r="C892" s="16">
        <f>IF($B892="","",IF(OR('VERI_A'!$B892="",'VERI_A'!$B892=0),"TARIH_BOS",IF(LEN(TRIM('VERI_A'!$C892&amp;""))&lt;&gt;dbe_vknUzunluk,"VKN_UZUNLUK",IF('VERI_A'!$G892&lt;0,"TUTAR_NEGATIF",IF('VERI_A'!$I892="","DONEM_EKSIK",""))))</f>
        <v/>
      </c>
      <c r="D892" s="16">
        <f>IF($C892="","",IF($C892="TARIH_BOS","Belge tarihi zorunlu",IF($C892="VKN_UZUNLUK","VKN 10 hane olmalı",IF($C892="TUTAR_NEGATIF","Toplam negatif olamaz",IF($C892="DONEM_EKSIK","Dönem zorunlu","Elle incele"))))</f>
        <v/>
      </c>
      <c r="E892" s="16">
        <f>IF($C892="","",IF(OR($C892="TUTAR_NEGATIF",$C892="TARIH_BOS"),"YUKSEK","ORTA"))</f>
        <v/>
      </c>
      <c r="F892" s="16">
        <f>IF($C892="","",IF(OR($C892="TARIH_BOS",$C892="VKN_UZUNLUK",$C892="TUTAR_NEGATIF",$C892="DONEM_EKSIK"),$C892,"TANIMSIZ"))</f>
        <v/>
      </c>
      <c r="G892" s="16">
        <f>IF($C892="","",1)</f>
        <v/>
      </c>
    </row>
    <row r="893">
      <c r="A893" s="16">
        <f>IF('VERI_A'!$A893="","",ROW()-ROW(tblVeriA[[#Headers]]))</f>
        <v/>
      </c>
      <c r="B893" s="23">
        <f>IF('VERI_A'!$A893="","",'VERI_A'!$A893)</f>
        <v/>
      </c>
      <c r="C893" s="16">
        <f>IF($B893="","",IF(OR('VERI_A'!$B893="",'VERI_A'!$B893=0),"TARIH_BOS",IF(LEN(TRIM('VERI_A'!$C893&amp;""))&lt;&gt;dbe_vknUzunluk,"VKN_UZUNLUK",IF('VERI_A'!$G893&lt;0,"TUTAR_NEGATIF",IF('VERI_A'!$I893="","DONEM_EKSIK",""))))</f>
        <v/>
      </c>
      <c r="D893" s="16">
        <f>IF($C893="","",IF($C893="TARIH_BOS","Belge tarihi zorunlu",IF($C893="VKN_UZUNLUK","VKN 10 hane olmalı",IF($C893="TUTAR_NEGATIF","Toplam negatif olamaz",IF($C893="DONEM_EKSIK","Dönem zorunlu","Elle incele"))))</f>
        <v/>
      </c>
      <c r="E893" s="16">
        <f>IF($C893="","",IF(OR($C893="TUTAR_NEGATIF",$C893="TARIH_BOS"),"YUKSEK","ORTA"))</f>
        <v/>
      </c>
      <c r="F893" s="16">
        <f>IF($C893="","",IF(OR($C893="TARIH_BOS",$C893="VKN_UZUNLUK",$C893="TUTAR_NEGATIF",$C893="DONEM_EKSIK"),$C893,"TANIMSIZ"))</f>
        <v/>
      </c>
      <c r="G893" s="16">
        <f>IF($C893="","",1)</f>
        <v/>
      </c>
    </row>
    <row r="894">
      <c r="A894" s="16">
        <f>IF('VERI_A'!$A894="","",ROW()-ROW(tblVeriA[[#Headers]]))</f>
        <v/>
      </c>
      <c r="B894" s="23">
        <f>IF('VERI_A'!$A894="","",'VERI_A'!$A894)</f>
        <v/>
      </c>
      <c r="C894" s="16">
        <f>IF($B894="","",IF(OR('VERI_A'!$B894="",'VERI_A'!$B894=0),"TARIH_BOS",IF(LEN(TRIM('VERI_A'!$C894&amp;""))&lt;&gt;dbe_vknUzunluk,"VKN_UZUNLUK",IF('VERI_A'!$G894&lt;0,"TUTAR_NEGATIF",IF('VERI_A'!$I894="","DONEM_EKSIK",""))))</f>
        <v/>
      </c>
      <c r="D894" s="16">
        <f>IF($C894="","",IF($C894="TARIH_BOS","Belge tarihi zorunlu",IF($C894="VKN_UZUNLUK","VKN 10 hane olmalı",IF($C894="TUTAR_NEGATIF","Toplam negatif olamaz",IF($C894="DONEM_EKSIK","Dönem zorunlu","Elle incele"))))</f>
        <v/>
      </c>
      <c r="E894" s="16">
        <f>IF($C894="","",IF(OR($C894="TUTAR_NEGATIF",$C894="TARIH_BOS"),"YUKSEK","ORTA"))</f>
        <v/>
      </c>
      <c r="F894" s="16">
        <f>IF($C894="","",IF(OR($C894="TARIH_BOS",$C894="VKN_UZUNLUK",$C894="TUTAR_NEGATIF",$C894="DONEM_EKSIK"),$C894,"TANIMSIZ"))</f>
        <v/>
      </c>
      <c r="G894" s="16">
        <f>IF($C894="","",1)</f>
        <v/>
      </c>
    </row>
    <row r="895">
      <c r="A895" s="16">
        <f>IF('VERI_A'!$A895="","",ROW()-ROW(tblVeriA[[#Headers]]))</f>
        <v/>
      </c>
      <c r="B895" s="23">
        <f>IF('VERI_A'!$A895="","",'VERI_A'!$A895)</f>
        <v/>
      </c>
      <c r="C895" s="16">
        <f>IF($B895="","",IF(OR('VERI_A'!$B895="",'VERI_A'!$B895=0),"TARIH_BOS",IF(LEN(TRIM('VERI_A'!$C895&amp;""))&lt;&gt;dbe_vknUzunluk,"VKN_UZUNLUK",IF('VERI_A'!$G895&lt;0,"TUTAR_NEGATIF",IF('VERI_A'!$I895="","DONEM_EKSIK",""))))</f>
        <v/>
      </c>
      <c r="D895" s="16">
        <f>IF($C895="","",IF($C895="TARIH_BOS","Belge tarihi zorunlu",IF($C895="VKN_UZUNLUK","VKN 10 hane olmalı",IF($C895="TUTAR_NEGATIF","Toplam negatif olamaz",IF($C895="DONEM_EKSIK","Dönem zorunlu","Elle incele"))))</f>
        <v/>
      </c>
      <c r="E895" s="16">
        <f>IF($C895="","",IF(OR($C895="TUTAR_NEGATIF",$C895="TARIH_BOS"),"YUKSEK","ORTA"))</f>
        <v/>
      </c>
      <c r="F895" s="16">
        <f>IF($C895="","",IF(OR($C895="TARIH_BOS",$C895="VKN_UZUNLUK",$C895="TUTAR_NEGATIF",$C895="DONEM_EKSIK"),$C895,"TANIMSIZ"))</f>
        <v/>
      </c>
      <c r="G895" s="16">
        <f>IF($C895="","",1)</f>
        <v/>
      </c>
    </row>
    <row r="896">
      <c r="A896" s="16">
        <f>IF('VERI_A'!$A896="","",ROW()-ROW(tblVeriA[[#Headers]]))</f>
        <v/>
      </c>
      <c r="B896" s="23">
        <f>IF('VERI_A'!$A896="","",'VERI_A'!$A896)</f>
        <v/>
      </c>
      <c r="C896" s="16">
        <f>IF($B896="","",IF(OR('VERI_A'!$B896="",'VERI_A'!$B896=0),"TARIH_BOS",IF(LEN(TRIM('VERI_A'!$C896&amp;""))&lt;&gt;dbe_vknUzunluk,"VKN_UZUNLUK",IF('VERI_A'!$G896&lt;0,"TUTAR_NEGATIF",IF('VERI_A'!$I896="","DONEM_EKSIK",""))))</f>
        <v/>
      </c>
      <c r="D896" s="16">
        <f>IF($C896="","",IF($C896="TARIH_BOS","Belge tarihi zorunlu",IF($C896="VKN_UZUNLUK","VKN 10 hane olmalı",IF($C896="TUTAR_NEGATIF","Toplam negatif olamaz",IF($C896="DONEM_EKSIK","Dönem zorunlu","Elle incele"))))</f>
        <v/>
      </c>
      <c r="E896" s="16">
        <f>IF($C896="","",IF(OR($C896="TUTAR_NEGATIF",$C896="TARIH_BOS"),"YUKSEK","ORTA"))</f>
        <v/>
      </c>
      <c r="F896" s="16">
        <f>IF($C896="","",IF(OR($C896="TARIH_BOS",$C896="VKN_UZUNLUK",$C896="TUTAR_NEGATIF",$C896="DONEM_EKSIK"),$C896,"TANIMSIZ"))</f>
        <v/>
      </c>
      <c r="G896" s="16">
        <f>IF($C896="","",1)</f>
        <v/>
      </c>
    </row>
    <row r="897">
      <c r="A897" s="16">
        <f>IF('VERI_A'!$A897="","",ROW()-ROW(tblVeriA[[#Headers]]))</f>
        <v/>
      </c>
      <c r="B897" s="23">
        <f>IF('VERI_A'!$A897="","",'VERI_A'!$A897)</f>
        <v/>
      </c>
      <c r="C897" s="16">
        <f>IF($B897="","",IF(OR('VERI_A'!$B897="",'VERI_A'!$B897=0),"TARIH_BOS",IF(LEN(TRIM('VERI_A'!$C897&amp;""))&lt;&gt;dbe_vknUzunluk,"VKN_UZUNLUK",IF('VERI_A'!$G897&lt;0,"TUTAR_NEGATIF",IF('VERI_A'!$I897="","DONEM_EKSIK",""))))</f>
        <v/>
      </c>
      <c r="D897" s="16">
        <f>IF($C897="","",IF($C897="TARIH_BOS","Belge tarihi zorunlu",IF($C897="VKN_UZUNLUK","VKN 10 hane olmalı",IF($C897="TUTAR_NEGATIF","Toplam negatif olamaz",IF($C897="DONEM_EKSIK","Dönem zorunlu","Elle incele"))))</f>
        <v/>
      </c>
      <c r="E897" s="16">
        <f>IF($C897="","",IF(OR($C897="TUTAR_NEGATIF",$C897="TARIH_BOS"),"YUKSEK","ORTA"))</f>
        <v/>
      </c>
      <c r="F897" s="16">
        <f>IF($C897="","",IF(OR($C897="TARIH_BOS",$C897="VKN_UZUNLUK",$C897="TUTAR_NEGATIF",$C897="DONEM_EKSIK"),$C897,"TANIMSIZ"))</f>
        <v/>
      </c>
      <c r="G897" s="16">
        <f>IF($C897="","",1)</f>
        <v/>
      </c>
    </row>
    <row r="898">
      <c r="A898" s="16">
        <f>IF('VERI_A'!$A898="","",ROW()-ROW(tblVeriA[[#Headers]]))</f>
        <v/>
      </c>
      <c r="B898" s="23">
        <f>IF('VERI_A'!$A898="","",'VERI_A'!$A898)</f>
        <v/>
      </c>
      <c r="C898" s="16">
        <f>IF($B898="","",IF(OR('VERI_A'!$B898="",'VERI_A'!$B898=0),"TARIH_BOS",IF(LEN(TRIM('VERI_A'!$C898&amp;""))&lt;&gt;dbe_vknUzunluk,"VKN_UZUNLUK",IF('VERI_A'!$G898&lt;0,"TUTAR_NEGATIF",IF('VERI_A'!$I898="","DONEM_EKSIK",""))))</f>
        <v/>
      </c>
      <c r="D898" s="16">
        <f>IF($C898="","",IF($C898="TARIH_BOS","Belge tarihi zorunlu",IF($C898="VKN_UZUNLUK","VKN 10 hane olmalı",IF($C898="TUTAR_NEGATIF","Toplam negatif olamaz",IF($C898="DONEM_EKSIK","Dönem zorunlu","Elle incele"))))</f>
        <v/>
      </c>
      <c r="E898" s="16">
        <f>IF($C898="","",IF(OR($C898="TUTAR_NEGATIF",$C898="TARIH_BOS"),"YUKSEK","ORTA"))</f>
        <v/>
      </c>
      <c r="F898" s="16">
        <f>IF($C898="","",IF(OR($C898="TARIH_BOS",$C898="VKN_UZUNLUK",$C898="TUTAR_NEGATIF",$C898="DONEM_EKSIK"),$C898,"TANIMSIZ"))</f>
        <v/>
      </c>
      <c r="G898" s="16">
        <f>IF($C898="","",1)</f>
        <v/>
      </c>
    </row>
    <row r="899">
      <c r="A899" s="16">
        <f>IF('VERI_A'!$A899="","",ROW()-ROW(tblVeriA[[#Headers]]))</f>
        <v/>
      </c>
      <c r="B899" s="23">
        <f>IF('VERI_A'!$A899="","",'VERI_A'!$A899)</f>
        <v/>
      </c>
      <c r="C899" s="16">
        <f>IF($B899="","",IF(OR('VERI_A'!$B899="",'VERI_A'!$B899=0),"TARIH_BOS",IF(LEN(TRIM('VERI_A'!$C899&amp;""))&lt;&gt;dbe_vknUzunluk,"VKN_UZUNLUK",IF('VERI_A'!$G899&lt;0,"TUTAR_NEGATIF",IF('VERI_A'!$I899="","DONEM_EKSIK",""))))</f>
        <v/>
      </c>
      <c r="D899" s="16">
        <f>IF($C899="","",IF($C899="TARIH_BOS","Belge tarihi zorunlu",IF($C899="VKN_UZUNLUK","VKN 10 hane olmalı",IF($C899="TUTAR_NEGATIF","Toplam negatif olamaz",IF($C899="DONEM_EKSIK","Dönem zorunlu","Elle incele"))))</f>
        <v/>
      </c>
      <c r="E899" s="16">
        <f>IF($C899="","",IF(OR($C899="TUTAR_NEGATIF",$C899="TARIH_BOS"),"YUKSEK","ORTA"))</f>
        <v/>
      </c>
      <c r="F899" s="16">
        <f>IF($C899="","",IF(OR($C899="TARIH_BOS",$C899="VKN_UZUNLUK",$C899="TUTAR_NEGATIF",$C899="DONEM_EKSIK"),$C899,"TANIMSIZ"))</f>
        <v/>
      </c>
      <c r="G899" s="16">
        <f>IF($C899="","",1)</f>
        <v/>
      </c>
    </row>
    <row r="900">
      <c r="A900" s="16">
        <f>IF('VERI_A'!$A900="","",ROW()-ROW(tblVeriA[[#Headers]]))</f>
        <v/>
      </c>
      <c r="B900" s="23">
        <f>IF('VERI_A'!$A900="","",'VERI_A'!$A900)</f>
        <v/>
      </c>
      <c r="C900" s="16">
        <f>IF($B900="","",IF(OR('VERI_A'!$B900="",'VERI_A'!$B900=0),"TARIH_BOS",IF(LEN(TRIM('VERI_A'!$C900&amp;""))&lt;&gt;dbe_vknUzunluk,"VKN_UZUNLUK",IF('VERI_A'!$G900&lt;0,"TUTAR_NEGATIF",IF('VERI_A'!$I900="","DONEM_EKSIK",""))))</f>
        <v/>
      </c>
      <c r="D900" s="16">
        <f>IF($C900="","",IF($C900="TARIH_BOS","Belge tarihi zorunlu",IF($C900="VKN_UZUNLUK","VKN 10 hane olmalı",IF($C900="TUTAR_NEGATIF","Toplam negatif olamaz",IF($C900="DONEM_EKSIK","Dönem zorunlu","Elle incele"))))</f>
        <v/>
      </c>
      <c r="E900" s="16">
        <f>IF($C900="","",IF(OR($C900="TUTAR_NEGATIF",$C900="TARIH_BOS"),"YUKSEK","ORTA"))</f>
        <v/>
      </c>
      <c r="F900" s="16">
        <f>IF($C900="","",IF(OR($C900="TARIH_BOS",$C900="VKN_UZUNLUK",$C900="TUTAR_NEGATIF",$C900="DONEM_EKSIK"),$C900,"TANIMSIZ"))</f>
        <v/>
      </c>
      <c r="G900" s="16">
        <f>IF($C900="","",1)</f>
        <v/>
      </c>
    </row>
    <row r="901">
      <c r="A901" s="16">
        <f>IF('VERI_A'!$A901="","",ROW()-ROW(tblVeriA[[#Headers]]))</f>
        <v/>
      </c>
      <c r="B901" s="23">
        <f>IF('VERI_A'!$A901="","",'VERI_A'!$A901)</f>
        <v/>
      </c>
      <c r="C901" s="16">
        <f>IF($B901="","",IF(OR('VERI_A'!$B901="",'VERI_A'!$B901=0),"TARIH_BOS",IF(LEN(TRIM('VERI_A'!$C901&amp;""))&lt;&gt;dbe_vknUzunluk,"VKN_UZUNLUK",IF('VERI_A'!$G901&lt;0,"TUTAR_NEGATIF",IF('VERI_A'!$I901="","DONEM_EKSIK",""))))</f>
        <v/>
      </c>
      <c r="D901" s="16">
        <f>IF($C901="","",IF($C901="TARIH_BOS","Belge tarihi zorunlu",IF($C901="VKN_UZUNLUK","VKN 10 hane olmalı",IF($C901="TUTAR_NEGATIF","Toplam negatif olamaz",IF($C901="DONEM_EKSIK","Dönem zorunlu","Elle incele"))))</f>
        <v/>
      </c>
      <c r="E901" s="16">
        <f>IF($C901="","",IF(OR($C901="TUTAR_NEGATIF",$C901="TARIH_BOS"),"YUKSEK","ORTA"))</f>
        <v/>
      </c>
      <c r="F901" s="16">
        <f>IF($C901="","",IF(OR($C901="TARIH_BOS",$C901="VKN_UZUNLUK",$C901="TUTAR_NEGATIF",$C901="DONEM_EKSIK"),$C901,"TANIMSIZ"))</f>
        <v/>
      </c>
      <c r="G901" s="16">
        <f>IF($C901="","",1)</f>
        <v/>
      </c>
    </row>
    <row r="902">
      <c r="A902" s="16">
        <f>IF('VERI_A'!$A902="","",ROW()-ROW(tblVeriA[[#Headers]]))</f>
        <v/>
      </c>
      <c r="B902" s="23">
        <f>IF('VERI_A'!$A902="","",'VERI_A'!$A902)</f>
        <v/>
      </c>
      <c r="C902" s="16">
        <f>IF($B902="","",IF(OR('VERI_A'!$B902="",'VERI_A'!$B902=0),"TARIH_BOS",IF(LEN(TRIM('VERI_A'!$C902&amp;""))&lt;&gt;dbe_vknUzunluk,"VKN_UZUNLUK",IF('VERI_A'!$G902&lt;0,"TUTAR_NEGATIF",IF('VERI_A'!$I902="","DONEM_EKSIK",""))))</f>
        <v/>
      </c>
      <c r="D902" s="16">
        <f>IF($C902="","",IF($C902="TARIH_BOS","Belge tarihi zorunlu",IF($C902="VKN_UZUNLUK","VKN 10 hane olmalı",IF($C902="TUTAR_NEGATIF","Toplam negatif olamaz",IF($C902="DONEM_EKSIK","Dönem zorunlu","Elle incele"))))</f>
        <v/>
      </c>
      <c r="E902" s="16">
        <f>IF($C902="","",IF(OR($C902="TUTAR_NEGATIF",$C902="TARIH_BOS"),"YUKSEK","ORTA"))</f>
        <v/>
      </c>
      <c r="F902" s="16">
        <f>IF($C902="","",IF(OR($C902="TARIH_BOS",$C902="VKN_UZUNLUK",$C902="TUTAR_NEGATIF",$C902="DONEM_EKSIK"),$C902,"TANIMSIZ"))</f>
        <v/>
      </c>
      <c r="G902" s="16">
        <f>IF($C902="","",1)</f>
        <v/>
      </c>
    </row>
    <row r="903">
      <c r="A903" s="16">
        <f>IF('VERI_A'!$A903="","",ROW()-ROW(tblVeriA[[#Headers]]))</f>
        <v/>
      </c>
      <c r="B903" s="23">
        <f>IF('VERI_A'!$A903="","",'VERI_A'!$A903)</f>
        <v/>
      </c>
      <c r="C903" s="16">
        <f>IF($B903="","",IF(OR('VERI_A'!$B903="",'VERI_A'!$B903=0),"TARIH_BOS",IF(LEN(TRIM('VERI_A'!$C903&amp;""))&lt;&gt;dbe_vknUzunluk,"VKN_UZUNLUK",IF('VERI_A'!$G903&lt;0,"TUTAR_NEGATIF",IF('VERI_A'!$I903="","DONEM_EKSIK",""))))</f>
        <v/>
      </c>
      <c r="D903" s="16">
        <f>IF($C903="","",IF($C903="TARIH_BOS","Belge tarihi zorunlu",IF($C903="VKN_UZUNLUK","VKN 10 hane olmalı",IF($C903="TUTAR_NEGATIF","Toplam negatif olamaz",IF($C903="DONEM_EKSIK","Dönem zorunlu","Elle incele"))))</f>
        <v/>
      </c>
      <c r="E903" s="16">
        <f>IF($C903="","",IF(OR($C903="TUTAR_NEGATIF",$C903="TARIH_BOS"),"YUKSEK","ORTA"))</f>
        <v/>
      </c>
      <c r="F903" s="16">
        <f>IF($C903="","",IF(OR($C903="TARIH_BOS",$C903="VKN_UZUNLUK",$C903="TUTAR_NEGATIF",$C903="DONEM_EKSIK"),$C903,"TANIMSIZ"))</f>
        <v/>
      </c>
      <c r="G903" s="16">
        <f>IF($C903="","",1)</f>
        <v/>
      </c>
    </row>
    <row r="904">
      <c r="A904" s="16">
        <f>IF('VERI_A'!$A904="","",ROW()-ROW(tblVeriA[[#Headers]]))</f>
        <v/>
      </c>
      <c r="B904" s="23">
        <f>IF('VERI_A'!$A904="","",'VERI_A'!$A904)</f>
        <v/>
      </c>
      <c r="C904" s="16">
        <f>IF($B904="","",IF(OR('VERI_A'!$B904="",'VERI_A'!$B904=0),"TARIH_BOS",IF(LEN(TRIM('VERI_A'!$C904&amp;""))&lt;&gt;dbe_vknUzunluk,"VKN_UZUNLUK",IF('VERI_A'!$G904&lt;0,"TUTAR_NEGATIF",IF('VERI_A'!$I904="","DONEM_EKSIK",""))))</f>
        <v/>
      </c>
      <c r="D904" s="16">
        <f>IF($C904="","",IF($C904="TARIH_BOS","Belge tarihi zorunlu",IF($C904="VKN_UZUNLUK","VKN 10 hane olmalı",IF($C904="TUTAR_NEGATIF","Toplam negatif olamaz",IF($C904="DONEM_EKSIK","Dönem zorunlu","Elle incele"))))</f>
        <v/>
      </c>
      <c r="E904" s="16">
        <f>IF($C904="","",IF(OR($C904="TUTAR_NEGATIF",$C904="TARIH_BOS"),"YUKSEK","ORTA"))</f>
        <v/>
      </c>
      <c r="F904" s="16">
        <f>IF($C904="","",IF(OR($C904="TARIH_BOS",$C904="VKN_UZUNLUK",$C904="TUTAR_NEGATIF",$C904="DONEM_EKSIK"),$C904,"TANIMSIZ"))</f>
        <v/>
      </c>
      <c r="G904" s="16">
        <f>IF($C904="","",1)</f>
        <v/>
      </c>
    </row>
    <row r="905">
      <c r="A905" s="16">
        <f>IF('VERI_A'!$A905="","",ROW()-ROW(tblVeriA[[#Headers]]))</f>
        <v/>
      </c>
      <c r="B905" s="23">
        <f>IF('VERI_A'!$A905="","",'VERI_A'!$A905)</f>
        <v/>
      </c>
      <c r="C905" s="16">
        <f>IF($B905="","",IF(OR('VERI_A'!$B905="",'VERI_A'!$B905=0),"TARIH_BOS",IF(LEN(TRIM('VERI_A'!$C905&amp;""))&lt;&gt;dbe_vknUzunluk,"VKN_UZUNLUK",IF('VERI_A'!$G905&lt;0,"TUTAR_NEGATIF",IF('VERI_A'!$I905="","DONEM_EKSIK",""))))</f>
        <v/>
      </c>
      <c r="D905" s="16">
        <f>IF($C905="","",IF($C905="TARIH_BOS","Belge tarihi zorunlu",IF($C905="VKN_UZUNLUK","VKN 10 hane olmalı",IF($C905="TUTAR_NEGATIF","Toplam negatif olamaz",IF($C905="DONEM_EKSIK","Dönem zorunlu","Elle incele"))))</f>
        <v/>
      </c>
      <c r="E905" s="16">
        <f>IF($C905="","",IF(OR($C905="TUTAR_NEGATIF",$C905="TARIH_BOS"),"YUKSEK","ORTA"))</f>
        <v/>
      </c>
      <c r="F905" s="16">
        <f>IF($C905="","",IF(OR($C905="TARIH_BOS",$C905="VKN_UZUNLUK",$C905="TUTAR_NEGATIF",$C905="DONEM_EKSIK"),$C905,"TANIMSIZ"))</f>
        <v/>
      </c>
      <c r="G905" s="16">
        <f>IF($C905="","",1)</f>
        <v/>
      </c>
    </row>
    <row r="906">
      <c r="A906" s="16">
        <f>IF('VERI_A'!$A906="","",ROW()-ROW(tblVeriA[[#Headers]]))</f>
        <v/>
      </c>
      <c r="B906" s="23">
        <f>IF('VERI_A'!$A906="","",'VERI_A'!$A906)</f>
        <v/>
      </c>
      <c r="C906" s="16">
        <f>IF($B906="","",IF(OR('VERI_A'!$B906="",'VERI_A'!$B906=0),"TARIH_BOS",IF(LEN(TRIM('VERI_A'!$C906&amp;""))&lt;&gt;dbe_vknUzunluk,"VKN_UZUNLUK",IF('VERI_A'!$G906&lt;0,"TUTAR_NEGATIF",IF('VERI_A'!$I906="","DONEM_EKSIK",""))))</f>
        <v/>
      </c>
      <c r="D906" s="16">
        <f>IF($C906="","",IF($C906="TARIH_BOS","Belge tarihi zorunlu",IF($C906="VKN_UZUNLUK","VKN 10 hane olmalı",IF($C906="TUTAR_NEGATIF","Toplam negatif olamaz",IF($C906="DONEM_EKSIK","Dönem zorunlu","Elle incele"))))</f>
        <v/>
      </c>
      <c r="E906" s="16">
        <f>IF($C906="","",IF(OR($C906="TUTAR_NEGATIF",$C906="TARIH_BOS"),"YUKSEK","ORTA"))</f>
        <v/>
      </c>
      <c r="F906" s="16">
        <f>IF($C906="","",IF(OR($C906="TARIH_BOS",$C906="VKN_UZUNLUK",$C906="TUTAR_NEGATIF",$C906="DONEM_EKSIK"),$C906,"TANIMSIZ"))</f>
        <v/>
      </c>
      <c r="G906" s="16">
        <f>IF($C906="","",1)</f>
        <v/>
      </c>
    </row>
    <row r="907">
      <c r="A907" s="16">
        <f>IF('VERI_A'!$A907="","",ROW()-ROW(tblVeriA[[#Headers]]))</f>
        <v/>
      </c>
      <c r="B907" s="23">
        <f>IF('VERI_A'!$A907="","",'VERI_A'!$A907)</f>
        <v/>
      </c>
      <c r="C907" s="16">
        <f>IF($B907="","",IF(OR('VERI_A'!$B907="",'VERI_A'!$B907=0),"TARIH_BOS",IF(LEN(TRIM('VERI_A'!$C907&amp;""))&lt;&gt;dbe_vknUzunluk,"VKN_UZUNLUK",IF('VERI_A'!$G907&lt;0,"TUTAR_NEGATIF",IF('VERI_A'!$I907="","DONEM_EKSIK",""))))</f>
        <v/>
      </c>
      <c r="D907" s="16">
        <f>IF($C907="","",IF($C907="TARIH_BOS","Belge tarihi zorunlu",IF($C907="VKN_UZUNLUK","VKN 10 hane olmalı",IF($C907="TUTAR_NEGATIF","Toplam negatif olamaz",IF($C907="DONEM_EKSIK","Dönem zorunlu","Elle incele"))))</f>
        <v/>
      </c>
      <c r="E907" s="16">
        <f>IF($C907="","",IF(OR($C907="TUTAR_NEGATIF",$C907="TARIH_BOS"),"YUKSEK","ORTA"))</f>
        <v/>
      </c>
      <c r="F907" s="16">
        <f>IF($C907="","",IF(OR($C907="TARIH_BOS",$C907="VKN_UZUNLUK",$C907="TUTAR_NEGATIF",$C907="DONEM_EKSIK"),$C907,"TANIMSIZ"))</f>
        <v/>
      </c>
      <c r="G907" s="16">
        <f>IF($C907="","",1)</f>
        <v/>
      </c>
    </row>
    <row r="908">
      <c r="A908" s="16">
        <f>IF('VERI_A'!$A908="","",ROW()-ROW(tblVeriA[[#Headers]]))</f>
        <v/>
      </c>
      <c r="B908" s="23">
        <f>IF('VERI_A'!$A908="","",'VERI_A'!$A908)</f>
        <v/>
      </c>
      <c r="C908" s="16">
        <f>IF($B908="","",IF(OR('VERI_A'!$B908="",'VERI_A'!$B908=0),"TARIH_BOS",IF(LEN(TRIM('VERI_A'!$C908&amp;""))&lt;&gt;dbe_vknUzunluk,"VKN_UZUNLUK",IF('VERI_A'!$G908&lt;0,"TUTAR_NEGATIF",IF('VERI_A'!$I908="","DONEM_EKSIK",""))))</f>
        <v/>
      </c>
      <c r="D908" s="16">
        <f>IF($C908="","",IF($C908="TARIH_BOS","Belge tarihi zorunlu",IF($C908="VKN_UZUNLUK","VKN 10 hane olmalı",IF($C908="TUTAR_NEGATIF","Toplam negatif olamaz",IF($C908="DONEM_EKSIK","Dönem zorunlu","Elle incele"))))</f>
        <v/>
      </c>
      <c r="E908" s="16">
        <f>IF($C908="","",IF(OR($C908="TUTAR_NEGATIF",$C908="TARIH_BOS"),"YUKSEK","ORTA"))</f>
        <v/>
      </c>
      <c r="F908" s="16">
        <f>IF($C908="","",IF(OR($C908="TARIH_BOS",$C908="VKN_UZUNLUK",$C908="TUTAR_NEGATIF",$C908="DONEM_EKSIK"),$C908,"TANIMSIZ"))</f>
        <v/>
      </c>
      <c r="G908" s="16">
        <f>IF($C908="","",1)</f>
        <v/>
      </c>
    </row>
    <row r="909">
      <c r="A909" s="16">
        <f>IF('VERI_A'!$A909="","",ROW()-ROW(tblVeriA[[#Headers]]))</f>
        <v/>
      </c>
      <c r="B909" s="23">
        <f>IF('VERI_A'!$A909="","",'VERI_A'!$A909)</f>
        <v/>
      </c>
      <c r="C909" s="16">
        <f>IF($B909="","",IF(OR('VERI_A'!$B909="",'VERI_A'!$B909=0),"TARIH_BOS",IF(LEN(TRIM('VERI_A'!$C909&amp;""))&lt;&gt;dbe_vknUzunluk,"VKN_UZUNLUK",IF('VERI_A'!$G909&lt;0,"TUTAR_NEGATIF",IF('VERI_A'!$I909="","DONEM_EKSIK",""))))</f>
        <v/>
      </c>
      <c r="D909" s="16">
        <f>IF($C909="","",IF($C909="TARIH_BOS","Belge tarihi zorunlu",IF($C909="VKN_UZUNLUK","VKN 10 hane olmalı",IF($C909="TUTAR_NEGATIF","Toplam negatif olamaz",IF($C909="DONEM_EKSIK","Dönem zorunlu","Elle incele"))))</f>
        <v/>
      </c>
      <c r="E909" s="16">
        <f>IF($C909="","",IF(OR($C909="TUTAR_NEGATIF",$C909="TARIH_BOS"),"YUKSEK","ORTA"))</f>
        <v/>
      </c>
      <c r="F909" s="16">
        <f>IF($C909="","",IF(OR($C909="TARIH_BOS",$C909="VKN_UZUNLUK",$C909="TUTAR_NEGATIF",$C909="DONEM_EKSIK"),$C909,"TANIMSIZ"))</f>
        <v/>
      </c>
      <c r="G909" s="16">
        <f>IF($C909="","",1)</f>
        <v/>
      </c>
    </row>
    <row r="910">
      <c r="A910" s="16">
        <f>IF('VERI_A'!$A910="","",ROW()-ROW(tblVeriA[[#Headers]]))</f>
        <v/>
      </c>
      <c r="B910" s="23">
        <f>IF('VERI_A'!$A910="","",'VERI_A'!$A910)</f>
        <v/>
      </c>
      <c r="C910" s="16">
        <f>IF($B910="","",IF(OR('VERI_A'!$B910="",'VERI_A'!$B910=0),"TARIH_BOS",IF(LEN(TRIM('VERI_A'!$C910&amp;""))&lt;&gt;dbe_vknUzunluk,"VKN_UZUNLUK",IF('VERI_A'!$G910&lt;0,"TUTAR_NEGATIF",IF('VERI_A'!$I910="","DONEM_EKSIK",""))))</f>
        <v/>
      </c>
      <c r="D910" s="16">
        <f>IF($C910="","",IF($C910="TARIH_BOS","Belge tarihi zorunlu",IF($C910="VKN_UZUNLUK","VKN 10 hane olmalı",IF($C910="TUTAR_NEGATIF","Toplam negatif olamaz",IF($C910="DONEM_EKSIK","Dönem zorunlu","Elle incele"))))</f>
        <v/>
      </c>
      <c r="E910" s="16">
        <f>IF($C910="","",IF(OR($C910="TUTAR_NEGATIF",$C910="TARIH_BOS"),"YUKSEK","ORTA"))</f>
        <v/>
      </c>
      <c r="F910" s="16">
        <f>IF($C910="","",IF(OR($C910="TARIH_BOS",$C910="VKN_UZUNLUK",$C910="TUTAR_NEGATIF",$C910="DONEM_EKSIK"),$C910,"TANIMSIZ"))</f>
        <v/>
      </c>
      <c r="G910" s="16">
        <f>IF($C910="","",1)</f>
        <v/>
      </c>
    </row>
    <row r="911">
      <c r="A911" s="16">
        <f>IF('VERI_A'!$A911="","",ROW()-ROW(tblVeriA[[#Headers]]))</f>
        <v/>
      </c>
      <c r="B911" s="23">
        <f>IF('VERI_A'!$A911="","",'VERI_A'!$A911)</f>
        <v/>
      </c>
      <c r="C911" s="16">
        <f>IF($B911="","",IF(OR('VERI_A'!$B911="",'VERI_A'!$B911=0),"TARIH_BOS",IF(LEN(TRIM('VERI_A'!$C911&amp;""))&lt;&gt;dbe_vknUzunluk,"VKN_UZUNLUK",IF('VERI_A'!$G911&lt;0,"TUTAR_NEGATIF",IF('VERI_A'!$I911="","DONEM_EKSIK",""))))</f>
        <v/>
      </c>
      <c r="D911" s="16">
        <f>IF($C911="","",IF($C911="TARIH_BOS","Belge tarihi zorunlu",IF($C911="VKN_UZUNLUK","VKN 10 hane olmalı",IF($C911="TUTAR_NEGATIF","Toplam negatif olamaz",IF($C911="DONEM_EKSIK","Dönem zorunlu","Elle incele"))))</f>
        <v/>
      </c>
      <c r="E911" s="16">
        <f>IF($C911="","",IF(OR($C911="TUTAR_NEGATIF",$C911="TARIH_BOS"),"YUKSEK","ORTA"))</f>
        <v/>
      </c>
      <c r="F911" s="16">
        <f>IF($C911="","",IF(OR($C911="TARIH_BOS",$C911="VKN_UZUNLUK",$C911="TUTAR_NEGATIF",$C911="DONEM_EKSIK"),$C911,"TANIMSIZ"))</f>
        <v/>
      </c>
      <c r="G911" s="16">
        <f>IF($C911="","",1)</f>
        <v/>
      </c>
    </row>
    <row r="912">
      <c r="A912" s="16">
        <f>IF('VERI_A'!$A912="","",ROW()-ROW(tblVeriA[[#Headers]]))</f>
        <v/>
      </c>
      <c r="B912" s="23">
        <f>IF('VERI_A'!$A912="","",'VERI_A'!$A912)</f>
        <v/>
      </c>
      <c r="C912" s="16">
        <f>IF($B912="","",IF(OR('VERI_A'!$B912="",'VERI_A'!$B912=0),"TARIH_BOS",IF(LEN(TRIM('VERI_A'!$C912&amp;""))&lt;&gt;dbe_vknUzunluk,"VKN_UZUNLUK",IF('VERI_A'!$G912&lt;0,"TUTAR_NEGATIF",IF('VERI_A'!$I912="","DONEM_EKSIK",""))))</f>
        <v/>
      </c>
      <c r="D912" s="16">
        <f>IF($C912="","",IF($C912="TARIH_BOS","Belge tarihi zorunlu",IF($C912="VKN_UZUNLUK","VKN 10 hane olmalı",IF($C912="TUTAR_NEGATIF","Toplam negatif olamaz",IF($C912="DONEM_EKSIK","Dönem zorunlu","Elle incele"))))</f>
        <v/>
      </c>
      <c r="E912" s="16">
        <f>IF($C912="","",IF(OR($C912="TUTAR_NEGATIF",$C912="TARIH_BOS"),"YUKSEK","ORTA"))</f>
        <v/>
      </c>
      <c r="F912" s="16">
        <f>IF($C912="","",IF(OR($C912="TARIH_BOS",$C912="VKN_UZUNLUK",$C912="TUTAR_NEGATIF",$C912="DONEM_EKSIK"),$C912,"TANIMSIZ"))</f>
        <v/>
      </c>
      <c r="G912" s="16">
        <f>IF($C912="","",1)</f>
        <v/>
      </c>
    </row>
    <row r="913">
      <c r="A913" s="16">
        <f>IF('VERI_A'!$A913="","",ROW()-ROW(tblVeriA[[#Headers]]))</f>
        <v/>
      </c>
      <c r="B913" s="23">
        <f>IF('VERI_A'!$A913="","",'VERI_A'!$A913)</f>
        <v/>
      </c>
      <c r="C913" s="16">
        <f>IF($B913="","",IF(OR('VERI_A'!$B913="",'VERI_A'!$B913=0),"TARIH_BOS",IF(LEN(TRIM('VERI_A'!$C913&amp;""))&lt;&gt;dbe_vknUzunluk,"VKN_UZUNLUK",IF('VERI_A'!$G913&lt;0,"TUTAR_NEGATIF",IF('VERI_A'!$I913="","DONEM_EKSIK",""))))</f>
        <v/>
      </c>
      <c r="D913" s="16">
        <f>IF($C913="","",IF($C913="TARIH_BOS","Belge tarihi zorunlu",IF($C913="VKN_UZUNLUK","VKN 10 hane olmalı",IF($C913="TUTAR_NEGATIF","Toplam negatif olamaz",IF($C913="DONEM_EKSIK","Dönem zorunlu","Elle incele"))))</f>
        <v/>
      </c>
      <c r="E913" s="16">
        <f>IF($C913="","",IF(OR($C913="TUTAR_NEGATIF",$C913="TARIH_BOS"),"YUKSEK","ORTA"))</f>
        <v/>
      </c>
      <c r="F913" s="16">
        <f>IF($C913="","",IF(OR($C913="TARIH_BOS",$C913="VKN_UZUNLUK",$C913="TUTAR_NEGATIF",$C913="DONEM_EKSIK"),$C913,"TANIMSIZ"))</f>
        <v/>
      </c>
      <c r="G913" s="16">
        <f>IF($C913="","",1)</f>
        <v/>
      </c>
    </row>
    <row r="914">
      <c r="A914" s="16">
        <f>IF('VERI_A'!$A914="","",ROW()-ROW(tblVeriA[[#Headers]]))</f>
        <v/>
      </c>
      <c r="B914" s="23">
        <f>IF('VERI_A'!$A914="","",'VERI_A'!$A914)</f>
        <v/>
      </c>
      <c r="C914" s="16">
        <f>IF($B914="","",IF(OR('VERI_A'!$B914="",'VERI_A'!$B914=0),"TARIH_BOS",IF(LEN(TRIM('VERI_A'!$C914&amp;""))&lt;&gt;dbe_vknUzunluk,"VKN_UZUNLUK",IF('VERI_A'!$G914&lt;0,"TUTAR_NEGATIF",IF('VERI_A'!$I914="","DONEM_EKSIK",""))))</f>
        <v/>
      </c>
      <c r="D914" s="16">
        <f>IF($C914="","",IF($C914="TARIH_BOS","Belge tarihi zorunlu",IF($C914="VKN_UZUNLUK","VKN 10 hane olmalı",IF($C914="TUTAR_NEGATIF","Toplam negatif olamaz",IF($C914="DONEM_EKSIK","Dönem zorunlu","Elle incele"))))</f>
        <v/>
      </c>
      <c r="E914" s="16">
        <f>IF($C914="","",IF(OR($C914="TUTAR_NEGATIF",$C914="TARIH_BOS"),"YUKSEK","ORTA"))</f>
        <v/>
      </c>
      <c r="F914" s="16">
        <f>IF($C914="","",IF(OR($C914="TARIH_BOS",$C914="VKN_UZUNLUK",$C914="TUTAR_NEGATIF",$C914="DONEM_EKSIK"),$C914,"TANIMSIZ"))</f>
        <v/>
      </c>
      <c r="G914" s="16">
        <f>IF($C914="","",1)</f>
        <v/>
      </c>
    </row>
    <row r="915">
      <c r="A915" s="16">
        <f>IF('VERI_A'!$A915="","",ROW()-ROW(tblVeriA[[#Headers]]))</f>
        <v/>
      </c>
      <c r="B915" s="23">
        <f>IF('VERI_A'!$A915="","",'VERI_A'!$A915)</f>
        <v/>
      </c>
      <c r="C915" s="16">
        <f>IF($B915="","",IF(OR('VERI_A'!$B915="",'VERI_A'!$B915=0),"TARIH_BOS",IF(LEN(TRIM('VERI_A'!$C915&amp;""))&lt;&gt;dbe_vknUzunluk,"VKN_UZUNLUK",IF('VERI_A'!$G915&lt;0,"TUTAR_NEGATIF",IF('VERI_A'!$I915="","DONEM_EKSIK",""))))</f>
        <v/>
      </c>
      <c r="D915" s="16">
        <f>IF($C915="","",IF($C915="TARIH_BOS","Belge tarihi zorunlu",IF($C915="VKN_UZUNLUK","VKN 10 hane olmalı",IF($C915="TUTAR_NEGATIF","Toplam negatif olamaz",IF($C915="DONEM_EKSIK","Dönem zorunlu","Elle incele"))))</f>
        <v/>
      </c>
      <c r="E915" s="16">
        <f>IF($C915="","",IF(OR($C915="TUTAR_NEGATIF",$C915="TARIH_BOS"),"YUKSEK","ORTA"))</f>
        <v/>
      </c>
      <c r="F915" s="16">
        <f>IF($C915="","",IF(OR($C915="TARIH_BOS",$C915="VKN_UZUNLUK",$C915="TUTAR_NEGATIF",$C915="DONEM_EKSIK"),$C915,"TANIMSIZ"))</f>
        <v/>
      </c>
      <c r="G915" s="16">
        <f>IF($C915="","",1)</f>
        <v/>
      </c>
    </row>
    <row r="916">
      <c r="A916" s="16">
        <f>IF('VERI_A'!$A916="","",ROW()-ROW(tblVeriA[[#Headers]]))</f>
        <v/>
      </c>
      <c r="B916" s="23">
        <f>IF('VERI_A'!$A916="","",'VERI_A'!$A916)</f>
        <v/>
      </c>
      <c r="C916" s="16">
        <f>IF($B916="","",IF(OR('VERI_A'!$B916="",'VERI_A'!$B916=0),"TARIH_BOS",IF(LEN(TRIM('VERI_A'!$C916&amp;""))&lt;&gt;dbe_vknUzunluk,"VKN_UZUNLUK",IF('VERI_A'!$G916&lt;0,"TUTAR_NEGATIF",IF('VERI_A'!$I916="","DONEM_EKSIK",""))))</f>
        <v/>
      </c>
      <c r="D916" s="16">
        <f>IF($C916="","",IF($C916="TARIH_BOS","Belge tarihi zorunlu",IF($C916="VKN_UZUNLUK","VKN 10 hane olmalı",IF($C916="TUTAR_NEGATIF","Toplam negatif olamaz",IF($C916="DONEM_EKSIK","Dönem zorunlu","Elle incele"))))</f>
        <v/>
      </c>
      <c r="E916" s="16">
        <f>IF($C916="","",IF(OR($C916="TUTAR_NEGATIF",$C916="TARIH_BOS"),"YUKSEK","ORTA"))</f>
        <v/>
      </c>
      <c r="F916" s="16">
        <f>IF($C916="","",IF(OR($C916="TARIH_BOS",$C916="VKN_UZUNLUK",$C916="TUTAR_NEGATIF",$C916="DONEM_EKSIK"),$C916,"TANIMSIZ"))</f>
        <v/>
      </c>
      <c r="G916" s="16">
        <f>IF($C916="","",1)</f>
        <v/>
      </c>
    </row>
    <row r="917">
      <c r="A917" s="16">
        <f>IF('VERI_A'!$A917="","",ROW()-ROW(tblVeriA[[#Headers]]))</f>
        <v/>
      </c>
      <c r="B917" s="23">
        <f>IF('VERI_A'!$A917="","",'VERI_A'!$A917)</f>
        <v/>
      </c>
      <c r="C917" s="16">
        <f>IF($B917="","",IF(OR('VERI_A'!$B917="",'VERI_A'!$B917=0),"TARIH_BOS",IF(LEN(TRIM('VERI_A'!$C917&amp;""))&lt;&gt;dbe_vknUzunluk,"VKN_UZUNLUK",IF('VERI_A'!$G917&lt;0,"TUTAR_NEGATIF",IF('VERI_A'!$I917="","DONEM_EKSIK",""))))</f>
        <v/>
      </c>
      <c r="D917" s="16">
        <f>IF($C917="","",IF($C917="TARIH_BOS","Belge tarihi zorunlu",IF($C917="VKN_UZUNLUK","VKN 10 hane olmalı",IF($C917="TUTAR_NEGATIF","Toplam negatif olamaz",IF($C917="DONEM_EKSIK","Dönem zorunlu","Elle incele"))))</f>
        <v/>
      </c>
      <c r="E917" s="16">
        <f>IF($C917="","",IF(OR($C917="TUTAR_NEGATIF",$C917="TARIH_BOS"),"YUKSEK","ORTA"))</f>
        <v/>
      </c>
      <c r="F917" s="16">
        <f>IF($C917="","",IF(OR($C917="TARIH_BOS",$C917="VKN_UZUNLUK",$C917="TUTAR_NEGATIF",$C917="DONEM_EKSIK"),$C917,"TANIMSIZ"))</f>
        <v/>
      </c>
      <c r="G917" s="16">
        <f>IF($C917="","",1)</f>
        <v/>
      </c>
    </row>
    <row r="918">
      <c r="A918" s="16">
        <f>IF('VERI_A'!$A918="","",ROW()-ROW(tblVeriA[[#Headers]]))</f>
        <v/>
      </c>
      <c r="B918" s="23">
        <f>IF('VERI_A'!$A918="","",'VERI_A'!$A918)</f>
        <v/>
      </c>
      <c r="C918" s="16">
        <f>IF($B918="","",IF(OR('VERI_A'!$B918="",'VERI_A'!$B918=0),"TARIH_BOS",IF(LEN(TRIM('VERI_A'!$C918&amp;""))&lt;&gt;dbe_vknUzunluk,"VKN_UZUNLUK",IF('VERI_A'!$G918&lt;0,"TUTAR_NEGATIF",IF('VERI_A'!$I918="","DONEM_EKSIK",""))))</f>
        <v/>
      </c>
      <c r="D918" s="16">
        <f>IF($C918="","",IF($C918="TARIH_BOS","Belge tarihi zorunlu",IF($C918="VKN_UZUNLUK","VKN 10 hane olmalı",IF($C918="TUTAR_NEGATIF","Toplam negatif olamaz",IF($C918="DONEM_EKSIK","Dönem zorunlu","Elle incele"))))</f>
        <v/>
      </c>
      <c r="E918" s="16">
        <f>IF($C918="","",IF(OR($C918="TUTAR_NEGATIF",$C918="TARIH_BOS"),"YUKSEK","ORTA"))</f>
        <v/>
      </c>
      <c r="F918" s="16">
        <f>IF($C918="","",IF(OR($C918="TARIH_BOS",$C918="VKN_UZUNLUK",$C918="TUTAR_NEGATIF",$C918="DONEM_EKSIK"),$C918,"TANIMSIZ"))</f>
        <v/>
      </c>
      <c r="G918" s="16">
        <f>IF($C918="","",1)</f>
        <v/>
      </c>
    </row>
    <row r="919">
      <c r="A919" s="16">
        <f>IF('VERI_A'!$A919="","",ROW()-ROW(tblVeriA[[#Headers]]))</f>
        <v/>
      </c>
      <c r="B919" s="23">
        <f>IF('VERI_A'!$A919="","",'VERI_A'!$A919)</f>
        <v/>
      </c>
      <c r="C919" s="16">
        <f>IF($B919="","",IF(OR('VERI_A'!$B919="",'VERI_A'!$B919=0),"TARIH_BOS",IF(LEN(TRIM('VERI_A'!$C919&amp;""))&lt;&gt;dbe_vknUzunluk,"VKN_UZUNLUK",IF('VERI_A'!$G919&lt;0,"TUTAR_NEGATIF",IF('VERI_A'!$I919="","DONEM_EKSIK",""))))</f>
        <v/>
      </c>
      <c r="D919" s="16">
        <f>IF($C919="","",IF($C919="TARIH_BOS","Belge tarihi zorunlu",IF($C919="VKN_UZUNLUK","VKN 10 hane olmalı",IF($C919="TUTAR_NEGATIF","Toplam negatif olamaz",IF($C919="DONEM_EKSIK","Dönem zorunlu","Elle incele"))))</f>
        <v/>
      </c>
      <c r="E919" s="16">
        <f>IF($C919="","",IF(OR($C919="TUTAR_NEGATIF",$C919="TARIH_BOS"),"YUKSEK","ORTA"))</f>
        <v/>
      </c>
      <c r="F919" s="16">
        <f>IF($C919="","",IF(OR($C919="TARIH_BOS",$C919="VKN_UZUNLUK",$C919="TUTAR_NEGATIF",$C919="DONEM_EKSIK"),$C919,"TANIMSIZ"))</f>
        <v/>
      </c>
      <c r="G919" s="16">
        <f>IF($C919="","",1)</f>
        <v/>
      </c>
    </row>
    <row r="920">
      <c r="A920" s="16">
        <f>IF('VERI_A'!$A920="","",ROW()-ROW(tblVeriA[[#Headers]]))</f>
        <v/>
      </c>
      <c r="B920" s="23">
        <f>IF('VERI_A'!$A920="","",'VERI_A'!$A920)</f>
        <v/>
      </c>
      <c r="C920" s="16">
        <f>IF($B920="","",IF(OR('VERI_A'!$B920="",'VERI_A'!$B920=0),"TARIH_BOS",IF(LEN(TRIM('VERI_A'!$C920&amp;""))&lt;&gt;dbe_vknUzunluk,"VKN_UZUNLUK",IF('VERI_A'!$G920&lt;0,"TUTAR_NEGATIF",IF('VERI_A'!$I920="","DONEM_EKSIK",""))))</f>
        <v/>
      </c>
      <c r="D920" s="16">
        <f>IF($C920="","",IF($C920="TARIH_BOS","Belge tarihi zorunlu",IF($C920="VKN_UZUNLUK","VKN 10 hane olmalı",IF($C920="TUTAR_NEGATIF","Toplam negatif olamaz",IF($C920="DONEM_EKSIK","Dönem zorunlu","Elle incele"))))</f>
        <v/>
      </c>
      <c r="E920" s="16">
        <f>IF($C920="","",IF(OR($C920="TUTAR_NEGATIF",$C920="TARIH_BOS"),"YUKSEK","ORTA"))</f>
        <v/>
      </c>
      <c r="F920" s="16">
        <f>IF($C920="","",IF(OR($C920="TARIH_BOS",$C920="VKN_UZUNLUK",$C920="TUTAR_NEGATIF",$C920="DONEM_EKSIK"),$C920,"TANIMSIZ"))</f>
        <v/>
      </c>
      <c r="G920" s="16">
        <f>IF($C920="","",1)</f>
        <v/>
      </c>
    </row>
    <row r="921">
      <c r="A921" s="16">
        <f>IF('VERI_A'!$A921="","",ROW()-ROW(tblVeriA[[#Headers]]))</f>
        <v/>
      </c>
      <c r="B921" s="23">
        <f>IF('VERI_A'!$A921="","",'VERI_A'!$A921)</f>
        <v/>
      </c>
      <c r="C921" s="16">
        <f>IF($B921="","",IF(OR('VERI_A'!$B921="",'VERI_A'!$B921=0),"TARIH_BOS",IF(LEN(TRIM('VERI_A'!$C921&amp;""))&lt;&gt;dbe_vknUzunluk,"VKN_UZUNLUK",IF('VERI_A'!$G921&lt;0,"TUTAR_NEGATIF",IF('VERI_A'!$I921="","DONEM_EKSIK",""))))</f>
        <v/>
      </c>
      <c r="D921" s="16">
        <f>IF($C921="","",IF($C921="TARIH_BOS","Belge tarihi zorunlu",IF($C921="VKN_UZUNLUK","VKN 10 hane olmalı",IF($C921="TUTAR_NEGATIF","Toplam negatif olamaz",IF($C921="DONEM_EKSIK","Dönem zorunlu","Elle incele"))))</f>
        <v/>
      </c>
      <c r="E921" s="16">
        <f>IF($C921="","",IF(OR($C921="TUTAR_NEGATIF",$C921="TARIH_BOS"),"YUKSEK","ORTA"))</f>
        <v/>
      </c>
      <c r="F921" s="16">
        <f>IF($C921="","",IF(OR($C921="TARIH_BOS",$C921="VKN_UZUNLUK",$C921="TUTAR_NEGATIF",$C921="DONEM_EKSIK"),$C921,"TANIMSIZ"))</f>
        <v/>
      </c>
      <c r="G921" s="16">
        <f>IF($C921="","",1)</f>
        <v/>
      </c>
    </row>
    <row r="922">
      <c r="A922" s="16">
        <f>IF('VERI_A'!$A922="","",ROW()-ROW(tblVeriA[[#Headers]]))</f>
        <v/>
      </c>
      <c r="B922" s="23">
        <f>IF('VERI_A'!$A922="","",'VERI_A'!$A922)</f>
        <v/>
      </c>
      <c r="C922" s="16">
        <f>IF($B922="","",IF(OR('VERI_A'!$B922="",'VERI_A'!$B922=0),"TARIH_BOS",IF(LEN(TRIM('VERI_A'!$C922&amp;""))&lt;&gt;dbe_vknUzunluk,"VKN_UZUNLUK",IF('VERI_A'!$G922&lt;0,"TUTAR_NEGATIF",IF('VERI_A'!$I922="","DONEM_EKSIK",""))))</f>
        <v/>
      </c>
      <c r="D922" s="16">
        <f>IF($C922="","",IF($C922="TARIH_BOS","Belge tarihi zorunlu",IF($C922="VKN_UZUNLUK","VKN 10 hane olmalı",IF($C922="TUTAR_NEGATIF","Toplam negatif olamaz",IF($C922="DONEM_EKSIK","Dönem zorunlu","Elle incele"))))</f>
        <v/>
      </c>
      <c r="E922" s="16">
        <f>IF($C922="","",IF(OR($C922="TUTAR_NEGATIF",$C922="TARIH_BOS"),"YUKSEK","ORTA"))</f>
        <v/>
      </c>
      <c r="F922" s="16">
        <f>IF($C922="","",IF(OR($C922="TARIH_BOS",$C922="VKN_UZUNLUK",$C922="TUTAR_NEGATIF",$C922="DONEM_EKSIK"),$C922,"TANIMSIZ"))</f>
        <v/>
      </c>
      <c r="G922" s="16">
        <f>IF($C922="","",1)</f>
        <v/>
      </c>
    </row>
    <row r="923">
      <c r="A923" s="16">
        <f>IF('VERI_A'!$A923="","",ROW()-ROW(tblVeriA[[#Headers]]))</f>
        <v/>
      </c>
      <c r="B923" s="23">
        <f>IF('VERI_A'!$A923="","",'VERI_A'!$A923)</f>
        <v/>
      </c>
      <c r="C923" s="16">
        <f>IF($B923="","",IF(OR('VERI_A'!$B923="",'VERI_A'!$B923=0),"TARIH_BOS",IF(LEN(TRIM('VERI_A'!$C923&amp;""))&lt;&gt;dbe_vknUzunluk,"VKN_UZUNLUK",IF('VERI_A'!$G923&lt;0,"TUTAR_NEGATIF",IF('VERI_A'!$I923="","DONEM_EKSIK",""))))</f>
        <v/>
      </c>
      <c r="D923" s="16">
        <f>IF($C923="","",IF($C923="TARIH_BOS","Belge tarihi zorunlu",IF($C923="VKN_UZUNLUK","VKN 10 hane olmalı",IF($C923="TUTAR_NEGATIF","Toplam negatif olamaz",IF($C923="DONEM_EKSIK","Dönem zorunlu","Elle incele"))))</f>
        <v/>
      </c>
      <c r="E923" s="16">
        <f>IF($C923="","",IF(OR($C923="TUTAR_NEGATIF",$C923="TARIH_BOS"),"YUKSEK","ORTA"))</f>
        <v/>
      </c>
      <c r="F923" s="16">
        <f>IF($C923="","",IF(OR($C923="TARIH_BOS",$C923="VKN_UZUNLUK",$C923="TUTAR_NEGATIF",$C923="DONEM_EKSIK"),$C923,"TANIMSIZ"))</f>
        <v/>
      </c>
      <c r="G923" s="16">
        <f>IF($C923="","",1)</f>
        <v/>
      </c>
    </row>
    <row r="924">
      <c r="A924" s="16">
        <f>IF('VERI_A'!$A924="","",ROW()-ROW(tblVeriA[[#Headers]]))</f>
        <v/>
      </c>
      <c r="B924" s="23">
        <f>IF('VERI_A'!$A924="","",'VERI_A'!$A924)</f>
        <v/>
      </c>
      <c r="C924" s="16">
        <f>IF($B924="","",IF(OR('VERI_A'!$B924="",'VERI_A'!$B924=0),"TARIH_BOS",IF(LEN(TRIM('VERI_A'!$C924&amp;""))&lt;&gt;dbe_vknUzunluk,"VKN_UZUNLUK",IF('VERI_A'!$G924&lt;0,"TUTAR_NEGATIF",IF('VERI_A'!$I924="","DONEM_EKSIK",""))))</f>
        <v/>
      </c>
      <c r="D924" s="16">
        <f>IF($C924="","",IF($C924="TARIH_BOS","Belge tarihi zorunlu",IF($C924="VKN_UZUNLUK","VKN 10 hane olmalı",IF($C924="TUTAR_NEGATIF","Toplam negatif olamaz",IF($C924="DONEM_EKSIK","Dönem zorunlu","Elle incele"))))</f>
        <v/>
      </c>
      <c r="E924" s="16">
        <f>IF($C924="","",IF(OR($C924="TUTAR_NEGATIF",$C924="TARIH_BOS"),"YUKSEK","ORTA"))</f>
        <v/>
      </c>
      <c r="F924" s="16">
        <f>IF($C924="","",IF(OR($C924="TARIH_BOS",$C924="VKN_UZUNLUK",$C924="TUTAR_NEGATIF",$C924="DONEM_EKSIK"),$C924,"TANIMSIZ"))</f>
        <v/>
      </c>
      <c r="G924" s="16">
        <f>IF($C924="","",1)</f>
        <v/>
      </c>
    </row>
    <row r="925">
      <c r="A925" s="16">
        <f>IF('VERI_A'!$A925="","",ROW()-ROW(tblVeriA[[#Headers]]))</f>
        <v/>
      </c>
      <c r="B925" s="23">
        <f>IF('VERI_A'!$A925="","",'VERI_A'!$A925)</f>
        <v/>
      </c>
      <c r="C925" s="16">
        <f>IF($B925="","",IF(OR('VERI_A'!$B925="",'VERI_A'!$B925=0),"TARIH_BOS",IF(LEN(TRIM('VERI_A'!$C925&amp;""))&lt;&gt;dbe_vknUzunluk,"VKN_UZUNLUK",IF('VERI_A'!$G925&lt;0,"TUTAR_NEGATIF",IF('VERI_A'!$I925="","DONEM_EKSIK",""))))</f>
        <v/>
      </c>
      <c r="D925" s="16">
        <f>IF($C925="","",IF($C925="TARIH_BOS","Belge tarihi zorunlu",IF($C925="VKN_UZUNLUK","VKN 10 hane olmalı",IF($C925="TUTAR_NEGATIF","Toplam negatif olamaz",IF($C925="DONEM_EKSIK","Dönem zorunlu","Elle incele"))))</f>
        <v/>
      </c>
      <c r="E925" s="16">
        <f>IF($C925="","",IF(OR($C925="TUTAR_NEGATIF",$C925="TARIH_BOS"),"YUKSEK","ORTA"))</f>
        <v/>
      </c>
      <c r="F925" s="16">
        <f>IF($C925="","",IF(OR($C925="TARIH_BOS",$C925="VKN_UZUNLUK",$C925="TUTAR_NEGATIF",$C925="DONEM_EKSIK"),$C925,"TANIMSIZ"))</f>
        <v/>
      </c>
      <c r="G925" s="16">
        <f>IF($C925="","",1)</f>
        <v/>
      </c>
    </row>
    <row r="926">
      <c r="A926" s="16">
        <f>IF('VERI_A'!$A926="","",ROW()-ROW(tblVeriA[[#Headers]]))</f>
        <v/>
      </c>
      <c r="B926" s="23">
        <f>IF('VERI_A'!$A926="","",'VERI_A'!$A926)</f>
        <v/>
      </c>
      <c r="C926" s="16">
        <f>IF($B926="","",IF(OR('VERI_A'!$B926="",'VERI_A'!$B926=0),"TARIH_BOS",IF(LEN(TRIM('VERI_A'!$C926&amp;""))&lt;&gt;dbe_vknUzunluk,"VKN_UZUNLUK",IF('VERI_A'!$G926&lt;0,"TUTAR_NEGATIF",IF('VERI_A'!$I926="","DONEM_EKSIK",""))))</f>
        <v/>
      </c>
      <c r="D926" s="16">
        <f>IF($C926="","",IF($C926="TARIH_BOS","Belge tarihi zorunlu",IF($C926="VKN_UZUNLUK","VKN 10 hane olmalı",IF($C926="TUTAR_NEGATIF","Toplam negatif olamaz",IF($C926="DONEM_EKSIK","Dönem zorunlu","Elle incele"))))</f>
        <v/>
      </c>
      <c r="E926" s="16">
        <f>IF($C926="","",IF(OR($C926="TUTAR_NEGATIF",$C926="TARIH_BOS"),"YUKSEK","ORTA"))</f>
        <v/>
      </c>
      <c r="F926" s="16">
        <f>IF($C926="","",IF(OR($C926="TARIH_BOS",$C926="VKN_UZUNLUK",$C926="TUTAR_NEGATIF",$C926="DONEM_EKSIK"),$C926,"TANIMSIZ"))</f>
        <v/>
      </c>
      <c r="G926" s="16">
        <f>IF($C926="","",1)</f>
        <v/>
      </c>
    </row>
    <row r="927">
      <c r="A927" s="16">
        <f>IF('VERI_A'!$A927="","",ROW()-ROW(tblVeriA[[#Headers]]))</f>
        <v/>
      </c>
      <c r="B927" s="23">
        <f>IF('VERI_A'!$A927="","",'VERI_A'!$A927)</f>
        <v/>
      </c>
      <c r="C927" s="16">
        <f>IF($B927="","",IF(OR('VERI_A'!$B927="",'VERI_A'!$B927=0),"TARIH_BOS",IF(LEN(TRIM('VERI_A'!$C927&amp;""))&lt;&gt;dbe_vknUzunluk,"VKN_UZUNLUK",IF('VERI_A'!$G927&lt;0,"TUTAR_NEGATIF",IF('VERI_A'!$I927="","DONEM_EKSIK",""))))</f>
        <v/>
      </c>
      <c r="D927" s="16">
        <f>IF($C927="","",IF($C927="TARIH_BOS","Belge tarihi zorunlu",IF($C927="VKN_UZUNLUK","VKN 10 hane olmalı",IF($C927="TUTAR_NEGATIF","Toplam negatif olamaz",IF($C927="DONEM_EKSIK","Dönem zorunlu","Elle incele"))))</f>
        <v/>
      </c>
      <c r="E927" s="16">
        <f>IF($C927="","",IF(OR($C927="TUTAR_NEGATIF",$C927="TARIH_BOS"),"YUKSEK","ORTA"))</f>
        <v/>
      </c>
      <c r="F927" s="16">
        <f>IF($C927="","",IF(OR($C927="TARIH_BOS",$C927="VKN_UZUNLUK",$C927="TUTAR_NEGATIF",$C927="DONEM_EKSIK"),$C927,"TANIMSIZ"))</f>
        <v/>
      </c>
      <c r="G927" s="16">
        <f>IF($C927="","",1)</f>
        <v/>
      </c>
    </row>
    <row r="928">
      <c r="A928" s="16">
        <f>IF('VERI_A'!$A928="","",ROW()-ROW(tblVeriA[[#Headers]]))</f>
        <v/>
      </c>
      <c r="B928" s="23">
        <f>IF('VERI_A'!$A928="","",'VERI_A'!$A928)</f>
        <v/>
      </c>
      <c r="C928" s="16">
        <f>IF($B928="","",IF(OR('VERI_A'!$B928="",'VERI_A'!$B928=0),"TARIH_BOS",IF(LEN(TRIM('VERI_A'!$C928&amp;""))&lt;&gt;dbe_vknUzunluk,"VKN_UZUNLUK",IF('VERI_A'!$G928&lt;0,"TUTAR_NEGATIF",IF('VERI_A'!$I928="","DONEM_EKSIK",""))))</f>
        <v/>
      </c>
      <c r="D928" s="16">
        <f>IF($C928="","",IF($C928="TARIH_BOS","Belge tarihi zorunlu",IF($C928="VKN_UZUNLUK","VKN 10 hane olmalı",IF($C928="TUTAR_NEGATIF","Toplam negatif olamaz",IF($C928="DONEM_EKSIK","Dönem zorunlu","Elle incele"))))</f>
        <v/>
      </c>
      <c r="E928" s="16">
        <f>IF($C928="","",IF(OR($C928="TUTAR_NEGATIF",$C928="TARIH_BOS"),"YUKSEK","ORTA"))</f>
        <v/>
      </c>
      <c r="F928" s="16">
        <f>IF($C928="","",IF(OR($C928="TARIH_BOS",$C928="VKN_UZUNLUK",$C928="TUTAR_NEGATIF",$C928="DONEM_EKSIK"),$C928,"TANIMSIZ"))</f>
        <v/>
      </c>
      <c r="G928" s="16">
        <f>IF($C928="","",1)</f>
        <v/>
      </c>
    </row>
    <row r="929">
      <c r="A929" s="16">
        <f>IF('VERI_A'!$A929="","",ROW()-ROW(tblVeriA[[#Headers]]))</f>
        <v/>
      </c>
      <c r="B929" s="23">
        <f>IF('VERI_A'!$A929="","",'VERI_A'!$A929)</f>
        <v/>
      </c>
      <c r="C929" s="16">
        <f>IF($B929="","",IF(OR('VERI_A'!$B929="",'VERI_A'!$B929=0),"TARIH_BOS",IF(LEN(TRIM('VERI_A'!$C929&amp;""))&lt;&gt;dbe_vknUzunluk,"VKN_UZUNLUK",IF('VERI_A'!$G929&lt;0,"TUTAR_NEGATIF",IF('VERI_A'!$I929="","DONEM_EKSIK",""))))</f>
        <v/>
      </c>
      <c r="D929" s="16">
        <f>IF($C929="","",IF($C929="TARIH_BOS","Belge tarihi zorunlu",IF($C929="VKN_UZUNLUK","VKN 10 hane olmalı",IF($C929="TUTAR_NEGATIF","Toplam negatif olamaz",IF($C929="DONEM_EKSIK","Dönem zorunlu","Elle incele"))))</f>
        <v/>
      </c>
      <c r="E929" s="16">
        <f>IF($C929="","",IF(OR($C929="TUTAR_NEGATIF",$C929="TARIH_BOS"),"YUKSEK","ORTA"))</f>
        <v/>
      </c>
      <c r="F929" s="16">
        <f>IF($C929="","",IF(OR($C929="TARIH_BOS",$C929="VKN_UZUNLUK",$C929="TUTAR_NEGATIF",$C929="DONEM_EKSIK"),$C929,"TANIMSIZ"))</f>
        <v/>
      </c>
      <c r="G929" s="16">
        <f>IF($C929="","",1)</f>
        <v/>
      </c>
    </row>
    <row r="930">
      <c r="A930" s="16">
        <f>IF('VERI_A'!$A930="","",ROW()-ROW(tblVeriA[[#Headers]]))</f>
        <v/>
      </c>
      <c r="B930" s="23">
        <f>IF('VERI_A'!$A930="","",'VERI_A'!$A930)</f>
        <v/>
      </c>
      <c r="C930" s="16">
        <f>IF($B930="","",IF(OR('VERI_A'!$B930="",'VERI_A'!$B930=0),"TARIH_BOS",IF(LEN(TRIM('VERI_A'!$C930&amp;""))&lt;&gt;dbe_vknUzunluk,"VKN_UZUNLUK",IF('VERI_A'!$G930&lt;0,"TUTAR_NEGATIF",IF('VERI_A'!$I930="","DONEM_EKSIK",""))))</f>
        <v/>
      </c>
      <c r="D930" s="16">
        <f>IF($C930="","",IF($C930="TARIH_BOS","Belge tarihi zorunlu",IF($C930="VKN_UZUNLUK","VKN 10 hane olmalı",IF($C930="TUTAR_NEGATIF","Toplam negatif olamaz",IF($C930="DONEM_EKSIK","Dönem zorunlu","Elle incele"))))</f>
        <v/>
      </c>
      <c r="E930" s="16">
        <f>IF($C930="","",IF(OR($C930="TUTAR_NEGATIF",$C930="TARIH_BOS"),"YUKSEK","ORTA"))</f>
        <v/>
      </c>
      <c r="F930" s="16">
        <f>IF($C930="","",IF(OR($C930="TARIH_BOS",$C930="VKN_UZUNLUK",$C930="TUTAR_NEGATIF",$C930="DONEM_EKSIK"),$C930,"TANIMSIZ"))</f>
        <v/>
      </c>
      <c r="G930" s="16">
        <f>IF($C930="","",1)</f>
        <v/>
      </c>
    </row>
    <row r="931">
      <c r="A931" s="16">
        <f>IF('VERI_A'!$A931="","",ROW()-ROW(tblVeriA[[#Headers]]))</f>
        <v/>
      </c>
      <c r="B931" s="23">
        <f>IF('VERI_A'!$A931="","",'VERI_A'!$A931)</f>
        <v/>
      </c>
      <c r="C931" s="16">
        <f>IF($B931="","",IF(OR('VERI_A'!$B931="",'VERI_A'!$B931=0),"TARIH_BOS",IF(LEN(TRIM('VERI_A'!$C931&amp;""))&lt;&gt;dbe_vknUzunluk,"VKN_UZUNLUK",IF('VERI_A'!$G931&lt;0,"TUTAR_NEGATIF",IF('VERI_A'!$I931="","DONEM_EKSIK",""))))</f>
        <v/>
      </c>
      <c r="D931" s="16">
        <f>IF($C931="","",IF($C931="TARIH_BOS","Belge tarihi zorunlu",IF($C931="VKN_UZUNLUK","VKN 10 hane olmalı",IF($C931="TUTAR_NEGATIF","Toplam negatif olamaz",IF($C931="DONEM_EKSIK","Dönem zorunlu","Elle incele"))))</f>
        <v/>
      </c>
      <c r="E931" s="16">
        <f>IF($C931="","",IF(OR($C931="TUTAR_NEGATIF",$C931="TARIH_BOS"),"YUKSEK","ORTA"))</f>
        <v/>
      </c>
      <c r="F931" s="16">
        <f>IF($C931="","",IF(OR($C931="TARIH_BOS",$C931="VKN_UZUNLUK",$C931="TUTAR_NEGATIF",$C931="DONEM_EKSIK"),$C931,"TANIMSIZ"))</f>
        <v/>
      </c>
      <c r="G931" s="16">
        <f>IF($C931="","",1)</f>
        <v/>
      </c>
    </row>
    <row r="932">
      <c r="A932" s="16">
        <f>IF('VERI_A'!$A932="","",ROW()-ROW(tblVeriA[[#Headers]]))</f>
        <v/>
      </c>
      <c r="B932" s="23">
        <f>IF('VERI_A'!$A932="","",'VERI_A'!$A932)</f>
        <v/>
      </c>
      <c r="C932" s="16">
        <f>IF($B932="","",IF(OR('VERI_A'!$B932="",'VERI_A'!$B932=0),"TARIH_BOS",IF(LEN(TRIM('VERI_A'!$C932&amp;""))&lt;&gt;dbe_vknUzunluk,"VKN_UZUNLUK",IF('VERI_A'!$G932&lt;0,"TUTAR_NEGATIF",IF('VERI_A'!$I932="","DONEM_EKSIK",""))))</f>
        <v/>
      </c>
      <c r="D932" s="16">
        <f>IF($C932="","",IF($C932="TARIH_BOS","Belge tarihi zorunlu",IF($C932="VKN_UZUNLUK","VKN 10 hane olmalı",IF($C932="TUTAR_NEGATIF","Toplam negatif olamaz",IF($C932="DONEM_EKSIK","Dönem zorunlu","Elle incele"))))</f>
        <v/>
      </c>
      <c r="E932" s="16">
        <f>IF($C932="","",IF(OR($C932="TUTAR_NEGATIF",$C932="TARIH_BOS"),"YUKSEK","ORTA"))</f>
        <v/>
      </c>
      <c r="F932" s="16">
        <f>IF($C932="","",IF(OR($C932="TARIH_BOS",$C932="VKN_UZUNLUK",$C932="TUTAR_NEGATIF",$C932="DONEM_EKSIK"),$C932,"TANIMSIZ"))</f>
        <v/>
      </c>
      <c r="G932" s="16">
        <f>IF($C932="","",1)</f>
        <v/>
      </c>
    </row>
    <row r="933">
      <c r="A933" s="16">
        <f>IF('VERI_A'!$A933="","",ROW()-ROW(tblVeriA[[#Headers]]))</f>
        <v/>
      </c>
      <c r="B933" s="23">
        <f>IF('VERI_A'!$A933="","",'VERI_A'!$A933)</f>
        <v/>
      </c>
      <c r="C933" s="16">
        <f>IF($B933="","",IF(OR('VERI_A'!$B933="",'VERI_A'!$B933=0),"TARIH_BOS",IF(LEN(TRIM('VERI_A'!$C933&amp;""))&lt;&gt;dbe_vknUzunluk,"VKN_UZUNLUK",IF('VERI_A'!$G933&lt;0,"TUTAR_NEGATIF",IF('VERI_A'!$I933="","DONEM_EKSIK",""))))</f>
        <v/>
      </c>
      <c r="D933" s="16">
        <f>IF($C933="","",IF($C933="TARIH_BOS","Belge tarihi zorunlu",IF($C933="VKN_UZUNLUK","VKN 10 hane olmalı",IF($C933="TUTAR_NEGATIF","Toplam negatif olamaz",IF($C933="DONEM_EKSIK","Dönem zorunlu","Elle incele"))))</f>
        <v/>
      </c>
      <c r="E933" s="16">
        <f>IF($C933="","",IF(OR($C933="TUTAR_NEGATIF",$C933="TARIH_BOS"),"YUKSEK","ORTA"))</f>
        <v/>
      </c>
      <c r="F933" s="16">
        <f>IF($C933="","",IF(OR($C933="TARIH_BOS",$C933="VKN_UZUNLUK",$C933="TUTAR_NEGATIF",$C933="DONEM_EKSIK"),$C933,"TANIMSIZ"))</f>
        <v/>
      </c>
      <c r="G933" s="16">
        <f>IF($C933="","",1)</f>
        <v/>
      </c>
    </row>
    <row r="934">
      <c r="A934" s="16">
        <f>IF('VERI_A'!$A934="","",ROW()-ROW(tblVeriA[[#Headers]]))</f>
        <v/>
      </c>
      <c r="B934" s="23">
        <f>IF('VERI_A'!$A934="","",'VERI_A'!$A934)</f>
        <v/>
      </c>
      <c r="C934" s="16">
        <f>IF($B934="","",IF(OR('VERI_A'!$B934="",'VERI_A'!$B934=0),"TARIH_BOS",IF(LEN(TRIM('VERI_A'!$C934&amp;""))&lt;&gt;dbe_vknUzunluk,"VKN_UZUNLUK",IF('VERI_A'!$G934&lt;0,"TUTAR_NEGATIF",IF('VERI_A'!$I934="","DONEM_EKSIK",""))))</f>
        <v/>
      </c>
      <c r="D934" s="16">
        <f>IF($C934="","",IF($C934="TARIH_BOS","Belge tarihi zorunlu",IF($C934="VKN_UZUNLUK","VKN 10 hane olmalı",IF($C934="TUTAR_NEGATIF","Toplam negatif olamaz",IF($C934="DONEM_EKSIK","Dönem zorunlu","Elle incele"))))</f>
        <v/>
      </c>
      <c r="E934" s="16">
        <f>IF($C934="","",IF(OR($C934="TUTAR_NEGATIF",$C934="TARIH_BOS"),"YUKSEK","ORTA"))</f>
        <v/>
      </c>
      <c r="F934" s="16">
        <f>IF($C934="","",IF(OR($C934="TARIH_BOS",$C934="VKN_UZUNLUK",$C934="TUTAR_NEGATIF",$C934="DONEM_EKSIK"),$C934,"TANIMSIZ"))</f>
        <v/>
      </c>
      <c r="G934" s="16">
        <f>IF($C934="","",1)</f>
        <v/>
      </c>
    </row>
    <row r="935">
      <c r="A935" s="16">
        <f>IF('VERI_A'!$A935="","",ROW()-ROW(tblVeriA[[#Headers]]))</f>
        <v/>
      </c>
      <c r="B935" s="23">
        <f>IF('VERI_A'!$A935="","",'VERI_A'!$A935)</f>
        <v/>
      </c>
      <c r="C935" s="16">
        <f>IF($B935="","",IF(OR('VERI_A'!$B935="",'VERI_A'!$B935=0),"TARIH_BOS",IF(LEN(TRIM('VERI_A'!$C935&amp;""))&lt;&gt;dbe_vknUzunluk,"VKN_UZUNLUK",IF('VERI_A'!$G935&lt;0,"TUTAR_NEGATIF",IF('VERI_A'!$I935="","DONEM_EKSIK",""))))</f>
        <v/>
      </c>
      <c r="D935" s="16">
        <f>IF($C935="","",IF($C935="TARIH_BOS","Belge tarihi zorunlu",IF($C935="VKN_UZUNLUK","VKN 10 hane olmalı",IF($C935="TUTAR_NEGATIF","Toplam negatif olamaz",IF($C935="DONEM_EKSIK","Dönem zorunlu","Elle incele"))))</f>
        <v/>
      </c>
      <c r="E935" s="16">
        <f>IF($C935="","",IF(OR($C935="TUTAR_NEGATIF",$C935="TARIH_BOS"),"YUKSEK","ORTA"))</f>
        <v/>
      </c>
      <c r="F935" s="16">
        <f>IF($C935="","",IF(OR($C935="TARIH_BOS",$C935="VKN_UZUNLUK",$C935="TUTAR_NEGATIF",$C935="DONEM_EKSIK"),$C935,"TANIMSIZ"))</f>
        <v/>
      </c>
      <c r="G935" s="16">
        <f>IF($C935="","",1)</f>
        <v/>
      </c>
    </row>
    <row r="936">
      <c r="A936" s="16">
        <f>IF('VERI_A'!$A936="","",ROW()-ROW(tblVeriA[[#Headers]]))</f>
        <v/>
      </c>
      <c r="B936" s="23">
        <f>IF('VERI_A'!$A936="","",'VERI_A'!$A936)</f>
        <v/>
      </c>
      <c r="C936" s="16">
        <f>IF($B936="","",IF(OR('VERI_A'!$B936="",'VERI_A'!$B936=0),"TARIH_BOS",IF(LEN(TRIM('VERI_A'!$C936&amp;""))&lt;&gt;dbe_vknUzunluk,"VKN_UZUNLUK",IF('VERI_A'!$G936&lt;0,"TUTAR_NEGATIF",IF('VERI_A'!$I936="","DONEM_EKSIK",""))))</f>
        <v/>
      </c>
      <c r="D936" s="16">
        <f>IF($C936="","",IF($C936="TARIH_BOS","Belge tarihi zorunlu",IF($C936="VKN_UZUNLUK","VKN 10 hane olmalı",IF($C936="TUTAR_NEGATIF","Toplam negatif olamaz",IF($C936="DONEM_EKSIK","Dönem zorunlu","Elle incele"))))</f>
        <v/>
      </c>
      <c r="E936" s="16">
        <f>IF($C936="","",IF(OR($C936="TUTAR_NEGATIF",$C936="TARIH_BOS"),"YUKSEK","ORTA"))</f>
        <v/>
      </c>
      <c r="F936" s="16">
        <f>IF($C936="","",IF(OR($C936="TARIH_BOS",$C936="VKN_UZUNLUK",$C936="TUTAR_NEGATIF",$C936="DONEM_EKSIK"),$C936,"TANIMSIZ"))</f>
        <v/>
      </c>
      <c r="G936" s="16">
        <f>IF($C936="","",1)</f>
        <v/>
      </c>
    </row>
    <row r="937">
      <c r="A937" s="16">
        <f>IF('VERI_A'!$A937="","",ROW()-ROW(tblVeriA[[#Headers]]))</f>
        <v/>
      </c>
      <c r="B937" s="23">
        <f>IF('VERI_A'!$A937="","",'VERI_A'!$A937)</f>
        <v/>
      </c>
      <c r="C937" s="16">
        <f>IF($B937="","",IF(OR('VERI_A'!$B937="",'VERI_A'!$B937=0),"TARIH_BOS",IF(LEN(TRIM('VERI_A'!$C937&amp;""))&lt;&gt;dbe_vknUzunluk,"VKN_UZUNLUK",IF('VERI_A'!$G937&lt;0,"TUTAR_NEGATIF",IF('VERI_A'!$I937="","DONEM_EKSIK",""))))</f>
        <v/>
      </c>
      <c r="D937" s="16">
        <f>IF($C937="","",IF($C937="TARIH_BOS","Belge tarihi zorunlu",IF($C937="VKN_UZUNLUK","VKN 10 hane olmalı",IF($C937="TUTAR_NEGATIF","Toplam negatif olamaz",IF($C937="DONEM_EKSIK","Dönem zorunlu","Elle incele"))))</f>
        <v/>
      </c>
      <c r="E937" s="16">
        <f>IF($C937="","",IF(OR($C937="TUTAR_NEGATIF",$C937="TARIH_BOS"),"YUKSEK","ORTA"))</f>
        <v/>
      </c>
      <c r="F937" s="16">
        <f>IF($C937="","",IF(OR($C937="TARIH_BOS",$C937="VKN_UZUNLUK",$C937="TUTAR_NEGATIF",$C937="DONEM_EKSIK"),$C937,"TANIMSIZ"))</f>
        <v/>
      </c>
      <c r="G937" s="16">
        <f>IF($C937="","",1)</f>
        <v/>
      </c>
    </row>
    <row r="938">
      <c r="A938" s="16">
        <f>IF('VERI_A'!$A938="","",ROW()-ROW(tblVeriA[[#Headers]]))</f>
        <v/>
      </c>
      <c r="B938" s="23">
        <f>IF('VERI_A'!$A938="","",'VERI_A'!$A938)</f>
        <v/>
      </c>
      <c r="C938" s="16">
        <f>IF($B938="","",IF(OR('VERI_A'!$B938="",'VERI_A'!$B938=0),"TARIH_BOS",IF(LEN(TRIM('VERI_A'!$C938&amp;""))&lt;&gt;dbe_vknUzunluk,"VKN_UZUNLUK",IF('VERI_A'!$G938&lt;0,"TUTAR_NEGATIF",IF('VERI_A'!$I938="","DONEM_EKSIK",""))))</f>
        <v/>
      </c>
      <c r="D938" s="16">
        <f>IF($C938="","",IF($C938="TARIH_BOS","Belge tarihi zorunlu",IF($C938="VKN_UZUNLUK","VKN 10 hane olmalı",IF($C938="TUTAR_NEGATIF","Toplam negatif olamaz",IF($C938="DONEM_EKSIK","Dönem zorunlu","Elle incele"))))</f>
        <v/>
      </c>
      <c r="E938" s="16">
        <f>IF($C938="","",IF(OR($C938="TUTAR_NEGATIF",$C938="TARIH_BOS"),"YUKSEK","ORTA"))</f>
        <v/>
      </c>
      <c r="F938" s="16">
        <f>IF($C938="","",IF(OR($C938="TARIH_BOS",$C938="VKN_UZUNLUK",$C938="TUTAR_NEGATIF",$C938="DONEM_EKSIK"),$C938,"TANIMSIZ"))</f>
        <v/>
      </c>
      <c r="G938" s="16">
        <f>IF($C938="","",1)</f>
        <v/>
      </c>
    </row>
    <row r="939">
      <c r="A939" s="16">
        <f>IF('VERI_A'!$A939="","",ROW()-ROW(tblVeriA[[#Headers]]))</f>
        <v/>
      </c>
      <c r="B939" s="23">
        <f>IF('VERI_A'!$A939="","",'VERI_A'!$A939)</f>
        <v/>
      </c>
      <c r="C939" s="16">
        <f>IF($B939="","",IF(OR('VERI_A'!$B939="",'VERI_A'!$B939=0),"TARIH_BOS",IF(LEN(TRIM('VERI_A'!$C939&amp;""))&lt;&gt;dbe_vknUzunluk,"VKN_UZUNLUK",IF('VERI_A'!$G939&lt;0,"TUTAR_NEGATIF",IF('VERI_A'!$I939="","DONEM_EKSIK",""))))</f>
        <v/>
      </c>
      <c r="D939" s="16">
        <f>IF($C939="","",IF($C939="TARIH_BOS","Belge tarihi zorunlu",IF($C939="VKN_UZUNLUK","VKN 10 hane olmalı",IF($C939="TUTAR_NEGATIF","Toplam negatif olamaz",IF($C939="DONEM_EKSIK","Dönem zorunlu","Elle incele"))))</f>
        <v/>
      </c>
      <c r="E939" s="16">
        <f>IF($C939="","",IF(OR($C939="TUTAR_NEGATIF",$C939="TARIH_BOS"),"YUKSEK","ORTA"))</f>
        <v/>
      </c>
      <c r="F939" s="16">
        <f>IF($C939="","",IF(OR($C939="TARIH_BOS",$C939="VKN_UZUNLUK",$C939="TUTAR_NEGATIF",$C939="DONEM_EKSIK"),$C939,"TANIMSIZ"))</f>
        <v/>
      </c>
      <c r="G939" s="16">
        <f>IF($C939="","",1)</f>
        <v/>
      </c>
    </row>
    <row r="940">
      <c r="A940" s="16">
        <f>IF('VERI_A'!$A940="","",ROW()-ROW(tblVeriA[[#Headers]]))</f>
        <v/>
      </c>
      <c r="B940" s="23">
        <f>IF('VERI_A'!$A940="","",'VERI_A'!$A940)</f>
        <v/>
      </c>
      <c r="C940" s="16">
        <f>IF($B940="","",IF(OR('VERI_A'!$B940="",'VERI_A'!$B940=0),"TARIH_BOS",IF(LEN(TRIM('VERI_A'!$C940&amp;""))&lt;&gt;dbe_vknUzunluk,"VKN_UZUNLUK",IF('VERI_A'!$G940&lt;0,"TUTAR_NEGATIF",IF('VERI_A'!$I940="","DONEM_EKSIK",""))))</f>
        <v/>
      </c>
      <c r="D940" s="16">
        <f>IF($C940="","",IF($C940="TARIH_BOS","Belge tarihi zorunlu",IF($C940="VKN_UZUNLUK","VKN 10 hane olmalı",IF($C940="TUTAR_NEGATIF","Toplam negatif olamaz",IF($C940="DONEM_EKSIK","Dönem zorunlu","Elle incele"))))</f>
        <v/>
      </c>
      <c r="E940" s="16">
        <f>IF($C940="","",IF(OR($C940="TUTAR_NEGATIF",$C940="TARIH_BOS"),"YUKSEK","ORTA"))</f>
        <v/>
      </c>
      <c r="F940" s="16">
        <f>IF($C940="","",IF(OR($C940="TARIH_BOS",$C940="VKN_UZUNLUK",$C940="TUTAR_NEGATIF",$C940="DONEM_EKSIK"),$C940,"TANIMSIZ"))</f>
        <v/>
      </c>
      <c r="G940" s="16">
        <f>IF($C940="","",1)</f>
        <v/>
      </c>
    </row>
    <row r="941">
      <c r="A941" s="16">
        <f>IF('VERI_A'!$A941="","",ROW()-ROW(tblVeriA[[#Headers]]))</f>
        <v/>
      </c>
      <c r="B941" s="23">
        <f>IF('VERI_A'!$A941="","",'VERI_A'!$A941)</f>
        <v/>
      </c>
      <c r="C941" s="16">
        <f>IF($B941="","",IF(OR('VERI_A'!$B941="",'VERI_A'!$B941=0),"TARIH_BOS",IF(LEN(TRIM('VERI_A'!$C941&amp;""))&lt;&gt;dbe_vknUzunluk,"VKN_UZUNLUK",IF('VERI_A'!$G941&lt;0,"TUTAR_NEGATIF",IF('VERI_A'!$I941="","DONEM_EKSIK",""))))</f>
        <v/>
      </c>
      <c r="D941" s="16">
        <f>IF($C941="","",IF($C941="TARIH_BOS","Belge tarihi zorunlu",IF($C941="VKN_UZUNLUK","VKN 10 hane olmalı",IF($C941="TUTAR_NEGATIF","Toplam negatif olamaz",IF($C941="DONEM_EKSIK","Dönem zorunlu","Elle incele"))))</f>
        <v/>
      </c>
      <c r="E941" s="16">
        <f>IF($C941="","",IF(OR($C941="TUTAR_NEGATIF",$C941="TARIH_BOS"),"YUKSEK","ORTA"))</f>
        <v/>
      </c>
      <c r="F941" s="16">
        <f>IF($C941="","",IF(OR($C941="TARIH_BOS",$C941="VKN_UZUNLUK",$C941="TUTAR_NEGATIF",$C941="DONEM_EKSIK"),$C941,"TANIMSIZ"))</f>
        <v/>
      </c>
      <c r="G941" s="16">
        <f>IF($C941="","",1)</f>
        <v/>
      </c>
    </row>
    <row r="942">
      <c r="A942" s="16">
        <f>IF('VERI_A'!$A942="","",ROW()-ROW(tblVeriA[[#Headers]]))</f>
        <v/>
      </c>
      <c r="B942" s="23">
        <f>IF('VERI_A'!$A942="","",'VERI_A'!$A942)</f>
        <v/>
      </c>
      <c r="C942" s="16">
        <f>IF($B942="","",IF(OR('VERI_A'!$B942="",'VERI_A'!$B942=0),"TARIH_BOS",IF(LEN(TRIM('VERI_A'!$C942&amp;""))&lt;&gt;dbe_vknUzunluk,"VKN_UZUNLUK",IF('VERI_A'!$G942&lt;0,"TUTAR_NEGATIF",IF('VERI_A'!$I942="","DONEM_EKSIK",""))))</f>
        <v/>
      </c>
      <c r="D942" s="16">
        <f>IF($C942="","",IF($C942="TARIH_BOS","Belge tarihi zorunlu",IF($C942="VKN_UZUNLUK","VKN 10 hane olmalı",IF($C942="TUTAR_NEGATIF","Toplam negatif olamaz",IF($C942="DONEM_EKSIK","Dönem zorunlu","Elle incele"))))</f>
        <v/>
      </c>
      <c r="E942" s="16">
        <f>IF($C942="","",IF(OR($C942="TUTAR_NEGATIF",$C942="TARIH_BOS"),"YUKSEK","ORTA"))</f>
        <v/>
      </c>
      <c r="F942" s="16">
        <f>IF($C942="","",IF(OR($C942="TARIH_BOS",$C942="VKN_UZUNLUK",$C942="TUTAR_NEGATIF",$C942="DONEM_EKSIK"),$C942,"TANIMSIZ"))</f>
        <v/>
      </c>
      <c r="G942" s="16">
        <f>IF($C942="","",1)</f>
        <v/>
      </c>
    </row>
    <row r="943">
      <c r="A943" s="16">
        <f>IF('VERI_A'!$A943="","",ROW()-ROW(tblVeriA[[#Headers]]))</f>
        <v/>
      </c>
      <c r="B943" s="23">
        <f>IF('VERI_A'!$A943="","",'VERI_A'!$A943)</f>
        <v/>
      </c>
      <c r="C943" s="16">
        <f>IF($B943="","",IF(OR('VERI_A'!$B943="",'VERI_A'!$B943=0),"TARIH_BOS",IF(LEN(TRIM('VERI_A'!$C943&amp;""))&lt;&gt;dbe_vknUzunluk,"VKN_UZUNLUK",IF('VERI_A'!$G943&lt;0,"TUTAR_NEGATIF",IF('VERI_A'!$I943="","DONEM_EKSIK",""))))</f>
        <v/>
      </c>
      <c r="D943" s="16">
        <f>IF($C943="","",IF($C943="TARIH_BOS","Belge tarihi zorunlu",IF($C943="VKN_UZUNLUK","VKN 10 hane olmalı",IF($C943="TUTAR_NEGATIF","Toplam negatif olamaz",IF($C943="DONEM_EKSIK","Dönem zorunlu","Elle incele"))))</f>
        <v/>
      </c>
      <c r="E943" s="16">
        <f>IF($C943="","",IF(OR($C943="TUTAR_NEGATIF",$C943="TARIH_BOS"),"YUKSEK","ORTA"))</f>
        <v/>
      </c>
      <c r="F943" s="16">
        <f>IF($C943="","",IF(OR($C943="TARIH_BOS",$C943="VKN_UZUNLUK",$C943="TUTAR_NEGATIF",$C943="DONEM_EKSIK"),$C943,"TANIMSIZ"))</f>
        <v/>
      </c>
      <c r="G943" s="16">
        <f>IF($C943="","",1)</f>
        <v/>
      </c>
    </row>
    <row r="944">
      <c r="A944" s="16">
        <f>IF('VERI_A'!$A944="","",ROW()-ROW(tblVeriA[[#Headers]]))</f>
        <v/>
      </c>
      <c r="B944" s="23">
        <f>IF('VERI_A'!$A944="","",'VERI_A'!$A944)</f>
        <v/>
      </c>
      <c r="C944" s="16">
        <f>IF($B944="","",IF(OR('VERI_A'!$B944="",'VERI_A'!$B944=0),"TARIH_BOS",IF(LEN(TRIM('VERI_A'!$C944&amp;""))&lt;&gt;dbe_vknUzunluk,"VKN_UZUNLUK",IF('VERI_A'!$G944&lt;0,"TUTAR_NEGATIF",IF('VERI_A'!$I944="","DONEM_EKSIK",""))))</f>
        <v/>
      </c>
      <c r="D944" s="16">
        <f>IF($C944="","",IF($C944="TARIH_BOS","Belge tarihi zorunlu",IF($C944="VKN_UZUNLUK","VKN 10 hane olmalı",IF($C944="TUTAR_NEGATIF","Toplam negatif olamaz",IF($C944="DONEM_EKSIK","Dönem zorunlu","Elle incele"))))</f>
        <v/>
      </c>
      <c r="E944" s="16">
        <f>IF($C944="","",IF(OR($C944="TUTAR_NEGATIF",$C944="TARIH_BOS"),"YUKSEK","ORTA"))</f>
        <v/>
      </c>
      <c r="F944" s="16">
        <f>IF($C944="","",IF(OR($C944="TARIH_BOS",$C944="VKN_UZUNLUK",$C944="TUTAR_NEGATIF",$C944="DONEM_EKSIK"),$C944,"TANIMSIZ"))</f>
        <v/>
      </c>
      <c r="G944" s="16">
        <f>IF($C944="","",1)</f>
        <v/>
      </c>
    </row>
    <row r="945">
      <c r="A945" s="16">
        <f>IF('VERI_A'!$A945="","",ROW()-ROW(tblVeriA[[#Headers]]))</f>
        <v/>
      </c>
      <c r="B945" s="23">
        <f>IF('VERI_A'!$A945="","",'VERI_A'!$A945)</f>
        <v/>
      </c>
      <c r="C945" s="16">
        <f>IF($B945="","",IF(OR('VERI_A'!$B945="",'VERI_A'!$B945=0),"TARIH_BOS",IF(LEN(TRIM('VERI_A'!$C945&amp;""))&lt;&gt;dbe_vknUzunluk,"VKN_UZUNLUK",IF('VERI_A'!$G945&lt;0,"TUTAR_NEGATIF",IF('VERI_A'!$I945="","DONEM_EKSIK",""))))</f>
        <v/>
      </c>
      <c r="D945" s="16">
        <f>IF($C945="","",IF($C945="TARIH_BOS","Belge tarihi zorunlu",IF($C945="VKN_UZUNLUK","VKN 10 hane olmalı",IF($C945="TUTAR_NEGATIF","Toplam negatif olamaz",IF($C945="DONEM_EKSIK","Dönem zorunlu","Elle incele"))))</f>
        <v/>
      </c>
      <c r="E945" s="16">
        <f>IF($C945="","",IF(OR($C945="TUTAR_NEGATIF",$C945="TARIH_BOS"),"YUKSEK","ORTA"))</f>
        <v/>
      </c>
      <c r="F945" s="16">
        <f>IF($C945="","",IF(OR($C945="TARIH_BOS",$C945="VKN_UZUNLUK",$C945="TUTAR_NEGATIF",$C945="DONEM_EKSIK"),$C945,"TANIMSIZ"))</f>
        <v/>
      </c>
      <c r="G945" s="16">
        <f>IF($C945="","",1)</f>
        <v/>
      </c>
    </row>
    <row r="946">
      <c r="A946" s="16">
        <f>IF('VERI_A'!$A946="","",ROW()-ROW(tblVeriA[[#Headers]]))</f>
        <v/>
      </c>
      <c r="B946" s="23">
        <f>IF('VERI_A'!$A946="","",'VERI_A'!$A946)</f>
        <v/>
      </c>
      <c r="C946" s="16">
        <f>IF($B946="","",IF(OR('VERI_A'!$B946="",'VERI_A'!$B946=0),"TARIH_BOS",IF(LEN(TRIM('VERI_A'!$C946&amp;""))&lt;&gt;dbe_vknUzunluk,"VKN_UZUNLUK",IF('VERI_A'!$G946&lt;0,"TUTAR_NEGATIF",IF('VERI_A'!$I946="","DONEM_EKSIK",""))))</f>
        <v/>
      </c>
      <c r="D946" s="16">
        <f>IF($C946="","",IF($C946="TARIH_BOS","Belge tarihi zorunlu",IF($C946="VKN_UZUNLUK","VKN 10 hane olmalı",IF($C946="TUTAR_NEGATIF","Toplam negatif olamaz",IF($C946="DONEM_EKSIK","Dönem zorunlu","Elle incele"))))</f>
        <v/>
      </c>
      <c r="E946" s="16">
        <f>IF($C946="","",IF(OR($C946="TUTAR_NEGATIF",$C946="TARIH_BOS"),"YUKSEK","ORTA"))</f>
        <v/>
      </c>
      <c r="F946" s="16">
        <f>IF($C946="","",IF(OR($C946="TARIH_BOS",$C946="VKN_UZUNLUK",$C946="TUTAR_NEGATIF",$C946="DONEM_EKSIK"),$C946,"TANIMSIZ"))</f>
        <v/>
      </c>
      <c r="G946" s="16">
        <f>IF($C946="","",1)</f>
        <v/>
      </c>
    </row>
    <row r="947">
      <c r="A947" s="16">
        <f>IF('VERI_A'!$A947="","",ROW()-ROW(tblVeriA[[#Headers]]))</f>
        <v/>
      </c>
      <c r="B947" s="23">
        <f>IF('VERI_A'!$A947="","",'VERI_A'!$A947)</f>
        <v/>
      </c>
      <c r="C947" s="16">
        <f>IF($B947="","",IF(OR('VERI_A'!$B947="",'VERI_A'!$B947=0),"TARIH_BOS",IF(LEN(TRIM('VERI_A'!$C947&amp;""))&lt;&gt;dbe_vknUzunluk,"VKN_UZUNLUK",IF('VERI_A'!$G947&lt;0,"TUTAR_NEGATIF",IF('VERI_A'!$I947="","DONEM_EKSIK",""))))</f>
        <v/>
      </c>
      <c r="D947" s="16">
        <f>IF($C947="","",IF($C947="TARIH_BOS","Belge tarihi zorunlu",IF($C947="VKN_UZUNLUK","VKN 10 hane olmalı",IF($C947="TUTAR_NEGATIF","Toplam negatif olamaz",IF($C947="DONEM_EKSIK","Dönem zorunlu","Elle incele"))))</f>
        <v/>
      </c>
      <c r="E947" s="16">
        <f>IF($C947="","",IF(OR($C947="TUTAR_NEGATIF",$C947="TARIH_BOS"),"YUKSEK","ORTA"))</f>
        <v/>
      </c>
      <c r="F947" s="16">
        <f>IF($C947="","",IF(OR($C947="TARIH_BOS",$C947="VKN_UZUNLUK",$C947="TUTAR_NEGATIF",$C947="DONEM_EKSIK"),$C947,"TANIMSIZ"))</f>
        <v/>
      </c>
      <c r="G947" s="16">
        <f>IF($C947="","",1)</f>
        <v/>
      </c>
    </row>
    <row r="948">
      <c r="A948" s="16">
        <f>IF('VERI_A'!$A948="","",ROW()-ROW(tblVeriA[[#Headers]]))</f>
        <v/>
      </c>
      <c r="B948" s="23">
        <f>IF('VERI_A'!$A948="","",'VERI_A'!$A948)</f>
        <v/>
      </c>
      <c r="C948" s="16">
        <f>IF($B948="","",IF(OR('VERI_A'!$B948="",'VERI_A'!$B948=0),"TARIH_BOS",IF(LEN(TRIM('VERI_A'!$C948&amp;""))&lt;&gt;dbe_vknUzunluk,"VKN_UZUNLUK",IF('VERI_A'!$G948&lt;0,"TUTAR_NEGATIF",IF('VERI_A'!$I948="","DONEM_EKSIK",""))))</f>
        <v/>
      </c>
      <c r="D948" s="16">
        <f>IF($C948="","",IF($C948="TARIH_BOS","Belge tarihi zorunlu",IF($C948="VKN_UZUNLUK","VKN 10 hane olmalı",IF($C948="TUTAR_NEGATIF","Toplam negatif olamaz",IF($C948="DONEM_EKSIK","Dönem zorunlu","Elle incele"))))</f>
        <v/>
      </c>
      <c r="E948" s="16">
        <f>IF($C948="","",IF(OR($C948="TUTAR_NEGATIF",$C948="TARIH_BOS"),"YUKSEK","ORTA"))</f>
        <v/>
      </c>
      <c r="F948" s="16">
        <f>IF($C948="","",IF(OR($C948="TARIH_BOS",$C948="VKN_UZUNLUK",$C948="TUTAR_NEGATIF",$C948="DONEM_EKSIK"),$C948,"TANIMSIZ"))</f>
        <v/>
      </c>
      <c r="G948" s="16">
        <f>IF($C948="","",1)</f>
        <v/>
      </c>
    </row>
    <row r="949">
      <c r="A949" s="16">
        <f>IF('VERI_A'!$A949="","",ROW()-ROW(tblVeriA[[#Headers]]))</f>
        <v/>
      </c>
      <c r="B949" s="23">
        <f>IF('VERI_A'!$A949="","",'VERI_A'!$A949)</f>
        <v/>
      </c>
      <c r="C949" s="16">
        <f>IF($B949="","",IF(OR('VERI_A'!$B949="",'VERI_A'!$B949=0),"TARIH_BOS",IF(LEN(TRIM('VERI_A'!$C949&amp;""))&lt;&gt;dbe_vknUzunluk,"VKN_UZUNLUK",IF('VERI_A'!$G949&lt;0,"TUTAR_NEGATIF",IF('VERI_A'!$I949="","DONEM_EKSIK",""))))</f>
        <v/>
      </c>
      <c r="D949" s="16">
        <f>IF($C949="","",IF($C949="TARIH_BOS","Belge tarihi zorunlu",IF($C949="VKN_UZUNLUK","VKN 10 hane olmalı",IF($C949="TUTAR_NEGATIF","Toplam negatif olamaz",IF($C949="DONEM_EKSIK","Dönem zorunlu","Elle incele"))))</f>
        <v/>
      </c>
      <c r="E949" s="16">
        <f>IF($C949="","",IF(OR($C949="TUTAR_NEGATIF",$C949="TARIH_BOS"),"YUKSEK","ORTA"))</f>
        <v/>
      </c>
      <c r="F949" s="16">
        <f>IF($C949="","",IF(OR($C949="TARIH_BOS",$C949="VKN_UZUNLUK",$C949="TUTAR_NEGATIF",$C949="DONEM_EKSIK"),$C949,"TANIMSIZ"))</f>
        <v/>
      </c>
      <c r="G949" s="16">
        <f>IF($C949="","",1)</f>
        <v/>
      </c>
    </row>
    <row r="950">
      <c r="A950" s="16">
        <f>IF('VERI_A'!$A950="","",ROW()-ROW(tblVeriA[[#Headers]]))</f>
        <v/>
      </c>
      <c r="B950" s="23">
        <f>IF('VERI_A'!$A950="","",'VERI_A'!$A950)</f>
        <v/>
      </c>
      <c r="C950" s="16">
        <f>IF($B950="","",IF(OR('VERI_A'!$B950="",'VERI_A'!$B950=0),"TARIH_BOS",IF(LEN(TRIM('VERI_A'!$C950&amp;""))&lt;&gt;dbe_vknUzunluk,"VKN_UZUNLUK",IF('VERI_A'!$G950&lt;0,"TUTAR_NEGATIF",IF('VERI_A'!$I950="","DONEM_EKSIK",""))))</f>
        <v/>
      </c>
      <c r="D950" s="16">
        <f>IF($C950="","",IF($C950="TARIH_BOS","Belge tarihi zorunlu",IF($C950="VKN_UZUNLUK","VKN 10 hane olmalı",IF($C950="TUTAR_NEGATIF","Toplam negatif olamaz",IF($C950="DONEM_EKSIK","Dönem zorunlu","Elle incele"))))</f>
        <v/>
      </c>
      <c r="E950" s="16">
        <f>IF($C950="","",IF(OR($C950="TUTAR_NEGATIF",$C950="TARIH_BOS"),"YUKSEK","ORTA"))</f>
        <v/>
      </c>
      <c r="F950" s="16">
        <f>IF($C950="","",IF(OR($C950="TARIH_BOS",$C950="VKN_UZUNLUK",$C950="TUTAR_NEGATIF",$C950="DONEM_EKSIK"),$C950,"TANIMSIZ"))</f>
        <v/>
      </c>
      <c r="G950" s="16">
        <f>IF($C950="","",1)</f>
        <v/>
      </c>
    </row>
    <row r="951">
      <c r="A951" s="16">
        <f>IF('VERI_A'!$A951="","",ROW()-ROW(tblVeriA[[#Headers]]))</f>
        <v/>
      </c>
      <c r="B951" s="23">
        <f>IF('VERI_A'!$A951="","",'VERI_A'!$A951)</f>
        <v/>
      </c>
      <c r="C951" s="16">
        <f>IF($B951="","",IF(OR('VERI_A'!$B951="",'VERI_A'!$B951=0),"TARIH_BOS",IF(LEN(TRIM('VERI_A'!$C951&amp;""))&lt;&gt;dbe_vknUzunluk,"VKN_UZUNLUK",IF('VERI_A'!$G951&lt;0,"TUTAR_NEGATIF",IF('VERI_A'!$I951="","DONEM_EKSIK",""))))</f>
        <v/>
      </c>
      <c r="D951" s="16">
        <f>IF($C951="","",IF($C951="TARIH_BOS","Belge tarihi zorunlu",IF($C951="VKN_UZUNLUK","VKN 10 hane olmalı",IF($C951="TUTAR_NEGATIF","Toplam negatif olamaz",IF($C951="DONEM_EKSIK","Dönem zorunlu","Elle incele"))))</f>
        <v/>
      </c>
      <c r="E951" s="16">
        <f>IF($C951="","",IF(OR($C951="TUTAR_NEGATIF",$C951="TARIH_BOS"),"YUKSEK","ORTA"))</f>
        <v/>
      </c>
      <c r="F951" s="16">
        <f>IF($C951="","",IF(OR($C951="TARIH_BOS",$C951="VKN_UZUNLUK",$C951="TUTAR_NEGATIF",$C951="DONEM_EKSIK"),$C951,"TANIMSIZ"))</f>
        <v/>
      </c>
      <c r="G951" s="16">
        <f>IF($C951="","",1)</f>
        <v/>
      </c>
    </row>
    <row r="952">
      <c r="A952" s="16">
        <f>IF('VERI_A'!$A952="","",ROW()-ROW(tblVeriA[[#Headers]]))</f>
        <v/>
      </c>
      <c r="B952" s="23">
        <f>IF('VERI_A'!$A952="","",'VERI_A'!$A952)</f>
        <v/>
      </c>
      <c r="C952" s="16">
        <f>IF($B952="","",IF(OR('VERI_A'!$B952="",'VERI_A'!$B952=0),"TARIH_BOS",IF(LEN(TRIM('VERI_A'!$C952&amp;""))&lt;&gt;dbe_vknUzunluk,"VKN_UZUNLUK",IF('VERI_A'!$G952&lt;0,"TUTAR_NEGATIF",IF('VERI_A'!$I952="","DONEM_EKSIK",""))))</f>
        <v/>
      </c>
      <c r="D952" s="16">
        <f>IF($C952="","",IF($C952="TARIH_BOS","Belge tarihi zorunlu",IF($C952="VKN_UZUNLUK","VKN 10 hane olmalı",IF($C952="TUTAR_NEGATIF","Toplam negatif olamaz",IF($C952="DONEM_EKSIK","Dönem zorunlu","Elle incele"))))</f>
        <v/>
      </c>
      <c r="E952" s="16">
        <f>IF($C952="","",IF(OR($C952="TUTAR_NEGATIF",$C952="TARIH_BOS"),"YUKSEK","ORTA"))</f>
        <v/>
      </c>
      <c r="F952" s="16">
        <f>IF($C952="","",IF(OR($C952="TARIH_BOS",$C952="VKN_UZUNLUK",$C952="TUTAR_NEGATIF",$C952="DONEM_EKSIK"),$C952,"TANIMSIZ"))</f>
        <v/>
      </c>
      <c r="G952" s="16">
        <f>IF($C952="","",1)</f>
        <v/>
      </c>
    </row>
    <row r="953">
      <c r="A953" s="16">
        <f>IF('VERI_A'!$A953="","",ROW()-ROW(tblVeriA[[#Headers]]))</f>
        <v/>
      </c>
      <c r="B953" s="23">
        <f>IF('VERI_A'!$A953="","",'VERI_A'!$A953)</f>
        <v/>
      </c>
      <c r="C953" s="16">
        <f>IF($B953="","",IF(OR('VERI_A'!$B953="",'VERI_A'!$B953=0),"TARIH_BOS",IF(LEN(TRIM('VERI_A'!$C953&amp;""))&lt;&gt;dbe_vknUzunluk,"VKN_UZUNLUK",IF('VERI_A'!$G953&lt;0,"TUTAR_NEGATIF",IF('VERI_A'!$I953="","DONEM_EKSIK",""))))</f>
        <v/>
      </c>
      <c r="D953" s="16">
        <f>IF($C953="","",IF($C953="TARIH_BOS","Belge tarihi zorunlu",IF($C953="VKN_UZUNLUK","VKN 10 hane olmalı",IF($C953="TUTAR_NEGATIF","Toplam negatif olamaz",IF($C953="DONEM_EKSIK","Dönem zorunlu","Elle incele"))))</f>
        <v/>
      </c>
      <c r="E953" s="16">
        <f>IF($C953="","",IF(OR($C953="TUTAR_NEGATIF",$C953="TARIH_BOS"),"YUKSEK","ORTA"))</f>
        <v/>
      </c>
      <c r="F953" s="16">
        <f>IF($C953="","",IF(OR($C953="TARIH_BOS",$C953="VKN_UZUNLUK",$C953="TUTAR_NEGATIF",$C953="DONEM_EKSIK"),$C953,"TANIMSIZ"))</f>
        <v/>
      </c>
      <c r="G953" s="16">
        <f>IF($C953="","",1)</f>
        <v/>
      </c>
    </row>
    <row r="954">
      <c r="A954" s="16">
        <f>IF('VERI_A'!$A954="","",ROW()-ROW(tblVeriA[[#Headers]]))</f>
        <v/>
      </c>
      <c r="B954" s="23">
        <f>IF('VERI_A'!$A954="","",'VERI_A'!$A954)</f>
        <v/>
      </c>
      <c r="C954" s="16">
        <f>IF($B954="","",IF(OR('VERI_A'!$B954="",'VERI_A'!$B954=0),"TARIH_BOS",IF(LEN(TRIM('VERI_A'!$C954&amp;""))&lt;&gt;dbe_vknUzunluk,"VKN_UZUNLUK",IF('VERI_A'!$G954&lt;0,"TUTAR_NEGATIF",IF('VERI_A'!$I954="","DONEM_EKSIK",""))))</f>
        <v/>
      </c>
      <c r="D954" s="16">
        <f>IF($C954="","",IF($C954="TARIH_BOS","Belge tarihi zorunlu",IF($C954="VKN_UZUNLUK","VKN 10 hane olmalı",IF($C954="TUTAR_NEGATIF","Toplam negatif olamaz",IF($C954="DONEM_EKSIK","Dönem zorunlu","Elle incele"))))</f>
        <v/>
      </c>
      <c r="E954" s="16">
        <f>IF($C954="","",IF(OR($C954="TUTAR_NEGATIF",$C954="TARIH_BOS"),"YUKSEK","ORTA"))</f>
        <v/>
      </c>
      <c r="F954" s="16">
        <f>IF($C954="","",IF(OR($C954="TARIH_BOS",$C954="VKN_UZUNLUK",$C954="TUTAR_NEGATIF",$C954="DONEM_EKSIK"),$C954,"TANIMSIZ"))</f>
        <v/>
      </c>
      <c r="G954" s="16">
        <f>IF($C954="","",1)</f>
        <v/>
      </c>
    </row>
    <row r="955">
      <c r="A955" s="16">
        <f>IF('VERI_A'!$A955="","",ROW()-ROW(tblVeriA[[#Headers]]))</f>
        <v/>
      </c>
      <c r="B955" s="23">
        <f>IF('VERI_A'!$A955="","",'VERI_A'!$A955)</f>
        <v/>
      </c>
      <c r="C955" s="16">
        <f>IF($B955="","",IF(OR('VERI_A'!$B955="",'VERI_A'!$B955=0),"TARIH_BOS",IF(LEN(TRIM('VERI_A'!$C955&amp;""))&lt;&gt;dbe_vknUzunluk,"VKN_UZUNLUK",IF('VERI_A'!$G955&lt;0,"TUTAR_NEGATIF",IF('VERI_A'!$I955="","DONEM_EKSIK",""))))</f>
        <v/>
      </c>
      <c r="D955" s="16">
        <f>IF($C955="","",IF($C955="TARIH_BOS","Belge tarihi zorunlu",IF($C955="VKN_UZUNLUK","VKN 10 hane olmalı",IF($C955="TUTAR_NEGATIF","Toplam negatif olamaz",IF($C955="DONEM_EKSIK","Dönem zorunlu","Elle incele"))))</f>
        <v/>
      </c>
      <c r="E955" s="16">
        <f>IF($C955="","",IF(OR($C955="TUTAR_NEGATIF",$C955="TARIH_BOS"),"YUKSEK","ORTA"))</f>
        <v/>
      </c>
      <c r="F955" s="16">
        <f>IF($C955="","",IF(OR($C955="TARIH_BOS",$C955="VKN_UZUNLUK",$C955="TUTAR_NEGATIF",$C955="DONEM_EKSIK"),$C955,"TANIMSIZ"))</f>
        <v/>
      </c>
      <c r="G955" s="16">
        <f>IF($C955="","",1)</f>
        <v/>
      </c>
    </row>
    <row r="956">
      <c r="A956" s="16">
        <f>IF('VERI_A'!$A956="","",ROW()-ROW(tblVeriA[[#Headers]]))</f>
        <v/>
      </c>
      <c r="B956" s="23">
        <f>IF('VERI_A'!$A956="","",'VERI_A'!$A956)</f>
        <v/>
      </c>
      <c r="C956" s="16">
        <f>IF($B956="","",IF(OR('VERI_A'!$B956="",'VERI_A'!$B956=0),"TARIH_BOS",IF(LEN(TRIM('VERI_A'!$C956&amp;""))&lt;&gt;dbe_vknUzunluk,"VKN_UZUNLUK",IF('VERI_A'!$G956&lt;0,"TUTAR_NEGATIF",IF('VERI_A'!$I956="","DONEM_EKSIK",""))))</f>
        <v/>
      </c>
      <c r="D956" s="16">
        <f>IF($C956="","",IF($C956="TARIH_BOS","Belge tarihi zorunlu",IF($C956="VKN_UZUNLUK","VKN 10 hane olmalı",IF($C956="TUTAR_NEGATIF","Toplam negatif olamaz",IF($C956="DONEM_EKSIK","Dönem zorunlu","Elle incele"))))</f>
        <v/>
      </c>
      <c r="E956" s="16">
        <f>IF($C956="","",IF(OR($C956="TUTAR_NEGATIF",$C956="TARIH_BOS"),"YUKSEK","ORTA"))</f>
        <v/>
      </c>
      <c r="F956" s="16">
        <f>IF($C956="","",IF(OR($C956="TARIH_BOS",$C956="VKN_UZUNLUK",$C956="TUTAR_NEGATIF",$C956="DONEM_EKSIK"),$C956,"TANIMSIZ"))</f>
        <v/>
      </c>
      <c r="G956" s="16">
        <f>IF($C956="","",1)</f>
        <v/>
      </c>
    </row>
    <row r="957">
      <c r="A957" s="16">
        <f>IF('VERI_A'!$A957="","",ROW()-ROW(tblVeriA[[#Headers]]))</f>
        <v/>
      </c>
      <c r="B957" s="23">
        <f>IF('VERI_A'!$A957="","",'VERI_A'!$A957)</f>
        <v/>
      </c>
      <c r="C957" s="16">
        <f>IF($B957="","",IF(OR('VERI_A'!$B957="",'VERI_A'!$B957=0),"TARIH_BOS",IF(LEN(TRIM('VERI_A'!$C957&amp;""))&lt;&gt;dbe_vknUzunluk,"VKN_UZUNLUK",IF('VERI_A'!$G957&lt;0,"TUTAR_NEGATIF",IF('VERI_A'!$I957="","DONEM_EKSIK",""))))</f>
        <v/>
      </c>
      <c r="D957" s="16">
        <f>IF($C957="","",IF($C957="TARIH_BOS","Belge tarihi zorunlu",IF($C957="VKN_UZUNLUK","VKN 10 hane olmalı",IF($C957="TUTAR_NEGATIF","Toplam negatif olamaz",IF($C957="DONEM_EKSIK","Dönem zorunlu","Elle incele"))))</f>
        <v/>
      </c>
      <c r="E957" s="16">
        <f>IF($C957="","",IF(OR($C957="TUTAR_NEGATIF",$C957="TARIH_BOS"),"YUKSEK","ORTA"))</f>
        <v/>
      </c>
      <c r="F957" s="16">
        <f>IF($C957="","",IF(OR($C957="TARIH_BOS",$C957="VKN_UZUNLUK",$C957="TUTAR_NEGATIF",$C957="DONEM_EKSIK"),$C957,"TANIMSIZ"))</f>
        <v/>
      </c>
      <c r="G957" s="16">
        <f>IF($C957="","",1)</f>
        <v/>
      </c>
    </row>
    <row r="958">
      <c r="A958" s="16">
        <f>IF('VERI_A'!$A958="","",ROW()-ROW(tblVeriA[[#Headers]]))</f>
        <v/>
      </c>
      <c r="B958" s="23">
        <f>IF('VERI_A'!$A958="","",'VERI_A'!$A958)</f>
        <v/>
      </c>
      <c r="C958" s="16">
        <f>IF($B958="","",IF(OR('VERI_A'!$B958="",'VERI_A'!$B958=0),"TARIH_BOS",IF(LEN(TRIM('VERI_A'!$C958&amp;""))&lt;&gt;dbe_vknUzunluk,"VKN_UZUNLUK",IF('VERI_A'!$G958&lt;0,"TUTAR_NEGATIF",IF('VERI_A'!$I958="","DONEM_EKSIK",""))))</f>
        <v/>
      </c>
      <c r="D958" s="16">
        <f>IF($C958="","",IF($C958="TARIH_BOS","Belge tarihi zorunlu",IF($C958="VKN_UZUNLUK","VKN 10 hane olmalı",IF($C958="TUTAR_NEGATIF","Toplam negatif olamaz",IF($C958="DONEM_EKSIK","Dönem zorunlu","Elle incele"))))</f>
        <v/>
      </c>
      <c r="E958" s="16">
        <f>IF($C958="","",IF(OR($C958="TUTAR_NEGATIF",$C958="TARIH_BOS"),"YUKSEK","ORTA"))</f>
        <v/>
      </c>
      <c r="F958" s="16">
        <f>IF($C958="","",IF(OR($C958="TARIH_BOS",$C958="VKN_UZUNLUK",$C958="TUTAR_NEGATIF",$C958="DONEM_EKSIK"),$C958,"TANIMSIZ"))</f>
        <v/>
      </c>
      <c r="G958" s="16">
        <f>IF($C958="","",1)</f>
        <v/>
      </c>
    </row>
    <row r="959">
      <c r="A959" s="16">
        <f>IF('VERI_A'!$A959="","",ROW()-ROW(tblVeriA[[#Headers]]))</f>
        <v/>
      </c>
      <c r="B959" s="23">
        <f>IF('VERI_A'!$A959="","",'VERI_A'!$A959)</f>
        <v/>
      </c>
      <c r="C959" s="16">
        <f>IF($B959="","",IF(OR('VERI_A'!$B959="",'VERI_A'!$B959=0),"TARIH_BOS",IF(LEN(TRIM('VERI_A'!$C959&amp;""))&lt;&gt;dbe_vknUzunluk,"VKN_UZUNLUK",IF('VERI_A'!$G959&lt;0,"TUTAR_NEGATIF",IF('VERI_A'!$I959="","DONEM_EKSIK",""))))</f>
        <v/>
      </c>
      <c r="D959" s="16">
        <f>IF($C959="","",IF($C959="TARIH_BOS","Belge tarihi zorunlu",IF($C959="VKN_UZUNLUK","VKN 10 hane olmalı",IF($C959="TUTAR_NEGATIF","Toplam negatif olamaz",IF($C959="DONEM_EKSIK","Dönem zorunlu","Elle incele"))))</f>
        <v/>
      </c>
      <c r="E959" s="16">
        <f>IF($C959="","",IF(OR($C959="TUTAR_NEGATIF",$C959="TARIH_BOS"),"YUKSEK","ORTA"))</f>
        <v/>
      </c>
      <c r="F959" s="16">
        <f>IF($C959="","",IF(OR($C959="TARIH_BOS",$C959="VKN_UZUNLUK",$C959="TUTAR_NEGATIF",$C959="DONEM_EKSIK"),$C959,"TANIMSIZ"))</f>
        <v/>
      </c>
      <c r="G959" s="16">
        <f>IF($C959="","",1)</f>
        <v/>
      </c>
    </row>
    <row r="960">
      <c r="A960" s="16">
        <f>IF('VERI_A'!$A960="","",ROW()-ROW(tblVeriA[[#Headers]]))</f>
        <v/>
      </c>
      <c r="B960" s="23">
        <f>IF('VERI_A'!$A960="","",'VERI_A'!$A960)</f>
        <v/>
      </c>
      <c r="C960" s="16">
        <f>IF($B960="","",IF(OR('VERI_A'!$B960="",'VERI_A'!$B960=0),"TARIH_BOS",IF(LEN(TRIM('VERI_A'!$C960&amp;""))&lt;&gt;dbe_vknUzunluk,"VKN_UZUNLUK",IF('VERI_A'!$G960&lt;0,"TUTAR_NEGATIF",IF('VERI_A'!$I960="","DONEM_EKSIK",""))))</f>
        <v/>
      </c>
      <c r="D960" s="16">
        <f>IF($C960="","",IF($C960="TARIH_BOS","Belge tarihi zorunlu",IF($C960="VKN_UZUNLUK","VKN 10 hane olmalı",IF($C960="TUTAR_NEGATIF","Toplam negatif olamaz",IF($C960="DONEM_EKSIK","Dönem zorunlu","Elle incele"))))</f>
        <v/>
      </c>
      <c r="E960" s="16">
        <f>IF($C960="","",IF(OR($C960="TUTAR_NEGATIF",$C960="TARIH_BOS"),"YUKSEK","ORTA"))</f>
        <v/>
      </c>
      <c r="F960" s="16">
        <f>IF($C960="","",IF(OR($C960="TARIH_BOS",$C960="VKN_UZUNLUK",$C960="TUTAR_NEGATIF",$C960="DONEM_EKSIK"),$C960,"TANIMSIZ"))</f>
        <v/>
      </c>
      <c r="G960" s="16">
        <f>IF($C960="","",1)</f>
        <v/>
      </c>
    </row>
    <row r="961">
      <c r="A961" s="16">
        <f>IF('VERI_A'!$A961="","",ROW()-ROW(tblVeriA[[#Headers]]))</f>
        <v/>
      </c>
      <c r="B961" s="23">
        <f>IF('VERI_A'!$A961="","",'VERI_A'!$A961)</f>
        <v/>
      </c>
      <c r="C961" s="16">
        <f>IF($B961="","",IF(OR('VERI_A'!$B961="",'VERI_A'!$B961=0),"TARIH_BOS",IF(LEN(TRIM('VERI_A'!$C961&amp;""))&lt;&gt;dbe_vknUzunluk,"VKN_UZUNLUK",IF('VERI_A'!$G961&lt;0,"TUTAR_NEGATIF",IF('VERI_A'!$I961="","DONEM_EKSIK",""))))</f>
        <v/>
      </c>
      <c r="D961" s="16">
        <f>IF($C961="","",IF($C961="TARIH_BOS","Belge tarihi zorunlu",IF($C961="VKN_UZUNLUK","VKN 10 hane olmalı",IF($C961="TUTAR_NEGATIF","Toplam negatif olamaz",IF($C961="DONEM_EKSIK","Dönem zorunlu","Elle incele"))))</f>
        <v/>
      </c>
      <c r="E961" s="16">
        <f>IF($C961="","",IF(OR($C961="TUTAR_NEGATIF",$C961="TARIH_BOS"),"YUKSEK","ORTA"))</f>
        <v/>
      </c>
      <c r="F961" s="16">
        <f>IF($C961="","",IF(OR($C961="TARIH_BOS",$C961="VKN_UZUNLUK",$C961="TUTAR_NEGATIF",$C961="DONEM_EKSIK"),$C961,"TANIMSIZ"))</f>
        <v/>
      </c>
      <c r="G961" s="16">
        <f>IF($C961="","",1)</f>
        <v/>
      </c>
    </row>
    <row r="962">
      <c r="A962" s="16">
        <f>IF('VERI_A'!$A962="","",ROW()-ROW(tblVeriA[[#Headers]]))</f>
        <v/>
      </c>
      <c r="B962" s="23">
        <f>IF('VERI_A'!$A962="","",'VERI_A'!$A962)</f>
        <v/>
      </c>
      <c r="C962" s="16">
        <f>IF($B962="","",IF(OR('VERI_A'!$B962="",'VERI_A'!$B962=0),"TARIH_BOS",IF(LEN(TRIM('VERI_A'!$C962&amp;""))&lt;&gt;dbe_vknUzunluk,"VKN_UZUNLUK",IF('VERI_A'!$G962&lt;0,"TUTAR_NEGATIF",IF('VERI_A'!$I962="","DONEM_EKSIK",""))))</f>
        <v/>
      </c>
      <c r="D962" s="16">
        <f>IF($C962="","",IF($C962="TARIH_BOS","Belge tarihi zorunlu",IF($C962="VKN_UZUNLUK","VKN 10 hane olmalı",IF($C962="TUTAR_NEGATIF","Toplam negatif olamaz",IF($C962="DONEM_EKSIK","Dönem zorunlu","Elle incele"))))</f>
        <v/>
      </c>
      <c r="E962" s="16">
        <f>IF($C962="","",IF(OR($C962="TUTAR_NEGATIF",$C962="TARIH_BOS"),"YUKSEK","ORTA"))</f>
        <v/>
      </c>
      <c r="F962" s="16">
        <f>IF($C962="","",IF(OR($C962="TARIH_BOS",$C962="VKN_UZUNLUK",$C962="TUTAR_NEGATIF",$C962="DONEM_EKSIK"),$C962,"TANIMSIZ"))</f>
        <v/>
      </c>
      <c r="G962" s="16">
        <f>IF($C962="","",1)</f>
        <v/>
      </c>
    </row>
    <row r="963">
      <c r="A963" s="16">
        <f>IF('VERI_A'!$A963="","",ROW()-ROW(tblVeriA[[#Headers]]))</f>
        <v/>
      </c>
      <c r="B963" s="23">
        <f>IF('VERI_A'!$A963="","",'VERI_A'!$A963)</f>
        <v/>
      </c>
      <c r="C963" s="16">
        <f>IF($B963="","",IF(OR('VERI_A'!$B963="",'VERI_A'!$B963=0),"TARIH_BOS",IF(LEN(TRIM('VERI_A'!$C963&amp;""))&lt;&gt;dbe_vknUzunluk,"VKN_UZUNLUK",IF('VERI_A'!$G963&lt;0,"TUTAR_NEGATIF",IF('VERI_A'!$I963="","DONEM_EKSIK",""))))</f>
        <v/>
      </c>
      <c r="D963" s="16">
        <f>IF($C963="","",IF($C963="TARIH_BOS","Belge tarihi zorunlu",IF($C963="VKN_UZUNLUK","VKN 10 hane olmalı",IF($C963="TUTAR_NEGATIF","Toplam negatif olamaz",IF($C963="DONEM_EKSIK","Dönem zorunlu","Elle incele"))))</f>
        <v/>
      </c>
      <c r="E963" s="16">
        <f>IF($C963="","",IF(OR($C963="TUTAR_NEGATIF",$C963="TARIH_BOS"),"YUKSEK","ORTA"))</f>
        <v/>
      </c>
      <c r="F963" s="16">
        <f>IF($C963="","",IF(OR($C963="TARIH_BOS",$C963="VKN_UZUNLUK",$C963="TUTAR_NEGATIF",$C963="DONEM_EKSIK"),$C963,"TANIMSIZ"))</f>
        <v/>
      </c>
      <c r="G963" s="16">
        <f>IF($C963="","",1)</f>
        <v/>
      </c>
    </row>
    <row r="964">
      <c r="A964" s="16">
        <f>IF('VERI_A'!$A964="","",ROW()-ROW(tblVeriA[[#Headers]]))</f>
        <v/>
      </c>
      <c r="B964" s="23">
        <f>IF('VERI_A'!$A964="","",'VERI_A'!$A964)</f>
        <v/>
      </c>
      <c r="C964" s="16">
        <f>IF($B964="","",IF(OR('VERI_A'!$B964="",'VERI_A'!$B964=0),"TARIH_BOS",IF(LEN(TRIM('VERI_A'!$C964&amp;""))&lt;&gt;dbe_vknUzunluk,"VKN_UZUNLUK",IF('VERI_A'!$G964&lt;0,"TUTAR_NEGATIF",IF('VERI_A'!$I964="","DONEM_EKSIK",""))))</f>
        <v/>
      </c>
      <c r="D964" s="16">
        <f>IF($C964="","",IF($C964="TARIH_BOS","Belge tarihi zorunlu",IF($C964="VKN_UZUNLUK","VKN 10 hane olmalı",IF($C964="TUTAR_NEGATIF","Toplam negatif olamaz",IF($C964="DONEM_EKSIK","Dönem zorunlu","Elle incele"))))</f>
        <v/>
      </c>
      <c r="E964" s="16">
        <f>IF($C964="","",IF(OR($C964="TUTAR_NEGATIF",$C964="TARIH_BOS"),"YUKSEK","ORTA"))</f>
        <v/>
      </c>
      <c r="F964" s="16">
        <f>IF($C964="","",IF(OR($C964="TARIH_BOS",$C964="VKN_UZUNLUK",$C964="TUTAR_NEGATIF",$C964="DONEM_EKSIK"),$C964,"TANIMSIZ"))</f>
        <v/>
      </c>
      <c r="G964" s="16">
        <f>IF($C964="","",1)</f>
        <v/>
      </c>
    </row>
    <row r="965">
      <c r="A965" s="16">
        <f>IF('VERI_A'!$A965="","",ROW()-ROW(tblVeriA[[#Headers]]))</f>
        <v/>
      </c>
      <c r="B965" s="23">
        <f>IF('VERI_A'!$A965="","",'VERI_A'!$A965)</f>
        <v/>
      </c>
      <c r="C965" s="16">
        <f>IF($B965="","",IF(OR('VERI_A'!$B965="",'VERI_A'!$B965=0),"TARIH_BOS",IF(LEN(TRIM('VERI_A'!$C965&amp;""))&lt;&gt;dbe_vknUzunluk,"VKN_UZUNLUK",IF('VERI_A'!$G965&lt;0,"TUTAR_NEGATIF",IF('VERI_A'!$I965="","DONEM_EKSIK",""))))</f>
        <v/>
      </c>
      <c r="D965" s="16">
        <f>IF($C965="","",IF($C965="TARIH_BOS","Belge tarihi zorunlu",IF($C965="VKN_UZUNLUK","VKN 10 hane olmalı",IF($C965="TUTAR_NEGATIF","Toplam negatif olamaz",IF($C965="DONEM_EKSIK","Dönem zorunlu","Elle incele"))))</f>
        <v/>
      </c>
      <c r="E965" s="16">
        <f>IF($C965="","",IF(OR($C965="TUTAR_NEGATIF",$C965="TARIH_BOS"),"YUKSEK","ORTA"))</f>
        <v/>
      </c>
      <c r="F965" s="16">
        <f>IF($C965="","",IF(OR($C965="TARIH_BOS",$C965="VKN_UZUNLUK",$C965="TUTAR_NEGATIF",$C965="DONEM_EKSIK"),$C965,"TANIMSIZ"))</f>
        <v/>
      </c>
      <c r="G965" s="16">
        <f>IF($C965="","",1)</f>
        <v/>
      </c>
    </row>
    <row r="966">
      <c r="A966" s="16">
        <f>IF('VERI_A'!$A966="","",ROW()-ROW(tblVeriA[[#Headers]]))</f>
        <v/>
      </c>
      <c r="B966" s="23">
        <f>IF('VERI_A'!$A966="","",'VERI_A'!$A966)</f>
        <v/>
      </c>
      <c r="C966" s="16">
        <f>IF($B966="","",IF(OR('VERI_A'!$B966="",'VERI_A'!$B966=0),"TARIH_BOS",IF(LEN(TRIM('VERI_A'!$C966&amp;""))&lt;&gt;dbe_vknUzunluk,"VKN_UZUNLUK",IF('VERI_A'!$G966&lt;0,"TUTAR_NEGATIF",IF('VERI_A'!$I966="","DONEM_EKSIK",""))))</f>
        <v/>
      </c>
      <c r="D966" s="16">
        <f>IF($C966="","",IF($C966="TARIH_BOS","Belge tarihi zorunlu",IF($C966="VKN_UZUNLUK","VKN 10 hane olmalı",IF($C966="TUTAR_NEGATIF","Toplam negatif olamaz",IF($C966="DONEM_EKSIK","Dönem zorunlu","Elle incele"))))</f>
        <v/>
      </c>
      <c r="E966" s="16">
        <f>IF($C966="","",IF(OR($C966="TUTAR_NEGATIF",$C966="TARIH_BOS"),"YUKSEK","ORTA"))</f>
        <v/>
      </c>
      <c r="F966" s="16">
        <f>IF($C966="","",IF(OR($C966="TARIH_BOS",$C966="VKN_UZUNLUK",$C966="TUTAR_NEGATIF",$C966="DONEM_EKSIK"),$C966,"TANIMSIZ"))</f>
        <v/>
      </c>
      <c r="G966" s="16">
        <f>IF($C966="","",1)</f>
        <v/>
      </c>
    </row>
    <row r="967">
      <c r="A967" s="16">
        <f>IF('VERI_A'!$A967="","",ROW()-ROW(tblVeriA[[#Headers]]))</f>
        <v/>
      </c>
      <c r="B967" s="23">
        <f>IF('VERI_A'!$A967="","",'VERI_A'!$A967)</f>
        <v/>
      </c>
      <c r="C967" s="16">
        <f>IF($B967="","",IF(OR('VERI_A'!$B967="",'VERI_A'!$B967=0),"TARIH_BOS",IF(LEN(TRIM('VERI_A'!$C967&amp;""))&lt;&gt;dbe_vknUzunluk,"VKN_UZUNLUK",IF('VERI_A'!$G967&lt;0,"TUTAR_NEGATIF",IF('VERI_A'!$I967="","DONEM_EKSIK",""))))</f>
        <v/>
      </c>
      <c r="D967" s="16">
        <f>IF($C967="","",IF($C967="TARIH_BOS","Belge tarihi zorunlu",IF($C967="VKN_UZUNLUK","VKN 10 hane olmalı",IF($C967="TUTAR_NEGATIF","Toplam negatif olamaz",IF($C967="DONEM_EKSIK","Dönem zorunlu","Elle incele"))))</f>
        <v/>
      </c>
      <c r="E967" s="16">
        <f>IF($C967="","",IF(OR($C967="TUTAR_NEGATIF",$C967="TARIH_BOS"),"YUKSEK","ORTA"))</f>
        <v/>
      </c>
      <c r="F967" s="16">
        <f>IF($C967="","",IF(OR($C967="TARIH_BOS",$C967="VKN_UZUNLUK",$C967="TUTAR_NEGATIF",$C967="DONEM_EKSIK"),$C967,"TANIMSIZ"))</f>
        <v/>
      </c>
      <c r="G967" s="16">
        <f>IF($C967="","",1)</f>
        <v/>
      </c>
    </row>
    <row r="968">
      <c r="A968" s="16">
        <f>IF('VERI_A'!$A968="","",ROW()-ROW(tblVeriA[[#Headers]]))</f>
        <v/>
      </c>
      <c r="B968" s="23">
        <f>IF('VERI_A'!$A968="","",'VERI_A'!$A968)</f>
        <v/>
      </c>
      <c r="C968" s="16">
        <f>IF($B968="","",IF(OR('VERI_A'!$B968="",'VERI_A'!$B968=0),"TARIH_BOS",IF(LEN(TRIM('VERI_A'!$C968&amp;""))&lt;&gt;dbe_vknUzunluk,"VKN_UZUNLUK",IF('VERI_A'!$G968&lt;0,"TUTAR_NEGATIF",IF('VERI_A'!$I968="","DONEM_EKSIK",""))))</f>
        <v/>
      </c>
      <c r="D968" s="16">
        <f>IF($C968="","",IF($C968="TARIH_BOS","Belge tarihi zorunlu",IF($C968="VKN_UZUNLUK","VKN 10 hane olmalı",IF($C968="TUTAR_NEGATIF","Toplam negatif olamaz",IF($C968="DONEM_EKSIK","Dönem zorunlu","Elle incele"))))</f>
        <v/>
      </c>
      <c r="E968" s="16">
        <f>IF($C968="","",IF(OR($C968="TUTAR_NEGATIF",$C968="TARIH_BOS"),"YUKSEK","ORTA"))</f>
        <v/>
      </c>
      <c r="F968" s="16">
        <f>IF($C968="","",IF(OR($C968="TARIH_BOS",$C968="VKN_UZUNLUK",$C968="TUTAR_NEGATIF",$C968="DONEM_EKSIK"),$C968,"TANIMSIZ"))</f>
        <v/>
      </c>
      <c r="G968" s="16">
        <f>IF($C968="","",1)</f>
        <v/>
      </c>
    </row>
    <row r="969">
      <c r="A969" s="16">
        <f>IF('VERI_A'!$A969="","",ROW()-ROW(tblVeriA[[#Headers]]))</f>
        <v/>
      </c>
      <c r="B969" s="23">
        <f>IF('VERI_A'!$A969="","",'VERI_A'!$A969)</f>
        <v/>
      </c>
      <c r="C969" s="16">
        <f>IF($B969="","",IF(OR('VERI_A'!$B969="",'VERI_A'!$B969=0),"TARIH_BOS",IF(LEN(TRIM('VERI_A'!$C969&amp;""))&lt;&gt;dbe_vknUzunluk,"VKN_UZUNLUK",IF('VERI_A'!$G969&lt;0,"TUTAR_NEGATIF",IF('VERI_A'!$I969="","DONEM_EKSIK",""))))</f>
        <v/>
      </c>
      <c r="D969" s="16">
        <f>IF($C969="","",IF($C969="TARIH_BOS","Belge tarihi zorunlu",IF($C969="VKN_UZUNLUK","VKN 10 hane olmalı",IF($C969="TUTAR_NEGATIF","Toplam negatif olamaz",IF($C969="DONEM_EKSIK","Dönem zorunlu","Elle incele"))))</f>
        <v/>
      </c>
      <c r="E969" s="16">
        <f>IF($C969="","",IF(OR($C969="TUTAR_NEGATIF",$C969="TARIH_BOS"),"YUKSEK","ORTA"))</f>
        <v/>
      </c>
      <c r="F969" s="16">
        <f>IF($C969="","",IF(OR($C969="TARIH_BOS",$C969="VKN_UZUNLUK",$C969="TUTAR_NEGATIF",$C969="DONEM_EKSIK"),$C969,"TANIMSIZ"))</f>
        <v/>
      </c>
      <c r="G969" s="16">
        <f>IF($C969="","",1)</f>
        <v/>
      </c>
    </row>
    <row r="970">
      <c r="A970" s="16">
        <f>IF('VERI_A'!$A970="","",ROW()-ROW(tblVeriA[[#Headers]]))</f>
        <v/>
      </c>
      <c r="B970" s="23">
        <f>IF('VERI_A'!$A970="","",'VERI_A'!$A970)</f>
        <v/>
      </c>
      <c r="C970" s="16">
        <f>IF($B970="","",IF(OR('VERI_A'!$B970="",'VERI_A'!$B970=0),"TARIH_BOS",IF(LEN(TRIM('VERI_A'!$C970&amp;""))&lt;&gt;dbe_vknUzunluk,"VKN_UZUNLUK",IF('VERI_A'!$G970&lt;0,"TUTAR_NEGATIF",IF('VERI_A'!$I970="","DONEM_EKSIK",""))))</f>
        <v/>
      </c>
      <c r="D970" s="16">
        <f>IF($C970="","",IF($C970="TARIH_BOS","Belge tarihi zorunlu",IF($C970="VKN_UZUNLUK","VKN 10 hane olmalı",IF($C970="TUTAR_NEGATIF","Toplam negatif olamaz",IF($C970="DONEM_EKSIK","Dönem zorunlu","Elle incele"))))</f>
        <v/>
      </c>
      <c r="E970" s="16">
        <f>IF($C970="","",IF(OR($C970="TUTAR_NEGATIF",$C970="TARIH_BOS"),"YUKSEK","ORTA"))</f>
        <v/>
      </c>
      <c r="F970" s="16">
        <f>IF($C970="","",IF(OR($C970="TARIH_BOS",$C970="VKN_UZUNLUK",$C970="TUTAR_NEGATIF",$C970="DONEM_EKSIK"),$C970,"TANIMSIZ"))</f>
        <v/>
      </c>
      <c r="G970" s="16">
        <f>IF($C970="","",1)</f>
        <v/>
      </c>
    </row>
    <row r="971">
      <c r="A971" s="16">
        <f>IF('VERI_A'!$A971="","",ROW()-ROW(tblVeriA[[#Headers]]))</f>
        <v/>
      </c>
      <c r="B971" s="23">
        <f>IF('VERI_A'!$A971="","",'VERI_A'!$A971)</f>
        <v/>
      </c>
      <c r="C971" s="16">
        <f>IF($B971="","",IF(OR('VERI_A'!$B971="",'VERI_A'!$B971=0),"TARIH_BOS",IF(LEN(TRIM('VERI_A'!$C971&amp;""))&lt;&gt;dbe_vknUzunluk,"VKN_UZUNLUK",IF('VERI_A'!$G971&lt;0,"TUTAR_NEGATIF",IF('VERI_A'!$I971="","DONEM_EKSIK",""))))</f>
        <v/>
      </c>
      <c r="D971" s="16">
        <f>IF($C971="","",IF($C971="TARIH_BOS","Belge tarihi zorunlu",IF($C971="VKN_UZUNLUK","VKN 10 hane olmalı",IF($C971="TUTAR_NEGATIF","Toplam negatif olamaz",IF($C971="DONEM_EKSIK","Dönem zorunlu","Elle incele"))))</f>
        <v/>
      </c>
      <c r="E971" s="16">
        <f>IF($C971="","",IF(OR($C971="TUTAR_NEGATIF",$C971="TARIH_BOS"),"YUKSEK","ORTA"))</f>
        <v/>
      </c>
      <c r="F971" s="16">
        <f>IF($C971="","",IF(OR($C971="TARIH_BOS",$C971="VKN_UZUNLUK",$C971="TUTAR_NEGATIF",$C971="DONEM_EKSIK"),$C971,"TANIMSIZ"))</f>
        <v/>
      </c>
      <c r="G971" s="16">
        <f>IF($C971="","",1)</f>
        <v/>
      </c>
    </row>
    <row r="972">
      <c r="A972" s="16">
        <f>IF('VERI_A'!$A972="","",ROW()-ROW(tblVeriA[[#Headers]]))</f>
        <v/>
      </c>
      <c r="B972" s="23">
        <f>IF('VERI_A'!$A972="","",'VERI_A'!$A972)</f>
        <v/>
      </c>
      <c r="C972" s="16">
        <f>IF($B972="","",IF(OR('VERI_A'!$B972="",'VERI_A'!$B972=0),"TARIH_BOS",IF(LEN(TRIM('VERI_A'!$C972&amp;""))&lt;&gt;dbe_vknUzunluk,"VKN_UZUNLUK",IF('VERI_A'!$G972&lt;0,"TUTAR_NEGATIF",IF('VERI_A'!$I972="","DONEM_EKSIK",""))))</f>
        <v/>
      </c>
      <c r="D972" s="16">
        <f>IF($C972="","",IF($C972="TARIH_BOS","Belge tarihi zorunlu",IF($C972="VKN_UZUNLUK","VKN 10 hane olmalı",IF($C972="TUTAR_NEGATIF","Toplam negatif olamaz",IF($C972="DONEM_EKSIK","Dönem zorunlu","Elle incele"))))</f>
        <v/>
      </c>
      <c r="E972" s="16">
        <f>IF($C972="","",IF(OR($C972="TUTAR_NEGATIF",$C972="TARIH_BOS"),"YUKSEK","ORTA"))</f>
        <v/>
      </c>
      <c r="F972" s="16">
        <f>IF($C972="","",IF(OR($C972="TARIH_BOS",$C972="VKN_UZUNLUK",$C972="TUTAR_NEGATIF",$C972="DONEM_EKSIK"),$C972,"TANIMSIZ"))</f>
        <v/>
      </c>
      <c r="G972" s="16">
        <f>IF($C972="","",1)</f>
        <v/>
      </c>
    </row>
    <row r="973">
      <c r="A973" s="16">
        <f>IF('VERI_A'!$A973="","",ROW()-ROW(tblVeriA[[#Headers]]))</f>
        <v/>
      </c>
      <c r="B973" s="23">
        <f>IF('VERI_A'!$A973="","",'VERI_A'!$A973)</f>
        <v/>
      </c>
      <c r="C973" s="16">
        <f>IF($B973="","",IF(OR('VERI_A'!$B973="",'VERI_A'!$B973=0),"TARIH_BOS",IF(LEN(TRIM('VERI_A'!$C973&amp;""))&lt;&gt;dbe_vknUzunluk,"VKN_UZUNLUK",IF('VERI_A'!$G973&lt;0,"TUTAR_NEGATIF",IF('VERI_A'!$I973="","DONEM_EKSIK",""))))</f>
        <v/>
      </c>
      <c r="D973" s="16">
        <f>IF($C973="","",IF($C973="TARIH_BOS","Belge tarihi zorunlu",IF($C973="VKN_UZUNLUK","VKN 10 hane olmalı",IF($C973="TUTAR_NEGATIF","Toplam negatif olamaz",IF($C973="DONEM_EKSIK","Dönem zorunlu","Elle incele"))))</f>
        <v/>
      </c>
      <c r="E973" s="16">
        <f>IF($C973="","",IF(OR($C973="TUTAR_NEGATIF",$C973="TARIH_BOS"),"YUKSEK","ORTA"))</f>
        <v/>
      </c>
      <c r="F973" s="16">
        <f>IF($C973="","",IF(OR($C973="TARIH_BOS",$C973="VKN_UZUNLUK",$C973="TUTAR_NEGATIF",$C973="DONEM_EKSIK"),$C973,"TANIMSIZ"))</f>
        <v/>
      </c>
      <c r="G973" s="16">
        <f>IF($C973="","",1)</f>
        <v/>
      </c>
    </row>
    <row r="974">
      <c r="A974" s="16">
        <f>IF('VERI_A'!$A974="","",ROW()-ROW(tblVeriA[[#Headers]]))</f>
        <v/>
      </c>
      <c r="B974" s="23">
        <f>IF('VERI_A'!$A974="","",'VERI_A'!$A974)</f>
        <v/>
      </c>
      <c r="C974" s="16">
        <f>IF($B974="","",IF(OR('VERI_A'!$B974="",'VERI_A'!$B974=0),"TARIH_BOS",IF(LEN(TRIM('VERI_A'!$C974&amp;""))&lt;&gt;dbe_vknUzunluk,"VKN_UZUNLUK",IF('VERI_A'!$G974&lt;0,"TUTAR_NEGATIF",IF('VERI_A'!$I974="","DONEM_EKSIK",""))))</f>
        <v/>
      </c>
      <c r="D974" s="16">
        <f>IF($C974="","",IF($C974="TARIH_BOS","Belge tarihi zorunlu",IF($C974="VKN_UZUNLUK","VKN 10 hane olmalı",IF($C974="TUTAR_NEGATIF","Toplam negatif olamaz",IF($C974="DONEM_EKSIK","Dönem zorunlu","Elle incele"))))</f>
        <v/>
      </c>
      <c r="E974" s="16">
        <f>IF($C974="","",IF(OR($C974="TUTAR_NEGATIF",$C974="TARIH_BOS"),"YUKSEK","ORTA"))</f>
        <v/>
      </c>
      <c r="F974" s="16">
        <f>IF($C974="","",IF(OR($C974="TARIH_BOS",$C974="VKN_UZUNLUK",$C974="TUTAR_NEGATIF",$C974="DONEM_EKSIK"),$C974,"TANIMSIZ"))</f>
        <v/>
      </c>
      <c r="G974" s="16">
        <f>IF($C974="","",1)</f>
        <v/>
      </c>
    </row>
    <row r="975">
      <c r="A975" s="16">
        <f>IF('VERI_A'!$A975="","",ROW()-ROW(tblVeriA[[#Headers]]))</f>
        <v/>
      </c>
      <c r="B975" s="23">
        <f>IF('VERI_A'!$A975="","",'VERI_A'!$A975)</f>
        <v/>
      </c>
      <c r="C975" s="16">
        <f>IF($B975="","",IF(OR('VERI_A'!$B975="",'VERI_A'!$B975=0),"TARIH_BOS",IF(LEN(TRIM('VERI_A'!$C975&amp;""))&lt;&gt;dbe_vknUzunluk,"VKN_UZUNLUK",IF('VERI_A'!$G975&lt;0,"TUTAR_NEGATIF",IF('VERI_A'!$I975="","DONEM_EKSIK",""))))</f>
        <v/>
      </c>
      <c r="D975" s="16">
        <f>IF($C975="","",IF($C975="TARIH_BOS","Belge tarihi zorunlu",IF($C975="VKN_UZUNLUK","VKN 10 hane olmalı",IF($C975="TUTAR_NEGATIF","Toplam negatif olamaz",IF($C975="DONEM_EKSIK","Dönem zorunlu","Elle incele"))))</f>
        <v/>
      </c>
      <c r="E975" s="16">
        <f>IF($C975="","",IF(OR($C975="TUTAR_NEGATIF",$C975="TARIH_BOS"),"YUKSEK","ORTA"))</f>
        <v/>
      </c>
      <c r="F975" s="16">
        <f>IF($C975="","",IF(OR($C975="TARIH_BOS",$C975="VKN_UZUNLUK",$C975="TUTAR_NEGATIF",$C975="DONEM_EKSIK"),$C975,"TANIMSIZ"))</f>
        <v/>
      </c>
      <c r="G975" s="16">
        <f>IF($C975="","",1)</f>
        <v/>
      </c>
    </row>
    <row r="976">
      <c r="A976" s="16">
        <f>IF('VERI_A'!$A976="","",ROW()-ROW(tblVeriA[[#Headers]]))</f>
        <v/>
      </c>
      <c r="B976" s="23">
        <f>IF('VERI_A'!$A976="","",'VERI_A'!$A976)</f>
        <v/>
      </c>
      <c r="C976" s="16">
        <f>IF($B976="","",IF(OR('VERI_A'!$B976="",'VERI_A'!$B976=0),"TARIH_BOS",IF(LEN(TRIM('VERI_A'!$C976&amp;""))&lt;&gt;dbe_vknUzunluk,"VKN_UZUNLUK",IF('VERI_A'!$G976&lt;0,"TUTAR_NEGATIF",IF('VERI_A'!$I976="","DONEM_EKSIK",""))))</f>
        <v/>
      </c>
      <c r="D976" s="16">
        <f>IF($C976="","",IF($C976="TARIH_BOS","Belge tarihi zorunlu",IF($C976="VKN_UZUNLUK","VKN 10 hane olmalı",IF($C976="TUTAR_NEGATIF","Toplam negatif olamaz",IF($C976="DONEM_EKSIK","Dönem zorunlu","Elle incele"))))</f>
        <v/>
      </c>
      <c r="E976" s="16">
        <f>IF($C976="","",IF(OR($C976="TUTAR_NEGATIF",$C976="TARIH_BOS"),"YUKSEK","ORTA"))</f>
        <v/>
      </c>
      <c r="F976" s="16">
        <f>IF($C976="","",IF(OR($C976="TARIH_BOS",$C976="VKN_UZUNLUK",$C976="TUTAR_NEGATIF",$C976="DONEM_EKSIK"),$C976,"TANIMSIZ"))</f>
        <v/>
      </c>
      <c r="G976" s="16">
        <f>IF($C976="","",1)</f>
        <v/>
      </c>
    </row>
    <row r="977">
      <c r="A977" s="16">
        <f>IF('VERI_A'!$A977="","",ROW()-ROW(tblVeriA[[#Headers]]))</f>
        <v/>
      </c>
      <c r="B977" s="23">
        <f>IF('VERI_A'!$A977="","",'VERI_A'!$A977)</f>
        <v/>
      </c>
      <c r="C977" s="16">
        <f>IF($B977="","",IF(OR('VERI_A'!$B977="",'VERI_A'!$B977=0),"TARIH_BOS",IF(LEN(TRIM('VERI_A'!$C977&amp;""))&lt;&gt;dbe_vknUzunluk,"VKN_UZUNLUK",IF('VERI_A'!$G977&lt;0,"TUTAR_NEGATIF",IF('VERI_A'!$I977="","DONEM_EKSIK",""))))</f>
        <v/>
      </c>
      <c r="D977" s="16">
        <f>IF($C977="","",IF($C977="TARIH_BOS","Belge tarihi zorunlu",IF($C977="VKN_UZUNLUK","VKN 10 hane olmalı",IF($C977="TUTAR_NEGATIF","Toplam negatif olamaz",IF($C977="DONEM_EKSIK","Dönem zorunlu","Elle incele"))))</f>
        <v/>
      </c>
      <c r="E977" s="16">
        <f>IF($C977="","",IF(OR($C977="TUTAR_NEGATIF",$C977="TARIH_BOS"),"YUKSEK","ORTA"))</f>
        <v/>
      </c>
      <c r="F977" s="16">
        <f>IF($C977="","",IF(OR($C977="TARIH_BOS",$C977="VKN_UZUNLUK",$C977="TUTAR_NEGATIF",$C977="DONEM_EKSIK"),$C977,"TANIMSIZ"))</f>
        <v/>
      </c>
      <c r="G977" s="16">
        <f>IF($C977="","",1)</f>
        <v/>
      </c>
    </row>
    <row r="978">
      <c r="A978" s="16">
        <f>IF('VERI_A'!$A978="","",ROW()-ROW(tblVeriA[[#Headers]]))</f>
        <v/>
      </c>
      <c r="B978" s="23">
        <f>IF('VERI_A'!$A978="","",'VERI_A'!$A978)</f>
        <v/>
      </c>
      <c r="C978" s="16">
        <f>IF($B978="","",IF(OR('VERI_A'!$B978="",'VERI_A'!$B978=0),"TARIH_BOS",IF(LEN(TRIM('VERI_A'!$C978&amp;""))&lt;&gt;dbe_vknUzunluk,"VKN_UZUNLUK",IF('VERI_A'!$G978&lt;0,"TUTAR_NEGATIF",IF('VERI_A'!$I978="","DONEM_EKSIK",""))))</f>
        <v/>
      </c>
      <c r="D978" s="16">
        <f>IF($C978="","",IF($C978="TARIH_BOS","Belge tarihi zorunlu",IF($C978="VKN_UZUNLUK","VKN 10 hane olmalı",IF($C978="TUTAR_NEGATIF","Toplam negatif olamaz",IF($C978="DONEM_EKSIK","Dönem zorunlu","Elle incele"))))</f>
        <v/>
      </c>
      <c r="E978" s="16">
        <f>IF($C978="","",IF(OR($C978="TUTAR_NEGATIF",$C978="TARIH_BOS"),"YUKSEK","ORTA"))</f>
        <v/>
      </c>
      <c r="F978" s="16">
        <f>IF($C978="","",IF(OR($C978="TARIH_BOS",$C978="VKN_UZUNLUK",$C978="TUTAR_NEGATIF",$C978="DONEM_EKSIK"),$C978,"TANIMSIZ"))</f>
        <v/>
      </c>
      <c r="G978" s="16">
        <f>IF($C978="","",1)</f>
        <v/>
      </c>
    </row>
    <row r="979">
      <c r="A979" s="16">
        <f>IF('VERI_A'!$A979="","",ROW()-ROW(tblVeriA[[#Headers]]))</f>
        <v/>
      </c>
      <c r="B979" s="23">
        <f>IF('VERI_A'!$A979="","",'VERI_A'!$A979)</f>
        <v/>
      </c>
      <c r="C979" s="16">
        <f>IF($B979="","",IF(OR('VERI_A'!$B979="",'VERI_A'!$B979=0),"TARIH_BOS",IF(LEN(TRIM('VERI_A'!$C979&amp;""))&lt;&gt;dbe_vknUzunluk,"VKN_UZUNLUK",IF('VERI_A'!$G979&lt;0,"TUTAR_NEGATIF",IF('VERI_A'!$I979="","DONEM_EKSIK",""))))</f>
        <v/>
      </c>
      <c r="D979" s="16">
        <f>IF($C979="","",IF($C979="TARIH_BOS","Belge tarihi zorunlu",IF($C979="VKN_UZUNLUK","VKN 10 hane olmalı",IF($C979="TUTAR_NEGATIF","Toplam negatif olamaz",IF($C979="DONEM_EKSIK","Dönem zorunlu","Elle incele"))))</f>
        <v/>
      </c>
      <c r="E979" s="16">
        <f>IF($C979="","",IF(OR($C979="TUTAR_NEGATIF",$C979="TARIH_BOS"),"YUKSEK","ORTA"))</f>
        <v/>
      </c>
      <c r="F979" s="16">
        <f>IF($C979="","",IF(OR($C979="TARIH_BOS",$C979="VKN_UZUNLUK",$C979="TUTAR_NEGATIF",$C979="DONEM_EKSIK"),$C979,"TANIMSIZ"))</f>
        <v/>
      </c>
      <c r="G979" s="16">
        <f>IF($C979="","",1)</f>
        <v/>
      </c>
    </row>
    <row r="980">
      <c r="A980" s="16">
        <f>IF('VERI_A'!$A980="","",ROW()-ROW(tblVeriA[[#Headers]]))</f>
        <v/>
      </c>
      <c r="B980" s="23">
        <f>IF('VERI_A'!$A980="","",'VERI_A'!$A980)</f>
        <v/>
      </c>
      <c r="C980" s="16">
        <f>IF($B980="","",IF(OR('VERI_A'!$B980="",'VERI_A'!$B980=0),"TARIH_BOS",IF(LEN(TRIM('VERI_A'!$C980&amp;""))&lt;&gt;dbe_vknUzunluk,"VKN_UZUNLUK",IF('VERI_A'!$G980&lt;0,"TUTAR_NEGATIF",IF('VERI_A'!$I980="","DONEM_EKSIK",""))))</f>
        <v/>
      </c>
      <c r="D980" s="16">
        <f>IF($C980="","",IF($C980="TARIH_BOS","Belge tarihi zorunlu",IF($C980="VKN_UZUNLUK","VKN 10 hane olmalı",IF($C980="TUTAR_NEGATIF","Toplam negatif olamaz",IF($C980="DONEM_EKSIK","Dönem zorunlu","Elle incele"))))</f>
        <v/>
      </c>
      <c r="E980" s="16">
        <f>IF($C980="","",IF(OR($C980="TUTAR_NEGATIF",$C980="TARIH_BOS"),"YUKSEK","ORTA"))</f>
        <v/>
      </c>
      <c r="F980" s="16">
        <f>IF($C980="","",IF(OR($C980="TARIH_BOS",$C980="VKN_UZUNLUK",$C980="TUTAR_NEGATIF",$C980="DONEM_EKSIK"),$C980,"TANIMSIZ"))</f>
        <v/>
      </c>
      <c r="G980" s="16">
        <f>IF($C980="","",1)</f>
        <v/>
      </c>
    </row>
    <row r="981">
      <c r="A981" s="16">
        <f>IF('VERI_A'!$A981="","",ROW()-ROW(tblVeriA[[#Headers]]))</f>
        <v/>
      </c>
      <c r="B981" s="23">
        <f>IF('VERI_A'!$A981="","",'VERI_A'!$A981)</f>
        <v/>
      </c>
      <c r="C981" s="16">
        <f>IF($B981="","",IF(OR('VERI_A'!$B981="",'VERI_A'!$B981=0),"TARIH_BOS",IF(LEN(TRIM('VERI_A'!$C981&amp;""))&lt;&gt;dbe_vknUzunluk,"VKN_UZUNLUK",IF('VERI_A'!$G981&lt;0,"TUTAR_NEGATIF",IF('VERI_A'!$I981="","DONEM_EKSIK",""))))</f>
        <v/>
      </c>
      <c r="D981" s="16">
        <f>IF($C981="","",IF($C981="TARIH_BOS","Belge tarihi zorunlu",IF($C981="VKN_UZUNLUK","VKN 10 hane olmalı",IF($C981="TUTAR_NEGATIF","Toplam negatif olamaz",IF($C981="DONEM_EKSIK","Dönem zorunlu","Elle incele"))))</f>
        <v/>
      </c>
      <c r="E981" s="16">
        <f>IF($C981="","",IF(OR($C981="TUTAR_NEGATIF",$C981="TARIH_BOS"),"YUKSEK","ORTA"))</f>
        <v/>
      </c>
      <c r="F981" s="16">
        <f>IF($C981="","",IF(OR($C981="TARIH_BOS",$C981="VKN_UZUNLUK",$C981="TUTAR_NEGATIF",$C981="DONEM_EKSIK"),$C981,"TANIMSIZ"))</f>
        <v/>
      </c>
      <c r="G981" s="16">
        <f>IF($C981="","",1)</f>
        <v/>
      </c>
    </row>
    <row r="982">
      <c r="A982" s="16">
        <f>IF('VERI_A'!$A982="","",ROW()-ROW(tblVeriA[[#Headers]]))</f>
        <v/>
      </c>
      <c r="B982" s="23">
        <f>IF('VERI_A'!$A982="","",'VERI_A'!$A982)</f>
        <v/>
      </c>
      <c r="C982" s="16">
        <f>IF($B982="","",IF(OR('VERI_A'!$B982="",'VERI_A'!$B982=0),"TARIH_BOS",IF(LEN(TRIM('VERI_A'!$C982&amp;""))&lt;&gt;dbe_vknUzunluk,"VKN_UZUNLUK",IF('VERI_A'!$G982&lt;0,"TUTAR_NEGATIF",IF('VERI_A'!$I982="","DONEM_EKSIK",""))))</f>
        <v/>
      </c>
      <c r="D982" s="16">
        <f>IF($C982="","",IF($C982="TARIH_BOS","Belge tarihi zorunlu",IF($C982="VKN_UZUNLUK","VKN 10 hane olmalı",IF($C982="TUTAR_NEGATIF","Toplam negatif olamaz",IF($C982="DONEM_EKSIK","Dönem zorunlu","Elle incele"))))</f>
        <v/>
      </c>
      <c r="E982" s="16">
        <f>IF($C982="","",IF(OR($C982="TUTAR_NEGATIF",$C982="TARIH_BOS"),"YUKSEK","ORTA"))</f>
        <v/>
      </c>
      <c r="F982" s="16">
        <f>IF($C982="","",IF(OR($C982="TARIH_BOS",$C982="VKN_UZUNLUK",$C982="TUTAR_NEGATIF",$C982="DONEM_EKSIK"),$C982,"TANIMSIZ"))</f>
        <v/>
      </c>
      <c r="G982" s="16">
        <f>IF($C982="","",1)</f>
        <v/>
      </c>
    </row>
    <row r="983">
      <c r="A983" s="16">
        <f>IF('VERI_A'!$A983="","",ROW()-ROW(tblVeriA[[#Headers]]))</f>
        <v/>
      </c>
      <c r="B983" s="23">
        <f>IF('VERI_A'!$A983="","",'VERI_A'!$A983)</f>
        <v/>
      </c>
      <c r="C983" s="16">
        <f>IF($B983="","",IF(OR('VERI_A'!$B983="",'VERI_A'!$B983=0),"TARIH_BOS",IF(LEN(TRIM('VERI_A'!$C983&amp;""))&lt;&gt;dbe_vknUzunluk,"VKN_UZUNLUK",IF('VERI_A'!$G983&lt;0,"TUTAR_NEGATIF",IF('VERI_A'!$I983="","DONEM_EKSIK",""))))</f>
        <v/>
      </c>
      <c r="D983" s="16">
        <f>IF($C983="","",IF($C983="TARIH_BOS","Belge tarihi zorunlu",IF($C983="VKN_UZUNLUK","VKN 10 hane olmalı",IF($C983="TUTAR_NEGATIF","Toplam negatif olamaz",IF($C983="DONEM_EKSIK","Dönem zorunlu","Elle incele"))))</f>
        <v/>
      </c>
      <c r="E983" s="16">
        <f>IF($C983="","",IF(OR($C983="TUTAR_NEGATIF",$C983="TARIH_BOS"),"YUKSEK","ORTA"))</f>
        <v/>
      </c>
      <c r="F983" s="16">
        <f>IF($C983="","",IF(OR($C983="TARIH_BOS",$C983="VKN_UZUNLUK",$C983="TUTAR_NEGATIF",$C983="DONEM_EKSIK"),$C983,"TANIMSIZ"))</f>
        <v/>
      </c>
      <c r="G983" s="16">
        <f>IF($C983="","",1)</f>
        <v/>
      </c>
    </row>
    <row r="984">
      <c r="A984" s="16">
        <f>IF('VERI_A'!$A984="","",ROW()-ROW(tblVeriA[[#Headers]]))</f>
        <v/>
      </c>
      <c r="B984" s="23">
        <f>IF('VERI_A'!$A984="","",'VERI_A'!$A984)</f>
        <v/>
      </c>
      <c r="C984" s="16">
        <f>IF($B984="","",IF(OR('VERI_A'!$B984="",'VERI_A'!$B984=0),"TARIH_BOS",IF(LEN(TRIM('VERI_A'!$C984&amp;""))&lt;&gt;dbe_vknUzunluk,"VKN_UZUNLUK",IF('VERI_A'!$G984&lt;0,"TUTAR_NEGATIF",IF('VERI_A'!$I984="","DONEM_EKSIK",""))))</f>
        <v/>
      </c>
      <c r="D984" s="16">
        <f>IF($C984="","",IF($C984="TARIH_BOS","Belge tarihi zorunlu",IF($C984="VKN_UZUNLUK","VKN 10 hane olmalı",IF($C984="TUTAR_NEGATIF","Toplam negatif olamaz",IF($C984="DONEM_EKSIK","Dönem zorunlu","Elle incele"))))</f>
        <v/>
      </c>
      <c r="E984" s="16">
        <f>IF($C984="","",IF(OR($C984="TUTAR_NEGATIF",$C984="TARIH_BOS"),"YUKSEK","ORTA"))</f>
        <v/>
      </c>
      <c r="F984" s="16">
        <f>IF($C984="","",IF(OR($C984="TARIH_BOS",$C984="VKN_UZUNLUK",$C984="TUTAR_NEGATIF",$C984="DONEM_EKSIK"),$C984,"TANIMSIZ"))</f>
        <v/>
      </c>
      <c r="G984" s="16">
        <f>IF($C984="","",1)</f>
        <v/>
      </c>
    </row>
    <row r="985">
      <c r="A985" s="16">
        <f>IF('VERI_A'!$A985="","",ROW()-ROW(tblVeriA[[#Headers]]))</f>
        <v/>
      </c>
      <c r="B985" s="23">
        <f>IF('VERI_A'!$A985="","",'VERI_A'!$A985)</f>
        <v/>
      </c>
      <c r="C985" s="16">
        <f>IF($B985="","",IF(OR('VERI_A'!$B985="",'VERI_A'!$B985=0),"TARIH_BOS",IF(LEN(TRIM('VERI_A'!$C985&amp;""))&lt;&gt;dbe_vknUzunluk,"VKN_UZUNLUK",IF('VERI_A'!$G985&lt;0,"TUTAR_NEGATIF",IF('VERI_A'!$I985="","DONEM_EKSIK",""))))</f>
        <v/>
      </c>
      <c r="D985" s="16">
        <f>IF($C985="","",IF($C985="TARIH_BOS","Belge tarihi zorunlu",IF($C985="VKN_UZUNLUK","VKN 10 hane olmalı",IF($C985="TUTAR_NEGATIF","Toplam negatif olamaz",IF($C985="DONEM_EKSIK","Dönem zorunlu","Elle incele"))))</f>
        <v/>
      </c>
      <c r="E985" s="16">
        <f>IF($C985="","",IF(OR($C985="TUTAR_NEGATIF",$C985="TARIH_BOS"),"YUKSEK","ORTA"))</f>
        <v/>
      </c>
      <c r="F985" s="16">
        <f>IF($C985="","",IF(OR($C985="TARIH_BOS",$C985="VKN_UZUNLUK",$C985="TUTAR_NEGATIF",$C985="DONEM_EKSIK"),$C985,"TANIMSIZ"))</f>
        <v/>
      </c>
      <c r="G985" s="16">
        <f>IF($C985="","",1)</f>
        <v/>
      </c>
    </row>
    <row r="986">
      <c r="A986" s="16">
        <f>IF('VERI_A'!$A986="","",ROW()-ROW(tblVeriA[[#Headers]]))</f>
        <v/>
      </c>
      <c r="B986" s="23">
        <f>IF('VERI_A'!$A986="","",'VERI_A'!$A986)</f>
        <v/>
      </c>
      <c r="C986" s="16">
        <f>IF($B986="","",IF(OR('VERI_A'!$B986="",'VERI_A'!$B986=0),"TARIH_BOS",IF(LEN(TRIM('VERI_A'!$C986&amp;""))&lt;&gt;dbe_vknUzunluk,"VKN_UZUNLUK",IF('VERI_A'!$G986&lt;0,"TUTAR_NEGATIF",IF('VERI_A'!$I986="","DONEM_EKSIK",""))))</f>
        <v/>
      </c>
      <c r="D986" s="16">
        <f>IF($C986="","",IF($C986="TARIH_BOS","Belge tarihi zorunlu",IF($C986="VKN_UZUNLUK","VKN 10 hane olmalı",IF($C986="TUTAR_NEGATIF","Toplam negatif olamaz",IF($C986="DONEM_EKSIK","Dönem zorunlu","Elle incele"))))</f>
        <v/>
      </c>
      <c r="E986" s="16">
        <f>IF($C986="","",IF(OR($C986="TUTAR_NEGATIF",$C986="TARIH_BOS"),"YUKSEK","ORTA"))</f>
        <v/>
      </c>
      <c r="F986" s="16">
        <f>IF($C986="","",IF(OR($C986="TARIH_BOS",$C986="VKN_UZUNLUK",$C986="TUTAR_NEGATIF",$C986="DONEM_EKSIK"),$C986,"TANIMSIZ"))</f>
        <v/>
      </c>
      <c r="G986" s="16">
        <f>IF($C986="","",1)</f>
        <v/>
      </c>
    </row>
    <row r="987">
      <c r="A987" s="16">
        <f>IF('VERI_A'!$A987="","",ROW()-ROW(tblVeriA[[#Headers]]))</f>
        <v/>
      </c>
      <c r="B987" s="23">
        <f>IF('VERI_A'!$A987="","",'VERI_A'!$A987)</f>
        <v/>
      </c>
      <c r="C987" s="16">
        <f>IF($B987="","",IF(OR('VERI_A'!$B987="",'VERI_A'!$B987=0),"TARIH_BOS",IF(LEN(TRIM('VERI_A'!$C987&amp;""))&lt;&gt;dbe_vknUzunluk,"VKN_UZUNLUK",IF('VERI_A'!$G987&lt;0,"TUTAR_NEGATIF",IF('VERI_A'!$I987="","DONEM_EKSIK",""))))</f>
        <v/>
      </c>
      <c r="D987" s="16">
        <f>IF($C987="","",IF($C987="TARIH_BOS","Belge tarihi zorunlu",IF($C987="VKN_UZUNLUK","VKN 10 hane olmalı",IF($C987="TUTAR_NEGATIF","Toplam negatif olamaz",IF($C987="DONEM_EKSIK","Dönem zorunlu","Elle incele"))))</f>
        <v/>
      </c>
      <c r="E987" s="16">
        <f>IF($C987="","",IF(OR($C987="TUTAR_NEGATIF",$C987="TARIH_BOS"),"YUKSEK","ORTA"))</f>
        <v/>
      </c>
      <c r="F987" s="16">
        <f>IF($C987="","",IF(OR($C987="TARIH_BOS",$C987="VKN_UZUNLUK",$C987="TUTAR_NEGATIF",$C987="DONEM_EKSIK"),$C987,"TANIMSIZ"))</f>
        <v/>
      </c>
      <c r="G987" s="16">
        <f>IF($C987="","",1)</f>
        <v/>
      </c>
    </row>
    <row r="988">
      <c r="A988" s="16">
        <f>IF('VERI_A'!$A988="","",ROW()-ROW(tblVeriA[[#Headers]]))</f>
        <v/>
      </c>
      <c r="B988" s="23">
        <f>IF('VERI_A'!$A988="","",'VERI_A'!$A988)</f>
        <v/>
      </c>
      <c r="C988" s="16">
        <f>IF($B988="","",IF(OR('VERI_A'!$B988="",'VERI_A'!$B988=0),"TARIH_BOS",IF(LEN(TRIM('VERI_A'!$C988&amp;""))&lt;&gt;dbe_vknUzunluk,"VKN_UZUNLUK",IF('VERI_A'!$G988&lt;0,"TUTAR_NEGATIF",IF('VERI_A'!$I988="","DONEM_EKSIK",""))))</f>
        <v/>
      </c>
      <c r="D988" s="16">
        <f>IF($C988="","",IF($C988="TARIH_BOS","Belge tarihi zorunlu",IF($C988="VKN_UZUNLUK","VKN 10 hane olmalı",IF($C988="TUTAR_NEGATIF","Toplam negatif olamaz",IF($C988="DONEM_EKSIK","Dönem zorunlu","Elle incele"))))</f>
        <v/>
      </c>
      <c r="E988" s="16">
        <f>IF($C988="","",IF(OR($C988="TUTAR_NEGATIF",$C988="TARIH_BOS"),"YUKSEK","ORTA"))</f>
        <v/>
      </c>
      <c r="F988" s="16">
        <f>IF($C988="","",IF(OR($C988="TARIH_BOS",$C988="VKN_UZUNLUK",$C988="TUTAR_NEGATIF",$C988="DONEM_EKSIK"),$C988,"TANIMSIZ"))</f>
        <v/>
      </c>
      <c r="G988" s="16">
        <f>IF($C988="","",1)</f>
        <v/>
      </c>
    </row>
    <row r="989">
      <c r="A989" s="16">
        <f>IF('VERI_A'!$A989="","",ROW()-ROW(tblVeriA[[#Headers]]))</f>
        <v/>
      </c>
      <c r="B989" s="23">
        <f>IF('VERI_A'!$A989="","",'VERI_A'!$A989)</f>
        <v/>
      </c>
      <c r="C989" s="16">
        <f>IF($B989="","",IF(OR('VERI_A'!$B989="",'VERI_A'!$B989=0),"TARIH_BOS",IF(LEN(TRIM('VERI_A'!$C989&amp;""))&lt;&gt;dbe_vknUzunluk,"VKN_UZUNLUK",IF('VERI_A'!$G989&lt;0,"TUTAR_NEGATIF",IF('VERI_A'!$I989="","DONEM_EKSIK",""))))</f>
        <v/>
      </c>
      <c r="D989" s="16">
        <f>IF($C989="","",IF($C989="TARIH_BOS","Belge tarihi zorunlu",IF($C989="VKN_UZUNLUK","VKN 10 hane olmalı",IF($C989="TUTAR_NEGATIF","Toplam negatif olamaz",IF($C989="DONEM_EKSIK","Dönem zorunlu","Elle incele"))))</f>
        <v/>
      </c>
      <c r="E989" s="16">
        <f>IF($C989="","",IF(OR($C989="TUTAR_NEGATIF",$C989="TARIH_BOS"),"YUKSEK","ORTA"))</f>
        <v/>
      </c>
      <c r="F989" s="16">
        <f>IF($C989="","",IF(OR($C989="TARIH_BOS",$C989="VKN_UZUNLUK",$C989="TUTAR_NEGATIF",$C989="DONEM_EKSIK"),$C989,"TANIMSIZ"))</f>
        <v/>
      </c>
      <c r="G989" s="16">
        <f>IF($C989="","",1)</f>
        <v/>
      </c>
    </row>
    <row r="990">
      <c r="A990" s="16">
        <f>IF('VERI_A'!$A990="","",ROW()-ROW(tblVeriA[[#Headers]]))</f>
        <v/>
      </c>
      <c r="B990" s="23">
        <f>IF('VERI_A'!$A990="","",'VERI_A'!$A990)</f>
        <v/>
      </c>
      <c r="C990" s="16">
        <f>IF($B990="","",IF(OR('VERI_A'!$B990="",'VERI_A'!$B990=0),"TARIH_BOS",IF(LEN(TRIM('VERI_A'!$C990&amp;""))&lt;&gt;dbe_vknUzunluk,"VKN_UZUNLUK",IF('VERI_A'!$G990&lt;0,"TUTAR_NEGATIF",IF('VERI_A'!$I990="","DONEM_EKSIK",""))))</f>
        <v/>
      </c>
      <c r="D990" s="16">
        <f>IF($C990="","",IF($C990="TARIH_BOS","Belge tarihi zorunlu",IF($C990="VKN_UZUNLUK","VKN 10 hane olmalı",IF($C990="TUTAR_NEGATIF","Toplam negatif olamaz",IF($C990="DONEM_EKSIK","Dönem zorunlu","Elle incele"))))</f>
        <v/>
      </c>
      <c r="E990" s="16">
        <f>IF($C990="","",IF(OR($C990="TUTAR_NEGATIF",$C990="TARIH_BOS"),"YUKSEK","ORTA"))</f>
        <v/>
      </c>
      <c r="F990" s="16">
        <f>IF($C990="","",IF(OR($C990="TARIH_BOS",$C990="VKN_UZUNLUK",$C990="TUTAR_NEGATIF",$C990="DONEM_EKSIK"),$C990,"TANIMSIZ"))</f>
        <v/>
      </c>
      <c r="G990" s="16">
        <f>IF($C990="","",1)</f>
        <v/>
      </c>
    </row>
    <row r="991">
      <c r="A991" s="16">
        <f>IF('VERI_A'!$A991="","",ROW()-ROW(tblVeriA[[#Headers]]))</f>
        <v/>
      </c>
      <c r="B991" s="23">
        <f>IF('VERI_A'!$A991="","",'VERI_A'!$A991)</f>
        <v/>
      </c>
      <c r="C991" s="16">
        <f>IF($B991="","",IF(OR('VERI_A'!$B991="",'VERI_A'!$B991=0),"TARIH_BOS",IF(LEN(TRIM('VERI_A'!$C991&amp;""))&lt;&gt;dbe_vknUzunluk,"VKN_UZUNLUK",IF('VERI_A'!$G991&lt;0,"TUTAR_NEGATIF",IF('VERI_A'!$I991="","DONEM_EKSIK",""))))</f>
        <v/>
      </c>
      <c r="D991" s="16">
        <f>IF($C991="","",IF($C991="TARIH_BOS","Belge tarihi zorunlu",IF($C991="VKN_UZUNLUK","VKN 10 hane olmalı",IF($C991="TUTAR_NEGATIF","Toplam negatif olamaz",IF($C991="DONEM_EKSIK","Dönem zorunlu","Elle incele"))))</f>
        <v/>
      </c>
      <c r="E991" s="16">
        <f>IF($C991="","",IF(OR($C991="TUTAR_NEGATIF",$C991="TARIH_BOS"),"YUKSEK","ORTA"))</f>
        <v/>
      </c>
      <c r="F991" s="16">
        <f>IF($C991="","",IF(OR($C991="TARIH_BOS",$C991="VKN_UZUNLUK",$C991="TUTAR_NEGATIF",$C991="DONEM_EKSIK"),$C991,"TANIMSIZ"))</f>
        <v/>
      </c>
      <c r="G991" s="16">
        <f>IF($C991="","",1)</f>
        <v/>
      </c>
    </row>
    <row r="992">
      <c r="A992" s="16">
        <f>IF('VERI_A'!$A992="","",ROW()-ROW(tblVeriA[[#Headers]]))</f>
        <v/>
      </c>
      <c r="B992" s="23">
        <f>IF('VERI_A'!$A992="","",'VERI_A'!$A992)</f>
        <v/>
      </c>
      <c r="C992" s="16">
        <f>IF($B992="","",IF(OR('VERI_A'!$B992="",'VERI_A'!$B992=0),"TARIH_BOS",IF(LEN(TRIM('VERI_A'!$C992&amp;""))&lt;&gt;dbe_vknUzunluk,"VKN_UZUNLUK",IF('VERI_A'!$G992&lt;0,"TUTAR_NEGATIF",IF('VERI_A'!$I992="","DONEM_EKSIK",""))))</f>
        <v/>
      </c>
      <c r="D992" s="16">
        <f>IF($C992="","",IF($C992="TARIH_BOS","Belge tarihi zorunlu",IF($C992="VKN_UZUNLUK","VKN 10 hane olmalı",IF($C992="TUTAR_NEGATIF","Toplam negatif olamaz",IF($C992="DONEM_EKSIK","Dönem zorunlu","Elle incele"))))</f>
        <v/>
      </c>
      <c r="E992" s="16">
        <f>IF($C992="","",IF(OR($C992="TUTAR_NEGATIF",$C992="TARIH_BOS"),"YUKSEK","ORTA"))</f>
        <v/>
      </c>
      <c r="F992" s="16">
        <f>IF($C992="","",IF(OR($C992="TARIH_BOS",$C992="VKN_UZUNLUK",$C992="TUTAR_NEGATIF",$C992="DONEM_EKSIK"),$C992,"TANIMSIZ"))</f>
        <v/>
      </c>
      <c r="G992" s="16">
        <f>IF($C992="","",1)</f>
        <v/>
      </c>
    </row>
    <row r="993">
      <c r="A993" s="16">
        <f>IF('VERI_A'!$A993="","",ROW()-ROW(tblVeriA[[#Headers]]))</f>
        <v/>
      </c>
      <c r="B993" s="23">
        <f>IF('VERI_A'!$A993="","",'VERI_A'!$A993)</f>
        <v/>
      </c>
      <c r="C993" s="16">
        <f>IF($B993="","",IF(OR('VERI_A'!$B993="",'VERI_A'!$B993=0),"TARIH_BOS",IF(LEN(TRIM('VERI_A'!$C993&amp;""))&lt;&gt;dbe_vknUzunluk,"VKN_UZUNLUK",IF('VERI_A'!$G993&lt;0,"TUTAR_NEGATIF",IF('VERI_A'!$I993="","DONEM_EKSIK",""))))</f>
        <v/>
      </c>
      <c r="D993" s="16">
        <f>IF($C993="","",IF($C993="TARIH_BOS","Belge tarihi zorunlu",IF($C993="VKN_UZUNLUK","VKN 10 hane olmalı",IF($C993="TUTAR_NEGATIF","Toplam negatif olamaz",IF($C993="DONEM_EKSIK","Dönem zorunlu","Elle incele"))))</f>
        <v/>
      </c>
      <c r="E993" s="16">
        <f>IF($C993="","",IF(OR($C993="TUTAR_NEGATIF",$C993="TARIH_BOS"),"YUKSEK","ORTA"))</f>
        <v/>
      </c>
      <c r="F993" s="16">
        <f>IF($C993="","",IF(OR($C993="TARIH_BOS",$C993="VKN_UZUNLUK",$C993="TUTAR_NEGATIF",$C993="DONEM_EKSIK"),$C993,"TANIMSIZ"))</f>
        <v/>
      </c>
      <c r="G993" s="16">
        <f>IF($C993="","",1)</f>
        <v/>
      </c>
    </row>
    <row r="994">
      <c r="A994" s="16">
        <f>IF('VERI_A'!$A994="","",ROW()-ROW(tblVeriA[[#Headers]]))</f>
        <v/>
      </c>
      <c r="B994" s="23">
        <f>IF('VERI_A'!$A994="","",'VERI_A'!$A994)</f>
        <v/>
      </c>
      <c r="C994" s="16">
        <f>IF($B994="","",IF(OR('VERI_A'!$B994="",'VERI_A'!$B994=0),"TARIH_BOS",IF(LEN(TRIM('VERI_A'!$C994&amp;""))&lt;&gt;dbe_vknUzunluk,"VKN_UZUNLUK",IF('VERI_A'!$G994&lt;0,"TUTAR_NEGATIF",IF('VERI_A'!$I994="","DONEM_EKSIK",""))))</f>
        <v/>
      </c>
      <c r="D994" s="16">
        <f>IF($C994="","",IF($C994="TARIH_BOS","Belge tarihi zorunlu",IF($C994="VKN_UZUNLUK","VKN 10 hane olmalı",IF($C994="TUTAR_NEGATIF","Toplam negatif olamaz",IF($C994="DONEM_EKSIK","Dönem zorunlu","Elle incele"))))</f>
        <v/>
      </c>
      <c r="E994" s="16">
        <f>IF($C994="","",IF(OR($C994="TUTAR_NEGATIF",$C994="TARIH_BOS"),"YUKSEK","ORTA"))</f>
        <v/>
      </c>
      <c r="F994" s="16">
        <f>IF($C994="","",IF(OR($C994="TARIH_BOS",$C994="VKN_UZUNLUK",$C994="TUTAR_NEGATIF",$C994="DONEM_EKSIK"),$C994,"TANIMSIZ"))</f>
        <v/>
      </c>
      <c r="G994" s="16">
        <f>IF($C994="","",1)</f>
        <v/>
      </c>
    </row>
    <row r="995">
      <c r="A995" s="16">
        <f>IF('VERI_A'!$A995="","",ROW()-ROW(tblVeriA[[#Headers]]))</f>
        <v/>
      </c>
      <c r="B995" s="23">
        <f>IF('VERI_A'!$A995="","",'VERI_A'!$A995)</f>
        <v/>
      </c>
      <c r="C995" s="16">
        <f>IF($B995="","",IF(OR('VERI_A'!$B995="",'VERI_A'!$B995=0),"TARIH_BOS",IF(LEN(TRIM('VERI_A'!$C995&amp;""))&lt;&gt;dbe_vknUzunluk,"VKN_UZUNLUK",IF('VERI_A'!$G995&lt;0,"TUTAR_NEGATIF",IF('VERI_A'!$I995="","DONEM_EKSIK",""))))</f>
        <v/>
      </c>
      <c r="D995" s="16">
        <f>IF($C995="","",IF($C995="TARIH_BOS","Belge tarihi zorunlu",IF($C995="VKN_UZUNLUK","VKN 10 hane olmalı",IF($C995="TUTAR_NEGATIF","Toplam negatif olamaz",IF($C995="DONEM_EKSIK","Dönem zorunlu","Elle incele"))))</f>
        <v/>
      </c>
      <c r="E995" s="16">
        <f>IF($C995="","",IF(OR($C995="TUTAR_NEGATIF",$C995="TARIH_BOS"),"YUKSEK","ORTA"))</f>
        <v/>
      </c>
      <c r="F995" s="16">
        <f>IF($C995="","",IF(OR($C995="TARIH_BOS",$C995="VKN_UZUNLUK",$C995="TUTAR_NEGATIF",$C995="DONEM_EKSIK"),$C995,"TANIMSIZ"))</f>
        <v/>
      </c>
      <c r="G995" s="16">
        <f>IF($C995="","",1)</f>
        <v/>
      </c>
    </row>
    <row r="996">
      <c r="A996" s="16">
        <f>IF('VERI_A'!$A996="","",ROW()-ROW(tblVeriA[[#Headers]]))</f>
        <v/>
      </c>
      <c r="B996" s="23">
        <f>IF('VERI_A'!$A996="","",'VERI_A'!$A996)</f>
        <v/>
      </c>
      <c r="C996" s="16">
        <f>IF($B996="","",IF(OR('VERI_A'!$B996="",'VERI_A'!$B996=0),"TARIH_BOS",IF(LEN(TRIM('VERI_A'!$C996&amp;""))&lt;&gt;dbe_vknUzunluk,"VKN_UZUNLUK",IF('VERI_A'!$G996&lt;0,"TUTAR_NEGATIF",IF('VERI_A'!$I996="","DONEM_EKSIK",""))))</f>
        <v/>
      </c>
      <c r="D996" s="16">
        <f>IF($C996="","",IF($C996="TARIH_BOS","Belge tarihi zorunlu",IF($C996="VKN_UZUNLUK","VKN 10 hane olmalı",IF($C996="TUTAR_NEGATIF","Toplam negatif olamaz",IF($C996="DONEM_EKSIK","Dönem zorunlu","Elle incele"))))</f>
        <v/>
      </c>
      <c r="E996" s="16">
        <f>IF($C996="","",IF(OR($C996="TUTAR_NEGATIF",$C996="TARIH_BOS"),"YUKSEK","ORTA"))</f>
        <v/>
      </c>
      <c r="F996" s="16">
        <f>IF($C996="","",IF(OR($C996="TARIH_BOS",$C996="VKN_UZUNLUK",$C996="TUTAR_NEGATIF",$C996="DONEM_EKSIK"),$C996,"TANIMSIZ"))</f>
        <v/>
      </c>
      <c r="G996" s="16">
        <f>IF($C996="","",1)</f>
        <v/>
      </c>
    </row>
    <row r="997">
      <c r="A997" s="16">
        <f>IF('VERI_A'!$A997="","",ROW()-ROW(tblVeriA[[#Headers]]))</f>
        <v/>
      </c>
      <c r="B997" s="23">
        <f>IF('VERI_A'!$A997="","",'VERI_A'!$A997)</f>
        <v/>
      </c>
      <c r="C997" s="16">
        <f>IF($B997="","",IF(OR('VERI_A'!$B997="",'VERI_A'!$B997=0),"TARIH_BOS",IF(LEN(TRIM('VERI_A'!$C997&amp;""))&lt;&gt;dbe_vknUzunluk,"VKN_UZUNLUK",IF('VERI_A'!$G997&lt;0,"TUTAR_NEGATIF",IF('VERI_A'!$I997="","DONEM_EKSIK",""))))</f>
        <v/>
      </c>
      <c r="D997" s="16">
        <f>IF($C997="","",IF($C997="TARIH_BOS","Belge tarihi zorunlu",IF($C997="VKN_UZUNLUK","VKN 10 hane olmalı",IF($C997="TUTAR_NEGATIF","Toplam negatif olamaz",IF($C997="DONEM_EKSIK","Dönem zorunlu","Elle incele"))))</f>
        <v/>
      </c>
      <c r="E997" s="16">
        <f>IF($C997="","",IF(OR($C997="TUTAR_NEGATIF",$C997="TARIH_BOS"),"YUKSEK","ORTA"))</f>
        <v/>
      </c>
      <c r="F997" s="16">
        <f>IF($C997="","",IF(OR($C997="TARIH_BOS",$C997="VKN_UZUNLUK",$C997="TUTAR_NEGATIF",$C997="DONEM_EKSIK"),$C997,"TANIMSIZ"))</f>
        <v/>
      </c>
      <c r="G997" s="16">
        <f>IF($C997="","",1)</f>
        <v/>
      </c>
    </row>
    <row r="998">
      <c r="A998" s="16">
        <f>IF('VERI_A'!$A998="","",ROW()-ROW(tblVeriA[[#Headers]]))</f>
        <v/>
      </c>
      <c r="B998" s="23">
        <f>IF('VERI_A'!$A998="","",'VERI_A'!$A998)</f>
        <v/>
      </c>
      <c r="C998" s="16">
        <f>IF($B998="","",IF(OR('VERI_A'!$B998="",'VERI_A'!$B998=0),"TARIH_BOS",IF(LEN(TRIM('VERI_A'!$C998&amp;""))&lt;&gt;dbe_vknUzunluk,"VKN_UZUNLUK",IF('VERI_A'!$G998&lt;0,"TUTAR_NEGATIF",IF('VERI_A'!$I998="","DONEM_EKSIK",""))))</f>
        <v/>
      </c>
      <c r="D998" s="16">
        <f>IF($C998="","",IF($C998="TARIH_BOS","Belge tarihi zorunlu",IF($C998="VKN_UZUNLUK","VKN 10 hane olmalı",IF($C998="TUTAR_NEGATIF","Toplam negatif olamaz",IF($C998="DONEM_EKSIK","Dönem zorunlu","Elle incele"))))</f>
        <v/>
      </c>
      <c r="E998" s="16">
        <f>IF($C998="","",IF(OR($C998="TUTAR_NEGATIF",$C998="TARIH_BOS"),"YUKSEK","ORTA"))</f>
        <v/>
      </c>
      <c r="F998" s="16">
        <f>IF($C998="","",IF(OR($C998="TARIH_BOS",$C998="VKN_UZUNLUK",$C998="TUTAR_NEGATIF",$C998="DONEM_EKSIK"),$C998,"TANIMSIZ"))</f>
        <v/>
      </c>
      <c r="G998" s="16">
        <f>IF($C998="","",1)</f>
        <v/>
      </c>
    </row>
    <row r="999">
      <c r="A999" s="16">
        <f>IF('VERI_A'!$A999="","",ROW()-ROW(tblVeriA[[#Headers]]))</f>
        <v/>
      </c>
      <c r="B999" s="23">
        <f>IF('VERI_A'!$A999="","",'VERI_A'!$A999)</f>
        <v/>
      </c>
      <c r="C999" s="16">
        <f>IF($B999="","",IF(OR('VERI_A'!$B999="",'VERI_A'!$B999=0),"TARIH_BOS",IF(LEN(TRIM('VERI_A'!$C999&amp;""))&lt;&gt;dbe_vknUzunluk,"VKN_UZUNLUK",IF('VERI_A'!$G999&lt;0,"TUTAR_NEGATIF",IF('VERI_A'!$I999="","DONEM_EKSIK",""))))</f>
        <v/>
      </c>
      <c r="D999" s="16">
        <f>IF($C999="","",IF($C999="TARIH_BOS","Belge tarihi zorunlu",IF($C999="VKN_UZUNLUK","VKN 10 hane olmalı",IF($C999="TUTAR_NEGATIF","Toplam negatif olamaz",IF($C999="DONEM_EKSIK","Dönem zorunlu","Elle incele"))))</f>
        <v/>
      </c>
      <c r="E999" s="16">
        <f>IF($C999="","",IF(OR($C999="TUTAR_NEGATIF",$C999="TARIH_BOS"),"YUKSEK","ORTA"))</f>
        <v/>
      </c>
      <c r="F999" s="16">
        <f>IF($C999="","",IF(OR($C999="TARIH_BOS",$C999="VKN_UZUNLUK",$C999="TUTAR_NEGATIF",$C999="DONEM_EKSIK"),$C999,"TANIMSIZ"))</f>
        <v/>
      </c>
      <c r="G999" s="16">
        <f>IF($C999="","",1)</f>
        <v/>
      </c>
    </row>
    <row r="1000">
      <c r="A1000" s="16">
        <f>IF('VERI_A'!$A1000="","",ROW()-ROW(tblVeriA[[#Headers]]))</f>
        <v/>
      </c>
      <c r="B1000" s="23">
        <f>IF('VERI_A'!$A1000="","",'VERI_A'!$A1000)</f>
        <v/>
      </c>
      <c r="C1000" s="16">
        <f>IF($B1000="","",IF(OR('VERI_A'!$B1000="",'VERI_A'!$B1000=0),"TARIH_BOS",IF(LEN(TRIM('VERI_A'!$C1000&amp;""))&lt;&gt;dbe_vknUzunluk,"VKN_UZUNLUK",IF('VERI_A'!$G1000&lt;0,"TUTAR_NEGATIF",IF('VERI_A'!$I1000="","DONEM_EKSIK",""))))</f>
        <v/>
      </c>
      <c r="D1000" s="16">
        <f>IF($C1000="","",IF($C1000="TARIH_BOS","Belge tarihi zorunlu",IF($C1000="VKN_UZUNLUK","VKN 10 hane olmalı",IF($C1000="TUTAR_NEGATIF","Toplam negatif olamaz",IF($C1000="DONEM_EKSIK","Dönem zorunlu","Elle incele"))))</f>
        <v/>
      </c>
      <c r="E1000" s="16">
        <f>IF($C1000="","",IF(OR($C1000="TUTAR_NEGATIF",$C1000="TARIH_BOS"),"YUKSEK","ORTA"))</f>
        <v/>
      </c>
      <c r="F1000" s="16">
        <f>IF($C1000="","",IF(OR($C1000="TARIH_BOS",$C1000="VKN_UZUNLUK",$C1000="TUTAR_NEGATIF",$C1000="DONEM_EKSIK"),$C1000,"TANIMSIZ"))</f>
        <v/>
      </c>
      <c r="G1000" s="16">
        <f>IF($C1000="","",1)</f>
        <v/>
      </c>
    </row>
    <row r="1001">
      <c r="A1001" s="16">
        <f>IF('VERI_A'!$A1001="","",ROW()-ROW(tblVeriA[[#Headers]]))</f>
        <v/>
      </c>
      <c r="B1001" s="23">
        <f>IF('VERI_A'!$A1001="","",'VERI_A'!$A1001)</f>
        <v/>
      </c>
      <c r="C1001" s="16">
        <f>IF($B1001="","",IF(OR('VERI_A'!$B1001="",'VERI_A'!$B1001=0),"TARIH_BOS",IF(LEN(TRIM('VERI_A'!$C1001&amp;""))&lt;&gt;dbe_vknUzunluk,"VKN_UZUNLUK",IF('VERI_A'!$G1001&lt;0,"TUTAR_NEGATIF",IF('VERI_A'!$I1001="","DONEM_EKSIK",""))))</f>
        <v/>
      </c>
      <c r="D1001" s="16">
        <f>IF($C1001="","",IF($C1001="TARIH_BOS","Belge tarihi zorunlu",IF($C1001="VKN_UZUNLUK","VKN 10 hane olmalı",IF($C1001="TUTAR_NEGATIF","Toplam negatif olamaz",IF($C1001="DONEM_EKSIK","Dönem zorunlu","Elle incele"))))</f>
        <v/>
      </c>
      <c r="E1001" s="16">
        <f>IF($C1001="","",IF(OR($C1001="TUTAR_NEGATIF",$C1001="TARIH_BOS"),"YUKSEK","ORTA"))</f>
        <v/>
      </c>
      <c r="F1001" s="16">
        <f>IF($C1001="","",IF(OR($C1001="TARIH_BOS",$C1001="VKN_UZUNLUK",$C1001="TUTAR_NEGATIF",$C1001="DONEM_EKSIK"),$C1001,"TANIMSIZ"))</f>
        <v/>
      </c>
      <c r="G1001" s="16">
        <f>IF($C1001="","",1)</f>
        <v/>
      </c>
    </row>
    <row r="1002">
      <c r="A1002" s="16">
        <f>IF('VERI_A'!$A1002="","",ROW()-ROW(tblVeriA[[#Headers]]))</f>
        <v/>
      </c>
      <c r="B1002" s="23">
        <f>IF('VERI_A'!$A1002="","",'VERI_A'!$A1002)</f>
        <v/>
      </c>
      <c r="C1002" s="16">
        <f>IF($B1002="","",IF(OR('VERI_A'!$B1002="",'VERI_A'!$B1002=0),"TARIH_BOS",IF(LEN(TRIM('VERI_A'!$C1002&amp;""))&lt;&gt;dbe_vknUzunluk,"VKN_UZUNLUK",IF('VERI_A'!$G1002&lt;0,"TUTAR_NEGATIF",IF('VERI_A'!$I1002="","DONEM_EKSIK",""))))</f>
        <v/>
      </c>
      <c r="D1002" s="16">
        <f>IF($C1002="","",IF($C1002="TARIH_BOS","Belge tarihi zorunlu",IF($C1002="VKN_UZUNLUK","VKN 10 hane olmalı",IF($C1002="TUTAR_NEGATIF","Toplam negatif olamaz",IF($C1002="DONEM_EKSIK","Dönem zorunlu","Elle incele"))))</f>
        <v/>
      </c>
      <c r="E1002" s="16">
        <f>IF($C1002="","",IF(OR($C1002="TUTAR_NEGATIF",$C1002="TARIH_BOS"),"YUKSEK","ORTA"))</f>
        <v/>
      </c>
      <c r="F1002" s="16">
        <f>IF($C1002="","",IF(OR($C1002="TARIH_BOS",$C1002="VKN_UZUNLUK",$C1002="TUTAR_NEGATIF",$C1002="DONEM_EKSIK"),$C1002,"TANIMSIZ"))</f>
        <v/>
      </c>
      <c r="G1002" s="16">
        <f>IF($C1002="","",1)</f>
        <v/>
      </c>
    </row>
    <row r="1003">
      <c r="A1003" s="16">
        <f>IF('VERI_A'!$A1003="","",ROW()-ROW(tblVeriA[[#Headers]]))</f>
        <v/>
      </c>
      <c r="B1003" s="23">
        <f>IF('VERI_A'!$A1003="","",'VERI_A'!$A1003)</f>
        <v/>
      </c>
      <c r="C1003" s="16">
        <f>IF($B1003="","",IF(OR('VERI_A'!$B1003="",'VERI_A'!$B1003=0),"TARIH_BOS",IF(LEN(TRIM('VERI_A'!$C1003&amp;""))&lt;&gt;dbe_vknUzunluk,"VKN_UZUNLUK",IF('VERI_A'!$G1003&lt;0,"TUTAR_NEGATIF",IF('VERI_A'!$I1003="","DONEM_EKSIK",""))))</f>
        <v/>
      </c>
      <c r="D1003" s="16">
        <f>IF($C1003="","",IF($C1003="TARIH_BOS","Belge tarihi zorunlu",IF($C1003="VKN_UZUNLUK","VKN 10 hane olmalı",IF($C1003="TUTAR_NEGATIF","Toplam negatif olamaz",IF($C1003="DONEM_EKSIK","Dönem zorunlu","Elle incele"))))</f>
        <v/>
      </c>
      <c r="E1003" s="16">
        <f>IF($C1003="","",IF(OR($C1003="TUTAR_NEGATIF",$C1003="TARIH_BOS"),"YUKSEK","ORTA"))</f>
        <v/>
      </c>
      <c r="F1003" s="16">
        <f>IF($C1003="","",IF(OR($C1003="TARIH_BOS",$C1003="VKN_UZUNLUK",$C1003="TUTAR_NEGATIF",$C1003="DONEM_EKSIK"),$C1003,"TANIMSIZ"))</f>
        <v/>
      </c>
      <c r="G1003" s="16">
        <f>IF($C1003="","",1)</f>
        <v/>
      </c>
    </row>
    <row r="1004">
      <c r="A1004" s="16">
        <f>IF('VERI_A'!$A1004="","",ROW()-ROW(tblVeriA[[#Headers]]))</f>
        <v/>
      </c>
      <c r="B1004" s="23">
        <f>IF('VERI_A'!$A1004="","",'VERI_A'!$A1004)</f>
        <v/>
      </c>
      <c r="C1004" s="16">
        <f>IF($B1004="","",IF(OR('VERI_A'!$B1004="",'VERI_A'!$B1004=0),"TARIH_BOS",IF(LEN(TRIM('VERI_A'!$C1004&amp;""))&lt;&gt;dbe_vknUzunluk,"VKN_UZUNLUK",IF('VERI_A'!$G1004&lt;0,"TUTAR_NEGATIF",IF('VERI_A'!$I1004="","DONEM_EKSIK",""))))</f>
        <v/>
      </c>
      <c r="D1004" s="16">
        <f>IF($C1004="","",IF($C1004="TARIH_BOS","Belge tarihi zorunlu",IF($C1004="VKN_UZUNLUK","VKN 10 hane olmalı",IF($C1004="TUTAR_NEGATIF","Toplam negatif olamaz",IF($C1004="DONEM_EKSIK","Dönem zorunlu","Elle incele"))))</f>
        <v/>
      </c>
      <c r="E1004" s="16">
        <f>IF($C1004="","",IF(OR($C1004="TUTAR_NEGATIF",$C1004="TARIH_BOS"),"YUKSEK","ORTA"))</f>
        <v/>
      </c>
      <c r="F1004" s="16">
        <f>IF($C1004="","",IF(OR($C1004="TARIH_BOS",$C1004="VKN_UZUNLUK",$C1004="TUTAR_NEGATIF",$C1004="DONEM_EKSIK"),$C1004,"TANIMSIZ"))</f>
        <v/>
      </c>
      <c r="G1004" s="16">
        <f>IF($C1004="","",1)</f>
        <v/>
      </c>
    </row>
    <row r="1005">
      <c r="A1005" s="16">
        <f>IF('VERI_A'!$A1005="","",ROW()-ROW(tblVeriA[[#Headers]]))</f>
        <v/>
      </c>
      <c r="B1005" s="23">
        <f>IF('VERI_A'!$A1005="","",'VERI_A'!$A1005)</f>
        <v/>
      </c>
      <c r="C1005" s="16">
        <f>IF($B1005="","",IF(OR('VERI_A'!$B1005="",'VERI_A'!$B1005=0),"TARIH_BOS",IF(LEN(TRIM('VERI_A'!$C1005&amp;""))&lt;&gt;dbe_vknUzunluk,"VKN_UZUNLUK",IF('VERI_A'!$G1005&lt;0,"TUTAR_NEGATIF",IF('VERI_A'!$I1005="","DONEM_EKSIK",""))))</f>
        <v/>
      </c>
      <c r="D1005" s="16">
        <f>IF($C1005="","",IF($C1005="TARIH_BOS","Belge tarihi zorunlu",IF($C1005="VKN_UZUNLUK","VKN 10 hane olmalı",IF($C1005="TUTAR_NEGATIF","Toplam negatif olamaz",IF($C1005="DONEM_EKSIK","Dönem zorunlu","Elle incele"))))</f>
        <v/>
      </c>
      <c r="E1005" s="16">
        <f>IF($C1005="","",IF(OR($C1005="TUTAR_NEGATIF",$C1005="TARIH_BOS"),"YUKSEK","ORTA"))</f>
        <v/>
      </c>
      <c r="F1005" s="16">
        <f>IF($C1005="","",IF(OR($C1005="TARIH_BOS",$C1005="VKN_UZUNLUK",$C1005="TUTAR_NEGATIF",$C1005="DONEM_EKSIK"),$C1005,"TANIMSIZ"))</f>
        <v/>
      </c>
      <c r="G1005" s="16">
        <f>IF($C1005="","",1)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conditionalFormatting sqref="E6:E1005">
    <cfRule type="cellIs" priority="1" operator="equal" dxfId="0">
      <formula>"YUKSEK"</formula>
    </cfRule>
    <cfRule type="cellIs" priority="2" operator="equal" dxfId="1">
      <formula>"ORTA"</formula>
    </cfRule>
  </conditionalFormatting>
  <conditionalFormatting sqref="C6:C1005">
    <cfRule type="cellIs" priority="3" operator="equal" dxfId="0">
      <formula>"TUTAR_NEGATIF"</formula>
    </cfRule>
  </conditionalFormatting>
  <conditionalFormatting sqref="F6:F1005">
    <cfRule type="cellIs" priority="4" operator="equal" dxfId="0">
      <formula>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F2942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Defter Beyan e-Arşiv Aktarım Düzenleyici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IF($A16="","",IF($C16&lt;=dbe_yuvarlamaEsik,1,0))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IF(OR($A16="",$B16&lt;&gt;"tutar_farki"),"",IF(ABS($C16-$D16)&lt;=toleransKurus,"KDV_ORAN",IF(ABS($C16-$E16*dbe_kdvOran)&lt;=toleransKurus,"MATRAH",IF($F16=1,"YUVARLAMA","TANIMSIZ"))))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IF($A17="","",IF($C17&lt;=dbe_yuvarlamaEsik,1,0))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IF(OR($A17="",$B17&lt;&gt;"tutar_farki"),"",IF(ABS($C17-$D17)&lt;=toleransKurus,"KDV_ORAN",IF(ABS($C17-$E17*dbe_kdvOran)&lt;=toleransKurus,"MATRAH",IF($F17=1,"YUVARLAMA","TANIMSIZ"))))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IF($A18="","",IF($C18&lt;=dbe_yuvarlamaEsik,1,0))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IF(OR($A18="",$B18&lt;&gt;"tutar_farki"),"",IF(ABS($C18-$D18)&lt;=toleransKurus,"KDV_ORAN",IF(ABS($C18-$E18*dbe_kdvOran)&lt;=toleransKurus,"MATRAH",IF($F18=1,"YUVARLAMA","TANIMSIZ"))))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IF($A19="","",IF($C19&lt;=dbe_yuvarlamaEsik,1,0))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IF(OR($A19="",$B19&lt;&gt;"tutar_farki"),"",IF(ABS($C19-$D19)&lt;=toleransKurus,"KDV_ORAN",IF(ABS($C19-$E19*dbe_kdvOran)&lt;=toleransKurus,"MATRAH",IF($F19=1,"YUVARLAMA","TANIMSIZ"))))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IF($A20="","",IF($C20&lt;=dbe_yuvarlamaEsik,1,0))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IF(OR($A20="",$B20&lt;&gt;"tutar_farki"),"",IF(ABS($C20-$D20)&lt;=toleransKurus,"KDV_ORAN",IF(ABS($C20-$E20*dbe_kdvOran)&lt;=toleransKurus,"MATRAH",IF($F20=1,"YUVARLAMA","TANIMSIZ"))))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IF($A21="","",IF($C21&lt;=dbe_yuvarlamaEsik,1,0))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IF(OR($A21="",$B21&lt;&gt;"tutar_farki"),"",IF(ABS($C21-$D21)&lt;=toleransKurus,"KDV_ORAN",IF(ABS($C21-$E21*dbe_kdvOran)&lt;=toleransKurus,"MATRAH",IF($F21=1,"YUVARLAMA","TANIMSIZ"))))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IF($A22="","",IF($C22&lt;=dbe_yuvarlamaEsik,1,0))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IF(OR($A22="",$B22&lt;&gt;"tutar_farki"),"",IF(ABS($C22-$D22)&lt;=toleransKurus,"KDV_ORAN",IF(ABS($C22-$E22*dbe_kdvOran)&lt;=toleransKurus,"MATRAH",IF($F22=1,"YUVARLAMA","TANIMSIZ"))))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IF($A23="","",IF($C23&lt;=dbe_yuvarlamaEsik,1,0))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IF(OR($A23="",$B23&lt;&gt;"tutar_farki"),"",IF(ABS($C23-$D23)&lt;=toleransKurus,"KDV_ORAN",IF(ABS($C23-$E23*dbe_kdvOran)&lt;=toleransKurus,"MATRAH",IF($F23=1,"YUVARLAMA","TANIMSIZ"))))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IF($A24="","",IF($C24&lt;=dbe_yuvarlamaEsik,1,0))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IF(OR($A24="",$B24&lt;&gt;"tutar_farki"),"",IF(ABS($C24-$D24)&lt;=toleransKurus,"KDV_ORAN",IF(ABS($C24-$E24*dbe_kdvOran)&lt;=toleransKurus,"MATRAH",IF($F24=1,"YUVARLAMA","TANIMSIZ"))))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IF($A25="","",IF($C25&lt;=dbe_yuvarlamaEsik,1,0))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IF(OR($A25="",$B25&lt;&gt;"tutar_farki"),"",IF(ABS($C25-$D25)&lt;=toleransKurus,"KDV_ORAN",IF(ABS($C25-$E25*dbe_kdvOran)&lt;=toleransKurus,"MATRAH",IF($F25=1,"YUVARLAMA","TANIMSIZ"))))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IF($A26="","",IF($C26&lt;=dbe_yuvarlamaEsik,1,0))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IF(OR($A26="",$B26&lt;&gt;"tutar_farki"),"",IF(ABS($C26-$D26)&lt;=toleransKurus,"KDV_ORAN",IF(ABS($C26-$E26*dbe_kdvOran)&lt;=toleransKurus,"MATRAH",IF($F26=1,"YUVARLAMA","TANIMSIZ"))))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IF($A27="","",IF($C27&lt;=dbe_yuvarlamaEsik,1,0))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IF(OR($A27="",$B27&lt;&gt;"tutar_farki"),"",IF(ABS($C27-$D27)&lt;=toleransKurus,"KDV_ORAN",IF(ABS($C27-$E27*dbe_kdvOran)&lt;=toleransKurus,"MATRAH",IF($F27=1,"YUVARLAMA","TANIMSIZ"))))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IF($A28="","",IF($C28&lt;=dbe_yuvarlamaEsik,1,0))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IF(OR($A28="",$B28&lt;&gt;"tutar_farki"),"",IF(ABS($C28-$D28)&lt;=toleransKurus,"KDV_ORAN",IF(ABS($C28-$E28*dbe_kdvOran)&lt;=toleransKurus,"MATRAH",IF($F28=1,"YUVARLAMA","TANIMSIZ"))))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IF($A29="","",IF($C29&lt;=dbe_yuvarlamaEsik,1,0))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IF(OR($A29="",$B29&lt;&gt;"tutar_farki"),"",IF(ABS($C29-$D29)&lt;=toleransKurus,"KDV_ORAN",IF(ABS($C29-$E29*dbe_kdvOran)&lt;=toleransKurus,"MATRAH",IF($F29=1,"YUVARLAMA","TANIMSIZ"))))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IF($A30="","",IF($C30&lt;=dbe_yuvarlamaEsik,1,0))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IF(OR($A30="",$B30&lt;&gt;"tutar_farki"),"",IF(ABS($C30-$D30)&lt;=toleransKurus,"KDV_ORAN",IF(ABS($C30-$E30*dbe_kdvOran)&lt;=toleransKurus,"MATRAH",IF($F30=1,"YUVARLAMA","TANIMSIZ"))))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IF($A31="","",IF($C31&lt;=dbe_yuvarlamaEsik,1,0))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IF(OR($A31="",$B31&lt;&gt;"tutar_farki"),"",IF(ABS($C31-$D31)&lt;=toleransKurus,"KDV_ORAN",IF(ABS($C31-$E31*dbe_kdvOran)&lt;=toleransKurus,"MATRAH",IF($F31=1,"YUVARLAMA","TANIMSIZ"))))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IF($A32="","",IF($C32&lt;=dbe_yuvarlamaEsik,1,0))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IF(OR($A32="",$B32&lt;&gt;"tutar_farki"),"",IF(ABS($C32-$D32)&lt;=toleransKurus,"KDV_ORAN",IF(ABS($C32-$E32*dbe_kdvOran)&lt;=toleransKurus,"MATRAH",IF($F32=1,"YUVARLAMA","TANIMSIZ"))))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IF($A33="","",IF($C33&lt;=dbe_yuvarlamaEsik,1,0))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IF(OR($A33="",$B33&lt;&gt;"tutar_farki"),"",IF(ABS($C33-$D33)&lt;=toleransKurus,"KDV_ORAN",IF(ABS($C33-$E33*dbe_kdvOran)&lt;=toleransKurus,"MATRAH",IF($F33=1,"YUVARLAMA","TANIMSIZ"))))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IF($A34="","",IF($C34&lt;=dbe_yuvarlamaEsik,1,0))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IF(OR($A34="",$B34&lt;&gt;"tutar_farki"),"",IF(ABS($C34-$D34)&lt;=toleransKurus,"KDV_ORAN",IF(ABS($C34-$E34*dbe_kdvOran)&lt;=toleransKurus,"MATRAH",IF($F34=1,"YUVARLAMA","TANIMSIZ"))))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IF($A35="","",IF($C35&lt;=dbe_yuvarlamaEsik,1,0))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IF(OR($A35="",$B35&lt;&gt;"tutar_farki"),"",IF(ABS($C35-$D35)&lt;=toleransKurus,"KDV_ORAN",IF(ABS($C35-$E35*dbe_kdvOran)&lt;=toleransKurus,"MATRAH",IF($F35=1,"YUVARLAMA","TANIMSIZ"))))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IF($A36="","",IF($C36&lt;=dbe_yuvarlamaEsik,1,0))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IF(OR($A36="",$B36&lt;&gt;"tutar_farki"),"",IF(ABS($C36-$D36)&lt;=toleransKurus,"KDV_ORAN",IF(ABS($C36-$E36*dbe_kdvOran)&lt;=toleransKurus,"MATRAH",IF($F36=1,"YUVARLAMA","TANIMSIZ"))))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IF($A37="","",IF($C37&lt;=dbe_yuvarlamaEsik,1,0))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IF(OR($A37="",$B37&lt;&gt;"tutar_farki"),"",IF(ABS($C37-$D37)&lt;=toleransKurus,"KDV_ORAN",IF(ABS($C37-$E37*dbe_kdvOran)&lt;=toleransKurus,"MATRAH",IF($F37=1,"YUVARLAMA","TANIMSIZ"))))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IF($A38="","",IF($C38&lt;=dbe_yuvarlamaEsik,1,0))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IF(OR($A38="",$B38&lt;&gt;"tutar_farki"),"",IF(ABS($C38-$D38)&lt;=toleransKurus,"KDV_ORAN",IF(ABS($C38-$E38*dbe_kdvOran)&lt;=toleransKurus,"MATRAH",IF($F38=1,"YUVARLAMA","TANIMSIZ"))))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IF($A39="","",IF($C39&lt;=dbe_yuvarlamaEsik,1,0))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IF(OR($A39="",$B39&lt;&gt;"tutar_farki"),"",IF(ABS($C39-$D39)&lt;=toleransKurus,"KDV_ORAN",IF(ABS($C39-$E39*dbe_kdvOran)&lt;=toleransKurus,"MATRAH",IF($F39=1,"YUVARLAMA","TANIMSIZ"))))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IF($A40="","",IF($C40&lt;=dbe_yuvarlamaEsik,1,0))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IF(OR($A40="",$B40&lt;&gt;"tutar_farki"),"",IF(ABS($C40-$D40)&lt;=toleransKurus,"KDV_ORAN",IF(ABS($C40-$E40*dbe_kdvOran)&lt;=toleransKurus,"MATRAH",IF($F40=1,"YUVARLAMA","TANIMSIZ"))))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IF($A41="","",IF($C41&lt;=dbe_yuvarlamaEsik,1,0))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IF(OR($A41="",$B41&lt;&gt;"tutar_farki"),"",IF(ABS($C41-$D41)&lt;=toleransKurus,"KDV_ORAN",IF(ABS($C41-$E41*dbe_kdvOran)&lt;=toleransKurus,"MATRAH",IF($F41=1,"YUVARLAMA","TANIMSIZ"))))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IF($A42="","",IF($C42&lt;=dbe_yuvarlamaEsik,1,0))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IF(OR($A42="",$B42&lt;&gt;"tutar_farki"),"",IF(ABS($C42-$D42)&lt;=toleransKurus,"KDV_ORAN",IF(ABS($C42-$E42*dbe_kdvOran)&lt;=toleransKurus,"MATRAH",IF($F42=1,"YUVARLAMA","TANIMSIZ"))))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IF($A43="","",IF($C43&lt;=dbe_yuvarlamaEsik,1,0))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IF(OR($A43="",$B43&lt;&gt;"tutar_farki"),"",IF(ABS($C43-$D43)&lt;=toleransKurus,"KDV_ORAN",IF(ABS($C43-$E43*dbe_kdvOran)&lt;=toleransKurus,"MATRAH",IF($F43=1,"YUVARLAMA","TANIMSIZ"))))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IF($A44="","",IF($C44&lt;=dbe_yuvarlamaEsik,1,0))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IF(OR($A44="",$B44&lt;&gt;"tutar_farki"),"",IF(ABS($C44-$D44)&lt;=toleransKurus,"KDV_ORAN",IF(ABS($C44-$E44*dbe_kdvOran)&lt;=toleransKurus,"MATRAH",IF($F44=1,"YUVARLAMA","TANIMSIZ"))))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IF($A45="","",IF($C45&lt;=dbe_yuvarlamaEsik,1,0))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IF(OR($A45="",$B45&lt;&gt;"tutar_farki"),"",IF(ABS($C45-$D45)&lt;=toleransKurus,"KDV_ORAN",IF(ABS($C45-$E45*dbe_kdvOran)&lt;=toleransKurus,"MATRAH",IF($F45=1,"YUVARLAMA","TANIMSIZ"))))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IF($A46="","",IF($C46&lt;=dbe_yuvarlamaEsik,1,0))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IF(OR($A46="",$B46&lt;&gt;"tutar_farki"),"",IF(ABS($C46-$D46)&lt;=toleransKurus,"KDV_ORAN",IF(ABS($C46-$E46*dbe_kdvOran)&lt;=toleransKurus,"MATRAH",IF($F46=1,"YUVARLAMA","TANIMSIZ"))))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IF($A47="","",IF($C47&lt;=dbe_yuvarlamaEsik,1,0))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IF(OR($A47="",$B47&lt;&gt;"tutar_farki"),"",IF(ABS($C47-$D47)&lt;=toleransKurus,"KDV_ORAN",IF(ABS($C47-$E47*dbe_kdvOran)&lt;=toleransKurus,"MATRAH",IF($F47=1,"YUVARLAMA","TANIMSIZ"))))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IF($A48="","",IF($C48&lt;=dbe_yuvarlamaEsik,1,0))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IF(OR($A48="",$B48&lt;&gt;"tutar_farki"),"",IF(ABS($C48-$D48)&lt;=toleransKurus,"KDV_ORAN",IF(ABS($C48-$E48*dbe_kdvOran)&lt;=toleransKurus,"MATRAH",IF($F48=1,"YUVARLAMA","TANIMSIZ"))))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IF($A49="","",IF($C49&lt;=dbe_yuvarlamaEsik,1,0))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IF(OR($A49="",$B49&lt;&gt;"tutar_farki"),"",IF(ABS($C49-$D49)&lt;=toleransKurus,"KDV_ORAN",IF(ABS($C49-$E49*dbe_kdvOran)&lt;=toleransKurus,"MATRAH",IF($F49=1,"YUVARLAMA","TANIMSIZ"))))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IF($A50="","",IF($C50&lt;=dbe_yuvarlamaEsik,1,0))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IF(OR($A50="",$B50&lt;&gt;"tutar_farki"),"",IF(ABS($C50-$D50)&lt;=toleransKurus,"KDV_ORAN",IF(ABS($C50-$E50*dbe_kdvOran)&lt;=toleransKurus,"MATRAH",IF($F50=1,"YUVARLAMA","TANIMSIZ"))))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IF($A51="","",IF($C51&lt;=dbe_yuvarlamaEsik,1,0))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IF(OR($A51="",$B51&lt;&gt;"tutar_farki"),"",IF(ABS($C51-$D51)&lt;=toleransKurus,"KDV_ORAN",IF(ABS($C51-$E51*dbe_kdvOran)&lt;=toleransKurus,"MATRAH",IF($F51=1,"YUVARLAMA","TANIMSIZ"))))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IF($A52="","",IF($C52&lt;=dbe_yuvarlamaEsik,1,0))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IF(OR($A52="",$B52&lt;&gt;"tutar_farki"),"",IF(ABS($C52-$D52)&lt;=toleransKurus,"KDV_ORAN",IF(ABS($C52-$E52*dbe_kdvOran)&lt;=toleransKurus,"MATRAH",IF($F52=1,"YUVARLAMA","TANIMSIZ"))))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IF($A53="","",IF($C53&lt;=dbe_yuvarlamaEsik,1,0))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IF(OR($A53="",$B53&lt;&gt;"tutar_farki"),"",IF(ABS($C53-$D53)&lt;=toleransKurus,"KDV_ORAN",IF(ABS($C53-$E53*dbe_kdvOran)&lt;=toleransKurus,"MATRAH",IF($F53=1,"YUVARLAMA","TANIMSIZ"))))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IF($A54="","",IF($C54&lt;=dbe_yuvarlamaEsik,1,0))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IF(OR($A54="",$B54&lt;&gt;"tutar_farki"),"",IF(ABS($C54-$D54)&lt;=toleransKurus,"KDV_ORAN",IF(ABS($C54-$E54*dbe_kdvOran)&lt;=toleransKurus,"MATRAH",IF($F54=1,"YUVARLAMA","TANIMSIZ"))))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IF($A55="","",IF($C55&lt;=dbe_yuvarlamaEsik,1,0))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IF(OR($A55="",$B55&lt;&gt;"tutar_farki"),"",IF(ABS($C55-$D55)&lt;=toleransKurus,"KDV_ORAN",IF(ABS($C55-$E55*dbe_kdvOran)&lt;=toleransKurus,"MATRAH",IF($F55=1,"YUVARLAMA","TANIMSIZ"))))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IF($A56="","",IF($C56&lt;=dbe_yuvarlamaEsik,1,0))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IF(OR($A56="",$B56&lt;&gt;"tutar_farki"),"",IF(ABS($C56-$D56)&lt;=toleransKurus,"KDV_ORAN",IF(ABS($C56-$E56*dbe_kdvOran)&lt;=toleransKurus,"MATRAH",IF($F56=1,"YUVARLAMA","TANIMSIZ"))))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IF($A57="","",IF($C57&lt;=dbe_yuvarlamaEsik,1,0))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IF(OR($A57="",$B57&lt;&gt;"tutar_farki"),"",IF(ABS($C57-$D57)&lt;=toleransKurus,"KDV_ORAN",IF(ABS($C57-$E57*dbe_kdvOran)&lt;=toleransKurus,"MATRAH",IF($F57=1,"YUVARLAMA","TANIMSIZ"))))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IF($A58="","",IF($C58&lt;=dbe_yuvarlamaEsik,1,0))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IF(OR($A58="",$B58&lt;&gt;"tutar_farki"),"",IF(ABS($C58-$D58)&lt;=toleransKurus,"KDV_ORAN",IF(ABS($C58-$E58*dbe_kdvOran)&lt;=toleransKurus,"MATRAH",IF($F58=1,"YUVARLAMA","TANIMSIZ"))))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IF($A59="","",IF($C59&lt;=dbe_yuvarlamaEsik,1,0))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IF(OR($A59="",$B59&lt;&gt;"tutar_farki"),"",IF(ABS($C59-$D59)&lt;=toleransKurus,"KDV_ORAN",IF(ABS($C59-$E59*dbe_kdvOran)&lt;=toleransKurus,"MATRAH",IF($F59=1,"YUVARLAMA","TANIMSIZ"))))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IF($A60="","",IF($C60&lt;=dbe_yuvarlamaEsik,1,0))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IF(OR($A60="",$B60&lt;&gt;"tutar_farki"),"",IF(ABS($C60-$D60)&lt;=toleransKurus,"KDV_ORAN",IF(ABS($C60-$E60*dbe_kdvOran)&lt;=toleransKurus,"MATRAH",IF($F60=1,"YUVARLAMA","TANIMSIZ"))))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IF($A61="","",IF($C61&lt;=dbe_yuvarlamaEsik,1,0))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IF(OR($A61="",$B61&lt;&gt;"tutar_farki"),"",IF(ABS($C61-$D61)&lt;=toleransKurus,"KDV_ORAN",IF(ABS($C61-$E61*dbe_kdvOran)&lt;=toleransKurus,"MATRAH",IF($F61=1,"YUVARLAMA","TANIMSIZ"))))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IF($A62="","",IF($C62&lt;=dbe_yuvarlamaEsik,1,0))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IF(OR($A62="",$B62&lt;&gt;"tutar_farki"),"",IF(ABS($C62-$D62)&lt;=toleransKurus,"KDV_ORAN",IF(ABS($C62-$E62*dbe_kdvOran)&lt;=toleransKurus,"MATRAH",IF($F62=1,"YUVARLAMA","TANIMSIZ"))))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IF($A63="","",IF($C63&lt;=dbe_yuvarlamaEsik,1,0))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IF(OR($A63="",$B63&lt;&gt;"tutar_farki"),"",IF(ABS($C63-$D63)&lt;=toleransKurus,"KDV_ORAN",IF(ABS($C63-$E63*dbe_kdvOran)&lt;=toleransKurus,"MATRAH",IF($F63=1,"YUVARLAMA","TANIMSIZ"))))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IF($A64="","",IF($C64&lt;=dbe_yuvarlamaEsik,1,0))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IF(OR($A64="",$B64&lt;&gt;"tutar_farki"),"",IF(ABS($C64-$D64)&lt;=toleransKurus,"KDV_ORAN",IF(ABS($C64-$E64*dbe_kdvOran)&lt;=toleransKurus,"MATRAH",IF($F64=1,"YUVARLAMA","TANIMSIZ"))))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IF($A65="","",IF($C65&lt;=dbe_yuvarlamaEsik,1,0))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IF(OR($A65="",$B65&lt;&gt;"tutar_farki"),"",IF(ABS($C65-$D65)&lt;=toleransKurus,"KDV_ORAN",IF(ABS($C65-$E65*dbe_kdvOran)&lt;=toleransKurus,"MATRAH",IF($F65=1,"YUVARLAMA","TANIMSIZ"))))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IF($A66="","",IF($C66&lt;=dbe_yuvarlamaEsik,1,0))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IF(OR($A66="",$B66&lt;&gt;"tutar_farki"),"",IF(ABS($C66-$D66)&lt;=toleransKurus,"KDV_ORAN",IF(ABS($C66-$E66*dbe_kdvOran)&lt;=toleransKurus,"MATRAH",IF($F66=1,"YUVARLAMA","TANIMSIZ"))))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IF($A67="","",IF($C67&lt;=dbe_yuvarlamaEsik,1,0))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IF(OR($A67="",$B67&lt;&gt;"tutar_farki"),"",IF(ABS($C67-$D67)&lt;=toleransKurus,"KDV_ORAN",IF(ABS($C67-$E67*dbe_kdvOran)&lt;=toleransKurus,"MATRAH",IF($F67=1,"YUVARLAMA","TANIMSIZ"))))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IF($A68="","",IF($C68&lt;=dbe_yuvarlamaEsik,1,0))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IF(OR($A68="",$B68&lt;&gt;"tutar_farki"),"",IF(ABS($C68-$D68)&lt;=toleransKurus,"KDV_ORAN",IF(ABS($C68-$E68*dbe_kdvOran)&lt;=toleransKurus,"MATRAH",IF($F68=1,"YUVARLAMA","TANIMSIZ"))))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IF($A69="","",IF($C69&lt;=dbe_yuvarlamaEsik,1,0))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IF(OR($A69="",$B69&lt;&gt;"tutar_farki"),"",IF(ABS($C69-$D69)&lt;=toleransKurus,"KDV_ORAN",IF(ABS($C69-$E69*dbe_kdvOran)&lt;=toleransKurus,"MATRAH",IF($F69=1,"YUVARLAMA","TANIMSIZ"))))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IF($A70="","",IF($C70&lt;=dbe_yuvarlamaEsik,1,0))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IF(OR($A70="",$B70&lt;&gt;"tutar_farki"),"",IF(ABS($C70-$D70)&lt;=toleransKurus,"KDV_ORAN",IF(ABS($C70-$E70*dbe_kdvOran)&lt;=toleransKurus,"MATRAH",IF($F70=1,"YUVARLAMA","TANIMSIZ"))))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IF($A71="","",IF($C71&lt;=dbe_yuvarlamaEsik,1,0))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IF(OR($A71="",$B71&lt;&gt;"tutar_farki"),"",IF(ABS($C71-$D71)&lt;=toleransKurus,"KDV_ORAN",IF(ABS($C71-$E71*dbe_kdvOran)&lt;=toleransKurus,"MATRAH",IF($F71=1,"YUVARLAMA","TANIMSIZ"))))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IF($A72="","",IF($C72&lt;=dbe_yuvarlamaEsik,1,0))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IF(OR($A72="",$B72&lt;&gt;"tutar_farki"),"",IF(ABS($C72-$D72)&lt;=toleransKurus,"KDV_ORAN",IF(ABS($C72-$E72*dbe_kdvOran)&lt;=toleransKurus,"MATRAH",IF($F72=1,"YUVARLAMA","TANIMSIZ"))))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IF($A73="","",IF($C73&lt;=dbe_yuvarlamaEsik,1,0))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IF(OR($A73="",$B73&lt;&gt;"tutar_farki"),"",IF(ABS($C73-$D73)&lt;=toleransKurus,"KDV_ORAN",IF(ABS($C73-$E73*dbe_kdvOran)&lt;=toleransKurus,"MATRAH",IF($F73=1,"YUVARLAMA","TANIMSIZ"))))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IF($A74="","",IF($C74&lt;=dbe_yuvarlamaEsik,1,0))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IF(OR($A74="",$B74&lt;&gt;"tutar_farki"),"",IF(ABS($C74-$D74)&lt;=toleransKurus,"KDV_ORAN",IF(ABS($C74-$E74*dbe_kdvOran)&lt;=toleransKurus,"MATRAH",IF($F74=1,"YUVARLAMA","TANIMSIZ"))))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IF($A75="","",IF($C75&lt;=dbe_yuvarlamaEsik,1,0))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IF(OR($A75="",$B75&lt;&gt;"tutar_farki"),"",IF(ABS($C75-$D75)&lt;=toleransKurus,"KDV_ORAN",IF(ABS($C75-$E75*dbe_kdvOran)&lt;=toleransKurus,"MATRAH",IF($F75=1,"YUVARLAMA","TANIMSIZ"))))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IF($A76="","",IF($C76&lt;=dbe_yuvarlamaEsik,1,0))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IF(OR($A76="",$B76&lt;&gt;"tutar_farki"),"",IF(ABS($C76-$D76)&lt;=toleransKurus,"KDV_ORAN",IF(ABS($C76-$E76*dbe_kdvOran)&lt;=toleransKurus,"MATRAH",IF($F76=1,"YUVARLAMA","TANIMSIZ"))))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IF($A77="","",IF($C77&lt;=dbe_yuvarlamaEsik,1,0))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IF(OR($A77="",$B77&lt;&gt;"tutar_farki"),"",IF(ABS($C77-$D77)&lt;=toleransKurus,"KDV_ORAN",IF(ABS($C77-$E77*dbe_kdvOran)&lt;=toleransKurus,"MATRAH",IF($F77=1,"YUVARLAMA","TANIMSIZ"))))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IF($A78="","",IF($C78&lt;=dbe_yuvarlamaEsik,1,0))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IF(OR($A78="",$B78&lt;&gt;"tutar_farki"),"",IF(ABS($C78-$D78)&lt;=toleransKurus,"KDV_ORAN",IF(ABS($C78-$E78*dbe_kdvOran)&lt;=toleransKurus,"MATRAH",IF($F78=1,"YUVARLAMA","TANIMSIZ"))))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IF($A79="","",IF($C79&lt;=dbe_yuvarlamaEsik,1,0))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IF(OR($A79="",$B79&lt;&gt;"tutar_farki"),"",IF(ABS($C79-$D79)&lt;=toleransKurus,"KDV_ORAN",IF(ABS($C79-$E79*dbe_kdvOran)&lt;=toleransKurus,"MATRAH",IF($F79=1,"YUVARLAMA","TANIMSIZ"))))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IF($A80="","",IF($C80&lt;=dbe_yuvarlamaEsik,1,0))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IF(OR($A80="",$B80&lt;&gt;"tutar_farki"),"",IF(ABS($C80-$D80)&lt;=toleransKurus,"KDV_ORAN",IF(ABS($C80-$E80*dbe_kdvOran)&lt;=toleransKurus,"MATRAH",IF($F80=1,"YUVARLAMA","TANIMSIZ"))))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IF($A81="","",IF($C81&lt;=dbe_yuvarlamaEsik,1,0))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IF(OR($A81="",$B81&lt;&gt;"tutar_farki"),"",IF(ABS($C81-$D81)&lt;=toleransKurus,"KDV_ORAN",IF(ABS($C81-$E81*dbe_kdvOran)&lt;=toleransKurus,"MATRAH",IF($F81=1,"YUVARLAMA","TANIMSIZ"))))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IF($A82="","",IF($C82&lt;=dbe_yuvarlamaEsik,1,0))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IF(OR($A82="",$B82&lt;&gt;"tutar_farki"),"",IF(ABS($C82-$D82)&lt;=toleransKurus,"KDV_ORAN",IF(ABS($C82-$E82*dbe_kdvOran)&lt;=toleransKurus,"MATRAH",IF($F82=1,"YUVARLAMA","TANIMSIZ"))))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IF($A83="","",IF($C83&lt;=dbe_yuvarlamaEsik,1,0))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IF(OR($A83="",$B83&lt;&gt;"tutar_farki"),"",IF(ABS($C83-$D83)&lt;=toleransKurus,"KDV_ORAN",IF(ABS($C83-$E83*dbe_kdvOran)&lt;=toleransKurus,"MATRAH",IF($F83=1,"YUVARLAMA","TANIMSIZ"))))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IF($A84="","",IF($C84&lt;=dbe_yuvarlamaEsik,1,0))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IF(OR($A84="",$B84&lt;&gt;"tutar_farki"),"",IF(ABS($C84-$D84)&lt;=toleransKurus,"KDV_ORAN",IF(ABS($C84-$E84*dbe_kdvOran)&lt;=toleransKurus,"MATRAH",IF($F84=1,"YUVARLAMA","TANIMSIZ"))))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IF($A85="","",IF($C85&lt;=dbe_yuvarlamaEsik,1,0))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IF(OR($A85="",$B85&lt;&gt;"tutar_farki"),"",IF(ABS($C85-$D85)&lt;=toleransKurus,"KDV_ORAN",IF(ABS($C85-$E85*dbe_kdvOran)&lt;=toleransKurus,"MATRAH",IF($F85=1,"YUVARLAMA","TANIMSIZ"))))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IF($A86="","",IF($C86&lt;=dbe_yuvarlamaEsik,1,0))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IF(OR($A86="",$B86&lt;&gt;"tutar_farki"),"",IF(ABS($C86-$D86)&lt;=toleransKurus,"KDV_ORAN",IF(ABS($C86-$E86*dbe_kdvOran)&lt;=toleransKurus,"MATRAH",IF($F86=1,"YUVARLAMA","TANIMSIZ"))))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IF($A87="","",IF($C87&lt;=dbe_yuvarlamaEsik,1,0))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IF(OR($A87="",$B87&lt;&gt;"tutar_farki"),"",IF(ABS($C87-$D87)&lt;=toleransKurus,"KDV_ORAN",IF(ABS($C87-$E87*dbe_kdvOran)&lt;=toleransKurus,"MATRAH",IF($F87=1,"YUVARLAMA","TANIMSIZ"))))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IF($A88="","",IF($C88&lt;=dbe_yuvarlamaEsik,1,0))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IF(OR($A88="",$B88&lt;&gt;"tutar_farki"),"",IF(ABS($C88-$D88)&lt;=toleransKurus,"KDV_ORAN",IF(ABS($C88-$E88*dbe_kdvOran)&lt;=toleransKurus,"MATRAH",IF($F88=1,"YUVARLAMA","TANIMSIZ"))))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IF($A89="","",IF($C89&lt;=dbe_yuvarlamaEsik,1,0))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IF(OR($A89="",$B89&lt;&gt;"tutar_farki"),"",IF(ABS($C89-$D89)&lt;=toleransKurus,"KDV_ORAN",IF(ABS($C89-$E89*dbe_kdvOran)&lt;=toleransKurus,"MATRAH",IF($F89=1,"YUVARLAMA","TANIMSIZ"))))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IF($A90="","",IF($C90&lt;=dbe_yuvarlamaEsik,1,0))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IF(OR($A90="",$B90&lt;&gt;"tutar_farki"),"",IF(ABS($C90-$D90)&lt;=toleransKurus,"KDV_ORAN",IF(ABS($C90-$E90*dbe_kdvOran)&lt;=toleransKurus,"MATRAH",IF($F90=1,"YUVARLAMA","TANIMSIZ"))))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IF($A91="","",IF($C91&lt;=dbe_yuvarlamaEsik,1,0))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IF(OR($A91="",$B91&lt;&gt;"tutar_farki"),"",IF(ABS($C91-$D91)&lt;=toleransKurus,"KDV_ORAN",IF(ABS($C91-$E91*dbe_kdvOran)&lt;=toleransKurus,"MATRAH",IF($F91=1,"YUVARLAMA","TANIMSIZ"))))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IF($A92="","",IF($C92&lt;=dbe_yuvarlamaEsik,1,0))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IF(OR($A92="",$B92&lt;&gt;"tutar_farki"),"",IF(ABS($C92-$D92)&lt;=toleransKurus,"KDV_ORAN",IF(ABS($C92-$E92*dbe_kdvOran)&lt;=toleransKurus,"MATRAH",IF($F92=1,"YUVARLAMA","TANIMSIZ"))))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IF($A93="","",IF($C93&lt;=dbe_yuvarlamaEsik,1,0))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IF(OR($A93="",$B93&lt;&gt;"tutar_farki"),"",IF(ABS($C93-$D93)&lt;=toleransKurus,"KDV_ORAN",IF(ABS($C93-$E93*dbe_kdvOran)&lt;=toleransKurus,"MATRAH",IF($F93=1,"YUVARLAMA","TANIMSIZ"))))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IF($A94="","",IF($C94&lt;=dbe_yuvarlamaEsik,1,0))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IF(OR($A94="",$B94&lt;&gt;"tutar_farki"),"",IF(ABS($C94-$D94)&lt;=toleransKurus,"KDV_ORAN",IF(ABS($C94-$E94*dbe_kdvOran)&lt;=toleransKurus,"MATRAH",IF($F94=1,"YUVARLAMA","TANIMSIZ"))))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IF($A95="","",IF($C95&lt;=dbe_yuvarlamaEsik,1,0))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IF(OR($A95="",$B95&lt;&gt;"tutar_farki"),"",IF(ABS($C95-$D95)&lt;=toleransKurus,"KDV_ORAN",IF(ABS($C95-$E95*dbe_kdvOran)&lt;=toleransKurus,"MATRAH",IF($F95=1,"YUVARLAMA","TANIMSIZ"))))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IF($A96="","",IF($C96&lt;=dbe_yuvarlamaEsik,1,0))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IF(OR($A96="",$B96&lt;&gt;"tutar_farki"),"",IF(ABS($C96-$D96)&lt;=toleransKurus,"KDV_ORAN",IF(ABS($C96-$E96*dbe_kdvOran)&lt;=toleransKurus,"MATRAH",IF($F96=1,"YUVARLAMA","TANIMSIZ"))))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IF($A97="","",IF($C97&lt;=dbe_yuvarlamaEsik,1,0))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IF(OR($A97="",$B97&lt;&gt;"tutar_farki"),"",IF(ABS($C97-$D97)&lt;=toleransKurus,"KDV_ORAN",IF(ABS($C97-$E97*dbe_kdvOran)&lt;=toleransKurus,"MATRAH",IF($F97=1,"YUVARLAMA","TANIMSIZ"))))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IF($A98="","",IF($C98&lt;=dbe_yuvarlamaEsik,1,0))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IF(OR($A98="",$B98&lt;&gt;"tutar_farki"),"",IF(ABS($C98-$D98)&lt;=toleransKurus,"KDV_ORAN",IF(ABS($C98-$E98*dbe_kdvOran)&lt;=toleransKurus,"MATRAH",IF($F98=1,"YUVARLAMA","TANIMSIZ"))))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IF($A99="","",IF($C99&lt;=dbe_yuvarlamaEsik,1,0))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IF(OR($A99="",$B99&lt;&gt;"tutar_farki"),"",IF(ABS($C99-$D99)&lt;=toleransKurus,"KDV_ORAN",IF(ABS($C99-$E99*dbe_kdvOran)&lt;=toleransKurus,"MATRAH",IF($F99=1,"YUVARLAMA","TANIMSIZ"))))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IF($A100="","",IF($C100&lt;=dbe_yuvarlamaEsik,1,0))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IF(OR($A100="",$B100&lt;&gt;"tutar_farki"),"",IF(ABS($C100-$D100)&lt;=toleransKurus,"KDV_ORAN",IF(ABS($C100-$E100*dbe_kdvOran)&lt;=toleransKurus,"MATRAH",IF($F100=1,"YUVARLAMA","TANIMSIZ"))))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IF($A101="","",IF($C101&lt;=dbe_yuvarlamaEsik,1,0))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IF(OR($A101="",$B101&lt;&gt;"tutar_farki"),"",IF(ABS($C101-$D101)&lt;=toleransKurus,"KDV_ORAN",IF(ABS($C101-$E101*dbe_kdvOran)&lt;=toleransKurus,"MATRAH",IF($F101=1,"YUVARLAMA","TANIMSIZ"))))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IF($A102="","",IF($C102&lt;=dbe_yuvarlamaEsik,1,0))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IF(OR($A102="",$B102&lt;&gt;"tutar_farki"),"",IF(ABS($C102-$D102)&lt;=toleransKurus,"KDV_ORAN",IF(ABS($C102-$E102*dbe_kdvOran)&lt;=toleransKurus,"MATRAH",IF($F102=1,"YUVARLAMA","TANIMSIZ"))))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IF($A103="","",IF($C103&lt;=dbe_yuvarlamaEsik,1,0))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IF(OR($A103="",$B103&lt;&gt;"tutar_farki"),"",IF(ABS($C103-$D103)&lt;=toleransKurus,"KDV_ORAN",IF(ABS($C103-$E103*dbe_kdvOran)&lt;=toleransKurus,"MATRAH",IF($F103=1,"YUVARLAMA","TANIMSIZ"))))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IF($A104="","",IF($C104&lt;=dbe_yuvarlamaEsik,1,0))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IF(OR($A104="",$B104&lt;&gt;"tutar_farki"),"",IF(ABS($C104-$D104)&lt;=toleransKurus,"KDV_ORAN",IF(ABS($C104-$E104*dbe_kdvOran)&lt;=toleransKurus,"MATRAH",IF($F104=1,"YUVARLAMA","TANIMSIZ"))))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IF($A105="","",IF($C105&lt;=dbe_yuvarlamaEsik,1,0))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IF(OR($A105="",$B105&lt;&gt;"tutar_farki"),"",IF(ABS($C105-$D105)&lt;=toleransKurus,"KDV_ORAN",IF(ABS($C105-$E105*dbe_kdvOran)&lt;=toleransKurus,"MATRAH",IF($F105=1,"YUVARLAMA","TANIMSIZ"))))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IF($A106="","",IF($C106&lt;=dbe_yuvarlamaEsik,1,0))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IF(OR($A106="",$B106&lt;&gt;"tutar_farki"),"",IF(ABS($C106-$D106)&lt;=toleransKurus,"KDV_ORAN",IF(ABS($C106-$E106*dbe_kdvOran)&lt;=toleransKurus,"MATRAH",IF($F106=1,"YUVARLAMA","TANIMSIZ"))))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IF($A107="","",IF($C107&lt;=dbe_yuvarlamaEsik,1,0))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IF(OR($A107="",$B107&lt;&gt;"tutar_farki"),"",IF(ABS($C107-$D107)&lt;=toleransKurus,"KDV_ORAN",IF(ABS($C107-$E107*dbe_kdvOran)&lt;=toleransKurus,"MATRAH",IF($F107=1,"YUVARLAMA","TANIMSIZ"))))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IF($A108="","",IF($C108&lt;=dbe_yuvarlamaEsik,1,0))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IF(OR($A108="",$B108&lt;&gt;"tutar_farki"),"",IF(ABS($C108-$D108)&lt;=toleransKurus,"KDV_ORAN",IF(ABS($C108-$E108*dbe_kdvOran)&lt;=toleransKurus,"MATRAH",IF($F108=1,"YUVARLAMA","TANIMSIZ"))))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IF($A109="","",IF($C109&lt;=dbe_yuvarlamaEsik,1,0))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IF(OR($A109="",$B109&lt;&gt;"tutar_farki"),"",IF(ABS($C109-$D109)&lt;=toleransKurus,"KDV_ORAN",IF(ABS($C109-$E109*dbe_kdvOran)&lt;=toleransKurus,"MATRAH",IF($F109=1,"YUVARLAMA","TANIMSIZ"))))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IF($A110="","",IF($C110&lt;=dbe_yuvarlamaEsik,1,0))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IF(OR($A110="",$B110&lt;&gt;"tutar_farki"),"",IF(ABS($C110-$D110)&lt;=toleransKurus,"KDV_ORAN",IF(ABS($C110-$E110*dbe_kdvOran)&lt;=toleransKurus,"MATRAH",IF($F110=1,"YUVARLAMA","TANIMSIZ"))))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IF($A111="","",IF($C111&lt;=dbe_yuvarlamaEsik,1,0))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IF(OR($A111="",$B111&lt;&gt;"tutar_farki"),"",IF(ABS($C111-$D111)&lt;=toleransKurus,"KDV_ORAN",IF(ABS($C111-$E111*dbe_kdvOran)&lt;=toleransKurus,"MATRAH",IF($F111=1,"YUVARLAMA","TANIMSIZ"))))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IF($A112="","",IF($C112&lt;=dbe_yuvarlamaEsik,1,0))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IF(OR($A112="",$B112&lt;&gt;"tutar_farki"),"",IF(ABS($C112-$D112)&lt;=toleransKurus,"KDV_ORAN",IF(ABS($C112-$E112*dbe_kdvOran)&lt;=toleransKurus,"MATRAH",IF($F112=1,"YUVARLAMA","TANIMSIZ"))))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IF($A113="","",IF($C113&lt;=dbe_yuvarlamaEsik,1,0))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IF(OR($A113="",$B113&lt;&gt;"tutar_farki"),"",IF(ABS($C113-$D113)&lt;=toleransKurus,"KDV_ORAN",IF(ABS($C113-$E113*dbe_kdvOran)&lt;=toleransKurus,"MATRAH",IF($F113=1,"YUVARLAMA","TANIMSIZ"))))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IF($A114="","",IF($C114&lt;=dbe_yuvarlamaEsik,1,0))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IF(OR($A114="",$B114&lt;&gt;"tutar_farki"),"",IF(ABS($C114-$D114)&lt;=toleransKurus,"KDV_ORAN",IF(ABS($C114-$E114*dbe_kdvOran)&lt;=toleransKurus,"MATRAH",IF($F114=1,"YUVARLAMA","TANIMSIZ"))))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IF($A115="","",IF($C115&lt;=dbe_yuvarlamaEsik,1,0))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IF(OR($A115="",$B115&lt;&gt;"tutar_farki"),"",IF(ABS($C115-$D115)&lt;=toleransKurus,"KDV_ORAN",IF(ABS($C115-$E115*dbe_kdvOran)&lt;=toleransKurus,"MATRAH",IF($F115=1,"YUVARLAMA","TANIMSIZ"))))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IF($A116="","",IF($C116&lt;=dbe_yuvarlamaEsik,1,0))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IF(OR($A116="",$B116&lt;&gt;"tutar_farki"),"",IF(ABS($C116-$D116)&lt;=toleransKurus,"KDV_ORAN",IF(ABS($C116-$E116*dbe_kdvOran)&lt;=toleransKurus,"MATRAH",IF($F116=1,"YUVARLAMA","TANIMSIZ"))))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IF($A117="","",IF($C117&lt;=dbe_yuvarlamaEsik,1,0))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IF(OR($A117="",$B117&lt;&gt;"tutar_farki"),"",IF(ABS($C117-$D117)&lt;=toleransKurus,"KDV_ORAN",IF(ABS($C117-$E117*dbe_kdvOran)&lt;=toleransKurus,"MATRAH",IF($F117=1,"YUVARLAMA","TANIMSIZ"))))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IF($A118="","",IF($C118&lt;=dbe_yuvarlamaEsik,1,0))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IF(OR($A118="",$B118&lt;&gt;"tutar_farki"),"",IF(ABS($C118-$D118)&lt;=toleransKurus,"KDV_ORAN",IF(ABS($C118-$E118*dbe_kdvOran)&lt;=toleransKurus,"MATRAH",IF($F118=1,"YUVARLAMA","TANIMSIZ"))))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IF($A119="","",IF($C119&lt;=dbe_yuvarlamaEsik,1,0))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IF(OR($A119="",$B119&lt;&gt;"tutar_farki"),"",IF(ABS($C119-$D119)&lt;=toleransKurus,"KDV_ORAN",IF(ABS($C119-$E119*dbe_kdvOran)&lt;=toleransKurus,"MATRAH",IF($F119=1,"YUVARLAMA","TANIMSIZ"))))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IF($A120="","",IF($C120&lt;=dbe_yuvarlamaEsik,1,0))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IF(OR($A120="",$B120&lt;&gt;"tutar_farki"),"",IF(ABS($C120-$D120)&lt;=toleransKurus,"KDV_ORAN",IF(ABS($C120-$E120*dbe_kdvOran)&lt;=toleransKurus,"MATRAH",IF($F120=1,"YUVARLAMA","TANIMSIZ"))))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IF($A121="","",IF($C121&lt;=dbe_yuvarlamaEsik,1,0))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IF(OR($A121="",$B121&lt;&gt;"tutar_farki"),"",IF(ABS($C121-$D121)&lt;=toleransKurus,"KDV_ORAN",IF(ABS($C121-$E121*dbe_kdvOran)&lt;=toleransKurus,"MATRAH",IF($F121=1,"YUVARLAMA","TANIMSIZ"))))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IF($A122="","",IF($C122&lt;=dbe_yuvarlamaEsik,1,0))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IF(OR($A122="",$B122&lt;&gt;"tutar_farki"),"",IF(ABS($C122-$D122)&lt;=toleransKurus,"KDV_ORAN",IF(ABS($C122-$E122*dbe_kdvOran)&lt;=toleransKurus,"MATRAH",IF($F122=1,"YUVARLAMA","TANIMSIZ"))))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IF($A123="","",IF($C123&lt;=dbe_yuvarlamaEsik,1,0))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IF(OR($A123="",$B123&lt;&gt;"tutar_farki"),"",IF(ABS($C123-$D123)&lt;=toleransKurus,"KDV_ORAN",IF(ABS($C123-$E123*dbe_kdvOran)&lt;=toleransKurus,"MATRAH",IF($F123=1,"YUVARLAMA","TANIMSIZ"))))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IF($A124="","",IF($C124&lt;=dbe_yuvarlamaEsik,1,0))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IF(OR($A124="",$B124&lt;&gt;"tutar_farki"),"",IF(ABS($C124-$D124)&lt;=toleransKurus,"KDV_ORAN",IF(ABS($C124-$E124*dbe_kdvOran)&lt;=toleransKurus,"MATRAH",IF($F124=1,"YUVARLAMA","TANIMSIZ"))))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IF($A125="","",IF($C125&lt;=dbe_yuvarlamaEsik,1,0))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IF(OR($A125="",$B125&lt;&gt;"tutar_farki"),"",IF(ABS($C125-$D125)&lt;=toleransKurus,"KDV_ORAN",IF(ABS($C125-$E125*dbe_kdvOran)&lt;=toleransKurus,"MATRAH",IF($F125=1,"YUVARLAMA","TANIMSIZ"))))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IF($A126="","",IF($C126&lt;=dbe_yuvarlamaEsik,1,0))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IF(OR($A126="",$B126&lt;&gt;"tutar_farki"),"",IF(ABS($C126-$D126)&lt;=toleransKurus,"KDV_ORAN",IF(ABS($C126-$E126*dbe_kdvOran)&lt;=toleransKurus,"MATRAH",IF($F126=1,"YUVARLAMA","TANIMSIZ"))))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IF($A127="","",IF($C127&lt;=dbe_yuvarlamaEsik,1,0))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IF(OR($A127="",$B127&lt;&gt;"tutar_farki"),"",IF(ABS($C127-$D127)&lt;=toleransKurus,"KDV_ORAN",IF(ABS($C127-$E127*dbe_kdvOran)&lt;=toleransKurus,"MATRAH",IF($F127=1,"YUVARLAMA","TANIMSIZ"))))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IF($A128="","",IF($C128&lt;=dbe_yuvarlamaEsik,1,0))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IF(OR($A128="",$B128&lt;&gt;"tutar_farki"),"",IF(ABS($C128-$D128)&lt;=toleransKurus,"KDV_ORAN",IF(ABS($C128-$E128*dbe_kdvOran)&lt;=toleransKurus,"MATRAH",IF($F128=1,"YUVARLAMA","TANIMSIZ"))))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IF($A129="","",IF($C129&lt;=dbe_yuvarlamaEsik,1,0))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IF(OR($A129="",$B129&lt;&gt;"tutar_farki"),"",IF(ABS($C129-$D129)&lt;=toleransKurus,"KDV_ORAN",IF(ABS($C129-$E129*dbe_kdvOran)&lt;=toleransKurus,"MATRAH",IF($F129=1,"YUVARLAMA","TANIMSIZ"))))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IF($A130="","",IF($C130&lt;=dbe_yuvarlamaEsik,1,0))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IF(OR($A130="",$B130&lt;&gt;"tutar_farki"),"",IF(ABS($C130-$D130)&lt;=toleransKurus,"KDV_ORAN",IF(ABS($C130-$E130*dbe_kdvOran)&lt;=toleransKurus,"MATRAH",IF($F130=1,"YUVARLAMA","TANIMSIZ"))))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IF($A131="","",IF($C131&lt;=dbe_yuvarlamaEsik,1,0))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IF(OR($A131="",$B131&lt;&gt;"tutar_farki"),"",IF(ABS($C131-$D131)&lt;=toleransKurus,"KDV_ORAN",IF(ABS($C131-$E131*dbe_kdvOran)&lt;=toleransKurus,"MATRAH",IF($F131=1,"YUVARLAMA","TANIMSIZ"))))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IF($A132="","",IF($C132&lt;=dbe_yuvarlamaEsik,1,0))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IF(OR($A132="",$B132&lt;&gt;"tutar_farki"),"",IF(ABS($C132-$D132)&lt;=toleransKurus,"KDV_ORAN",IF(ABS($C132-$E132*dbe_kdvOran)&lt;=toleransKurus,"MATRAH",IF($F132=1,"YUVARLAMA","TANIMSIZ"))))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IF($A133="","",IF($C133&lt;=dbe_yuvarlamaEsik,1,0))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IF(OR($A133="",$B133&lt;&gt;"tutar_farki"),"",IF(ABS($C133-$D133)&lt;=toleransKurus,"KDV_ORAN",IF(ABS($C133-$E133*dbe_kdvOran)&lt;=toleransKurus,"MATRAH",IF($F133=1,"YUVARLAMA","TANIMSIZ"))))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IF($A134="","",IF($C134&lt;=dbe_yuvarlamaEsik,1,0))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IF(OR($A134="",$B134&lt;&gt;"tutar_farki"),"",IF(ABS($C134-$D134)&lt;=toleransKurus,"KDV_ORAN",IF(ABS($C134-$E134*dbe_kdvOran)&lt;=toleransKurus,"MATRAH",IF($F134=1,"YUVARLAMA","TANIMSIZ"))))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IF($A135="","",IF($C135&lt;=dbe_yuvarlamaEsik,1,0))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IF(OR($A135="",$B135&lt;&gt;"tutar_farki"),"",IF(ABS($C135-$D135)&lt;=toleransKurus,"KDV_ORAN",IF(ABS($C135-$E135*dbe_kdvOran)&lt;=toleransKurus,"MATRAH",IF($F135=1,"YUVARLAMA","TANIMSIZ"))))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IF($A136="","",IF($C136&lt;=dbe_yuvarlamaEsik,1,0))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IF(OR($A136="",$B136&lt;&gt;"tutar_farki"),"",IF(ABS($C136-$D136)&lt;=toleransKurus,"KDV_ORAN",IF(ABS($C136-$E136*dbe_kdvOran)&lt;=toleransKurus,"MATRAH",IF($F136=1,"YUVARLAMA","TANIMSIZ"))))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IF($A137="","",IF($C137&lt;=dbe_yuvarlamaEsik,1,0))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IF(OR($A137="",$B137&lt;&gt;"tutar_farki"),"",IF(ABS($C137-$D137)&lt;=toleransKurus,"KDV_ORAN",IF(ABS($C137-$E137*dbe_kdvOran)&lt;=toleransKurus,"MATRAH",IF($F137=1,"YUVARLAMA","TANIMSIZ"))))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IF($A138="","",IF($C138&lt;=dbe_yuvarlamaEsik,1,0))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IF(OR($A138="",$B138&lt;&gt;"tutar_farki"),"",IF(ABS($C138-$D138)&lt;=toleransKurus,"KDV_ORAN",IF(ABS($C138-$E138*dbe_kdvOran)&lt;=toleransKurus,"MATRAH",IF($F138=1,"YUVARLAMA","TANIMSIZ"))))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IF($A139="","",IF($C139&lt;=dbe_yuvarlamaEsik,1,0))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IF(OR($A139="",$B139&lt;&gt;"tutar_farki"),"",IF(ABS($C139-$D139)&lt;=toleransKurus,"KDV_ORAN",IF(ABS($C139-$E139*dbe_kdvOran)&lt;=toleransKurus,"MATRAH",IF($F139=1,"YUVARLAMA","TANIMSIZ"))))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IF($A140="","",IF($C140&lt;=dbe_yuvarlamaEsik,1,0))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IF(OR($A140="",$B140&lt;&gt;"tutar_farki"),"",IF(ABS($C140-$D140)&lt;=toleransKurus,"KDV_ORAN",IF(ABS($C140-$E140*dbe_kdvOran)&lt;=toleransKurus,"MATRAH",IF($F140=1,"YUVARLAMA","TANIMSIZ"))))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IF($A141="","",IF($C141&lt;=dbe_yuvarlamaEsik,1,0))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IF(OR($A141="",$B141&lt;&gt;"tutar_farki"),"",IF(ABS($C141-$D141)&lt;=toleransKurus,"KDV_ORAN",IF(ABS($C141-$E141*dbe_kdvOran)&lt;=toleransKurus,"MATRAH",IF($F141=1,"YUVARLAMA","TANIMSIZ"))))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IF($A142="","",IF($C142&lt;=dbe_yuvarlamaEsik,1,0))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IF(OR($A142="",$B142&lt;&gt;"tutar_farki"),"",IF(ABS($C142-$D142)&lt;=toleransKurus,"KDV_ORAN",IF(ABS($C142-$E142*dbe_kdvOran)&lt;=toleransKurus,"MATRAH",IF($F142=1,"YUVARLAMA","TANIMSIZ"))))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IF($A143="","",IF($C143&lt;=dbe_yuvarlamaEsik,1,0))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IF(OR($A143="",$B143&lt;&gt;"tutar_farki"),"",IF(ABS($C143-$D143)&lt;=toleransKurus,"KDV_ORAN",IF(ABS($C143-$E143*dbe_kdvOran)&lt;=toleransKurus,"MATRAH",IF($F143=1,"YUVARLAMA","TANIMSIZ"))))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IF($A144="","",IF($C144&lt;=dbe_yuvarlamaEsik,1,0))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IF(OR($A144="",$B144&lt;&gt;"tutar_farki"),"",IF(ABS($C144-$D144)&lt;=toleransKurus,"KDV_ORAN",IF(ABS($C144-$E144*dbe_kdvOran)&lt;=toleransKurus,"MATRAH",IF($F144=1,"YUVARLAMA","TANIMSIZ"))))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IF($A145="","",IF($C145&lt;=dbe_yuvarlamaEsik,1,0))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IF(OR($A145="",$B145&lt;&gt;"tutar_farki"),"",IF(ABS($C145-$D145)&lt;=toleransKurus,"KDV_ORAN",IF(ABS($C145-$E145*dbe_kdvOran)&lt;=toleransKurus,"MATRAH",IF($F145=1,"YUVARLAMA","TANIMSIZ"))))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IF($A146="","",IF($C146&lt;=dbe_yuvarlamaEsik,1,0))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IF(OR($A146="",$B146&lt;&gt;"tutar_farki"),"",IF(ABS($C146-$D146)&lt;=toleransKurus,"KDV_ORAN",IF(ABS($C146-$E146*dbe_kdvOran)&lt;=toleransKurus,"MATRAH",IF($F146=1,"YUVARLAMA","TANIMSIZ"))))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IF($A147="","",IF($C147&lt;=dbe_yuvarlamaEsik,1,0))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IF(OR($A147="",$B147&lt;&gt;"tutar_farki"),"",IF(ABS($C147-$D147)&lt;=toleransKurus,"KDV_ORAN",IF(ABS($C147-$E147*dbe_kdvOran)&lt;=toleransKurus,"MATRAH",IF($F147=1,"YUVARLAMA","TANIMSIZ"))))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IF($A148="","",IF($C148&lt;=dbe_yuvarlamaEsik,1,0))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IF(OR($A148="",$B148&lt;&gt;"tutar_farki"),"",IF(ABS($C148-$D148)&lt;=toleransKurus,"KDV_ORAN",IF(ABS($C148-$E148*dbe_kdvOran)&lt;=toleransKurus,"MATRAH",IF($F148=1,"YUVARLAMA","TANIMSIZ"))))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IF($A149="","",IF($C149&lt;=dbe_yuvarlamaEsik,1,0))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IF(OR($A149="",$B149&lt;&gt;"tutar_farki"),"",IF(ABS($C149-$D149)&lt;=toleransKurus,"KDV_ORAN",IF(ABS($C149-$E149*dbe_kdvOran)&lt;=toleransKurus,"MATRAH",IF($F149=1,"YUVARLAMA","TANIMSIZ"))))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IF($A150="","",IF($C150&lt;=dbe_yuvarlamaEsik,1,0))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IF(OR($A150="",$B150&lt;&gt;"tutar_farki"),"",IF(ABS($C150-$D150)&lt;=toleransKurus,"KDV_ORAN",IF(ABS($C150-$E150*dbe_kdvOran)&lt;=toleransKurus,"MATRAH",IF($F150=1,"YUVARLAMA","TANIMSIZ"))))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IF($A151="","",IF($C151&lt;=dbe_yuvarlamaEsik,1,0))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IF(OR($A151="",$B151&lt;&gt;"tutar_farki"),"",IF(ABS($C151-$D151)&lt;=toleransKurus,"KDV_ORAN",IF(ABS($C151-$E151*dbe_kdvOran)&lt;=toleransKurus,"MATRAH",IF($F151=1,"YUVARLAMA","TANIMSIZ"))))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IF($A152="","",IF($C152&lt;=dbe_yuvarlamaEsik,1,0))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IF(OR($A152="",$B152&lt;&gt;"tutar_farki"),"",IF(ABS($C152-$D152)&lt;=toleransKurus,"KDV_ORAN",IF(ABS($C152-$E152*dbe_kdvOran)&lt;=toleransKurus,"MATRAH",IF($F152=1,"YUVARLAMA","TANIMSIZ"))))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IF($A153="","",IF($C153&lt;=dbe_yuvarlamaEsik,1,0))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IF(OR($A153="",$B153&lt;&gt;"tutar_farki"),"",IF(ABS($C153-$D153)&lt;=toleransKurus,"KDV_ORAN",IF(ABS($C153-$E153*dbe_kdvOran)&lt;=toleransKurus,"MATRAH",IF($F153=1,"YUVARLAMA","TANIMSIZ"))))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IF($A154="","",IF($C154&lt;=dbe_yuvarlamaEsik,1,0))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IF(OR($A154="",$B154&lt;&gt;"tutar_farki"),"",IF(ABS($C154-$D154)&lt;=toleransKurus,"KDV_ORAN",IF(ABS($C154-$E154*dbe_kdvOran)&lt;=toleransKurus,"MATRAH",IF($F154=1,"YUVARLAMA","TANIMSIZ"))))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IF($A155="","",IF($C155&lt;=dbe_yuvarlamaEsik,1,0))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IF(OR($A155="",$B155&lt;&gt;"tutar_farki"),"",IF(ABS($C155-$D155)&lt;=toleransKurus,"KDV_ORAN",IF(ABS($C155-$E155*dbe_kdvOran)&lt;=toleransKurus,"MATRAH",IF($F155=1,"YUVARLAMA","TANIMSIZ"))))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IF($A156="","",IF($C156&lt;=dbe_yuvarlamaEsik,1,0))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IF(OR($A156="",$B156&lt;&gt;"tutar_farki"),"",IF(ABS($C156-$D156)&lt;=toleransKurus,"KDV_ORAN",IF(ABS($C156-$E156*dbe_kdvOran)&lt;=toleransKurus,"MATRAH",IF($F156=1,"YUVARLAMA","TANIMSIZ"))))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IF($A157="","",IF($C157&lt;=dbe_yuvarlamaEsik,1,0))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IF(OR($A157="",$B157&lt;&gt;"tutar_farki"),"",IF(ABS($C157-$D157)&lt;=toleransKurus,"KDV_ORAN",IF(ABS($C157-$E157*dbe_kdvOran)&lt;=toleransKurus,"MATRAH",IF($F157=1,"YUVARLAMA","TANIMSIZ"))))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IF($A158="","",IF($C158&lt;=dbe_yuvarlamaEsik,1,0))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IF(OR($A158="",$B158&lt;&gt;"tutar_farki"),"",IF(ABS($C158-$D158)&lt;=toleransKurus,"KDV_ORAN",IF(ABS($C158-$E158*dbe_kdvOran)&lt;=toleransKurus,"MATRAH",IF($F158=1,"YUVARLAMA","TANIMSIZ"))))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IF($A159="","",IF($C159&lt;=dbe_yuvarlamaEsik,1,0))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IF(OR($A159="",$B159&lt;&gt;"tutar_farki"),"",IF(ABS($C159-$D159)&lt;=toleransKurus,"KDV_ORAN",IF(ABS($C159-$E159*dbe_kdvOran)&lt;=toleransKurus,"MATRAH",IF($F159=1,"YUVARLAMA","TANIMSIZ"))))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IF($A160="","",IF($C160&lt;=dbe_yuvarlamaEsik,1,0))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IF(OR($A160="",$B160&lt;&gt;"tutar_farki"),"",IF(ABS($C160-$D160)&lt;=toleransKurus,"KDV_ORAN",IF(ABS($C160-$E160*dbe_kdvOran)&lt;=toleransKurus,"MATRAH",IF($F160=1,"YUVARLAMA","TANIMSIZ"))))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IF($A161="","",IF($C161&lt;=dbe_yuvarlamaEsik,1,0))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IF(OR($A161="",$B161&lt;&gt;"tutar_farki"),"",IF(ABS($C161-$D161)&lt;=toleransKurus,"KDV_ORAN",IF(ABS($C161-$E161*dbe_kdvOran)&lt;=toleransKurus,"MATRAH",IF($F161=1,"YUVARLAMA","TANIMSIZ"))))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IF($A162="","",IF($C162&lt;=dbe_yuvarlamaEsik,1,0))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IF(OR($A162="",$B162&lt;&gt;"tutar_farki"),"",IF(ABS($C162-$D162)&lt;=toleransKurus,"KDV_ORAN",IF(ABS($C162-$E162*dbe_kdvOran)&lt;=toleransKurus,"MATRAH",IF($F162=1,"YUVARLAMA","TANIMSIZ"))))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IF($A163="","",IF($C163&lt;=dbe_yuvarlamaEsik,1,0))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IF(OR($A163="",$B163&lt;&gt;"tutar_farki"),"",IF(ABS($C163-$D163)&lt;=toleransKurus,"KDV_ORAN",IF(ABS($C163-$E163*dbe_kdvOran)&lt;=toleransKurus,"MATRAH",IF($F163=1,"YUVARLAMA","TANIMSIZ"))))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IF($A164="","",IF($C164&lt;=dbe_yuvarlamaEsik,1,0))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IF(OR($A164="",$B164&lt;&gt;"tutar_farki"),"",IF(ABS($C164-$D164)&lt;=toleransKurus,"KDV_ORAN",IF(ABS($C164-$E164*dbe_kdvOran)&lt;=toleransKurus,"MATRAH",IF($F164=1,"YUVARLAMA","TANIMSIZ"))))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IF($A165="","",IF($C165&lt;=dbe_yuvarlamaEsik,1,0))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IF(OR($A165="",$B165&lt;&gt;"tutar_farki"),"",IF(ABS($C165-$D165)&lt;=toleransKurus,"KDV_ORAN",IF(ABS($C165-$E165*dbe_kdvOran)&lt;=toleransKurus,"MATRAH",IF($F165=1,"YUVARLAMA","TANIMSIZ"))))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IF($A166="","",IF($C166&lt;=dbe_yuvarlamaEsik,1,0))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IF(OR($A166="",$B166&lt;&gt;"tutar_farki"),"",IF(ABS($C166-$D166)&lt;=toleransKurus,"KDV_ORAN",IF(ABS($C166-$E166*dbe_kdvOran)&lt;=toleransKurus,"MATRAH",IF($F166=1,"YUVARLAMA","TANIMSIZ"))))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IF($A167="","",IF($C167&lt;=dbe_yuvarlamaEsik,1,0))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IF(OR($A167="",$B167&lt;&gt;"tutar_farki"),"",IF(ABS($C167-$D167)&lt;=toleransKurus,"KDV_ORAN",IF(ABS($C167-$E167*dbe_kdvOran)&lt;=toleransKurus,"MATRAH",IF($F167=1,"YUVARLAMA","TANIMSIZ"))))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IF($A168="","",IF($C168&lt;=dbe_yuvarlamaEsik,1,0))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IF(OR($A168="",$B168&lt;&gt;"tutar_farki"),"",IF(ABS($C168-$D168)&lt;=toleransKurus,"KDV_ORAN",IF(ABS($C168-$E168*dbe_kdvOran)&lt;=toleransKurus,"MATRAH",IF($F168=1,"YUVARLAMA","TANIMSIZ"))))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IF($A169="","",IF($C169&lt;=dbe_yuvarlamaEsik,1,0))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IF(OR($A169="",$B169&lt;&gt;"tutar_farki"),"",IF(ABS($C169-$D169)&lt;=toleransKurus,"KDV_ORAN",IF(ABS($C169-$E169*dbe_kdvOran)&lt;=toleransKurus,"MATRAH",IF($F169=1,"YUVARLAMA","TANIMSIZ"))))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IF($A170="","",IF($C170&lt;=dbe_yuvarlamaEsik,1,0))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IF(OR($A170="",$B170&lt;&gt;"tutar_farki"),"",IF(ABS($C170-$D170)&lt;=toleransKurus,"KDV_ORAN",IF(ABS($C170-$E170*dbe_kdvOran)&lt;=toleransKurus,"MATRAH",IF($F170=1,"YUVARLAMA","TANIMSIZ"))))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IF($A171="","",IF($C171&lt;=dbe_yuvarlamaEsik,1,0))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IF(OR($A171="",$B171&lt;&gt;"tutar_farki"),"",IF(ABS($C171-$D171)&lt;=toleransKurus,"KDV_ORAN",IF(ABS($C171-$E171*dbe_kdvOran)&lt;=toleransKurus,"MATRAH",IF($F171=1,"YUVARLAMA","TANIMSIZ"))))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IF($A172="","",IF($C172&lt;=dbe_yuvarlamaEsik,1,0))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IF(OR($A172="",$B172&lt;&gt;"tutar_farki"),"",IF(ABS($C172-$D172)&lt;=toleransKurus,"KDV_ORAN",IF(ABS($C172-$E172*dbe_kdvOran)&lt;=toleransKurus,"MATRAH",IF($F172=1,"YUVARLAMA","TANIMSIZ"))))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IF($A173="","",IF($C173&lt;=dbe_yuvarlamaEsik,1,0))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IF(OR($A173="",$B173&lt;&gt;"tutar_farki"),"",IF(ABS($C173-$D173)&lt;=toleransKurus,"KDV_ORAN",IF(ABS($C173-$E173*dbe_kdvOran)&lt;=toleransKurus,"MATRAH",IF($F173=1,"YUVARLAMA","TANIMSIZ"))))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IF($A174="","",IF($C174&lt;=dbe_yuvarlamaEsik,1,0))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IF(OR($A174="",$B174&lt;&gt;"tutar_farki"),"",IF(ABS($C174-$D174)&lt;=toleransKurus,"KDV_ORAN",IF(ABS($C174-$E174*dbe_kdvOran)&lt;=toleransKurus,"MATRAH",IF($F174=1,"YUVARLAMA","TANIMSIZ"))))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IF($A175="","",IF($C175&lt;=dbe_yuvarlamaEsik,1,0))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IF(OR($A175="",$B175&lt;&gt;"tutar_farki"),"",IF(ABS($C175-$D175)&lt;=toleransKurus,"KDV_ORAN",IF(ABS($C175-$E175*dbe_kdvOran)&lt;=toleransKurus,"MATRAH",IF($F175=1,"YUVARLAMA","TANIMSIZ"))))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IF($A176="","",IF($C176&lt;=dbe_yuvarlamaEsik,1,0))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IF(OR($A176="",$B176&lt;&gt;"tutar_farki"),"",IF(ABS($C176-$D176)&lt;=toleransKurus,"KDV_ORAN",IF(ABS($C176-$E176*dbe_kdvOran)&lt;=toleransKurus,"MATRAH",IF($F176=1,"YUVARLAMA","TANIMSIZ"))))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IF($A177="","",IF($C177&lt;=dbe_yuvarlamaEsik,1,0))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IF(OR($A177="",$B177&lt;&gt;"tutar_farki"),"",IF(ABS($C177-$D177)&lt;=toleransKurus,"KDV_ORAN",IF(ABS($C177-$E177*dbe_kdvOran)&lt;=toleransKurus,"MATRAH",IF($F177=1,"YUVARLAMA","TANIMSIZ"))))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IF($A178="","",IF($C178&lt;=dbe_yuvarlamaEsik,1,0))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IF(OR($A178="",$B178&lt;&gt;"tutar_farki"),"",IF(ABS($C178-$D178)&lt;=toleransKurus,"KDV_ORAN",IF(ABS($C178-$E178*dbe_kdvOran)&lt;=toleransKurus,"MATRAH",IF($F178=1,"YUVARLAMA","TANIMSIZ"))))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IF($A179="","",IF($C179&lt;=dbe_yuvarlamaEsik,1,0))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IF(OR($A179="",$B179&lt;&gt;"tutar_farki"),"",IF(ABS($C179-$D179)&lt;=toleransKurus,"KDV_ORAN",IF(ABS($C179-$E179*dbe_kdvOran)&lt;=toleransKurus,"MATRAH",IF($F179=1,"YUVARLAMA","TANIMSIZ"))))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IF($A180="","",IF($C180&lt;=dbe_yuvarlamaEsik,1,0))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IF(OR($A180="",$B180&lt;&gt;"tutar_farki"),"",IF(ABS($C180-$D180)&lt;=toleransKurus,"KDV_ORAN",IF(ABS($C180-$E180*dbe_kdvOran)&lt;=toleransKurus,"MATRAH",IF($F180=1,"YUVARLAMA","TANIMSIZ"))))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IF($A181="","",IF($C181&lt;=dbe_yuvarlamaEsik,1,0))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IF(OR($A181="",$B181&lt;&gt;"tutar_farki"),"",IF(ABS($C181-$D181)&lt;=toleransKurus,"KDV_ORAN",IF(ABS($C181-$E181*dbe_kdvOran)&lt;=toleransKurus,"MATRAH",IF($F181=1,"YUVARLAMA","TANIMSIZ"))))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IF($A182="","",IF($C182&lt;=dbe_yuvarlamaEsik,1,0))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IF(OR($A182="",$B182&lt;&gt;"tutar_farki"),"",IF(ABS($C182-$D182)&lt;=toleransKurus,"KDV_ORAN",IF(ABS($C182-$E182*dbe_kdvOran)&lt;=toleransKurus,"MATRAH",IF($F182=1,"YUVARLAMA","TANIMSIZ"))))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IF($A183="","",IF($C183&lt;=dbe_yuvarlamaEsik,1,0))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IF(OR($A183="",$B183&lt;&gt;"tutar_farki"),"",IF(ABS($C183-$D183)&lt;=toleransKurus,"KDV_ORAN",IF(ABS($C183-$E183*dbe_kdvOran)&lt;=toleransKurus,"MATRAH",IF($F183=1,"YUVARLAMA","TANIMSIZ"))))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IF($A184="","",IF($C184&lt;=dbe_yuvarlamaEsik,1,0))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IF(OR($A184="",$B184&lt;&gt;"tutar_farki"),"",IF(ABS($C184-$D184)&lt;=toleransKurus,"KDV_ORAN",IF(ABS($C184-$E184*dbe_kdvOran)&lt;=toleransKurus,"MATRAH",IF($F184=1,"YUVARLAMA","TANIMSIZ"))))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IF($A185="","",IF($C185&lt;=dbe_yuvarlamaEsik,1,0))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IF(OR($A185="",$B185&lt;&gt;"tutar_farki"),"",IF(ABS($C185-$D185)&lt;=toleransKurus,"KDV_ORAN",IF(ABS($C185-$E185*dbe_kdvOran)&lt;=toleransKurus,"MATRAH",IF($F185=1,"YUVARLAMA","TANIMSIZ"))))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IF($A186="","",IF($C186&lt;=dbe_yuvarlamaEsik,1,0))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IF(OR($A186="",$B186&lt;&gt;"tutar_farki"),"",IF(ABS($C186-$D186)&lt;=toleransKurus,"KDV_ORAN",IF(ABS($C186-$E186*dbe_kdvOran)&lt;=toleransKurus,"MATRAH",IF($F186=1,"YUVARLAMA","TANIMSIZ"))))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IF($A187="","",IF($C187&lt;=dbe_yuvarlamaEsik,1,0))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IF(OR($A187="",$B187&lt;&gt;"tutar_farki"),"",IF(ABS($C187-$D187)&lt;=toleransKurus,"KDV_ORAN",IF(ABS($C187-$E187*dbe_kdvOran)&lt;=toleransKurus,"MATRAH",IF($F187=1,"YUVARLAMA","TANIMSIZ"))))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IF($A188="","",IF($C188&lt;=dbe_yuvarlamaEsik,1,0))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IF(OR($A188="",$B188&lt;&gt;"tutar_farki"),"",IF(ABS($C188-$D188)&lt;=toleransKurus,"KDV_ORAN",IF(ABS($C188-$E188*dbe_kdvOran)&lt;=toleransKurus,"MATRAH",IF($F188=1,"YUVARLAMA","TANIMSIZ"))))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IF($A189="","",IF($C189&lt;=dbe_yuvarlamaEsik,1,0))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IF(OR($A189="",$B189&lt;&gt;"tutar_farki"),"",IF(ABS($C189-$D189)&lt;=toleransKurus,"KDV_ORAN",IF(ABS($C189-$E189*dbe_kdvOran)&lt;=toleransKurus,"MATRAH",IF($F189=1,"YUVARLAMA","TANIMSIZ"))))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IF($A190="","",IF($C190&lt;=dbe_yuvarlamaEsik,1,0))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IF(OR($A190="",$B190&lt;&gt;"tutar_farki"),"",IF(ABS($C190-$D190)&lt;=toleransKurus,"KDV_ORAN",IF(ABS($C190-$E190*dbe_kdvOran)&lt;=toleransKurus,"MATRAH",IF($F190=1,"YUVARLAMA","TANIMSIZ"))))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IF($A191="","",IF($C191&lt;=dbe_yuvarlamaEsik,1,0))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IF(OR($A191="",$B191&lt;&gt;"tutar_farki"),"",IF(ABS($C191-$D191)&lt;=toleransKurus,"KDV_ORAN",IF(ABS($C191-$E191*dbe_kdvOran)&lt;=toleransKurus,"MATRAH",IF($F191=1,"YUVARLAMA","TANIMSIZ"))))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IF($A192="","",IF($C192&lt;=dbe_yuvarlamaEsik,1,0))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IF(OR($A192="",$B192&lt;&gt;"tutar_farki"),"",IF(ABS($C192-$D192)&lt;=toleransKurus,"KDV_ORAN",IF(ABS($C192-$E192*dbe_kdvOran)&lt;=toleransKurus,"MATRAH",IF($F192=1,"YUVARLAMA","TANIMSIZ"))))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IF($A193="","",IF($C193&lt;=dbe_yuvarlamaEsik,1,0))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IF(OR($A193="",$B193&lt;&gt;"tutar_farki"),"",IF(ABS($C193-$D193)&lt;=toleransKurus,"KDV_ORAN",IF(ABS($C193-$E193*dbe_kdvOran)&lt;=toleransKurus,"MATRAH",IF($F193=1,"YUVARLAMA","TANIMSIZ"))))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IF($A194="","",IF($C194&lt;=dbe_yuvarlamaEsik,1,0))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IF(OR($A194="",$B194&lt;&gt;"tutar_farki"),"",IF(ABS($C194-$D194)&lt;=toleransKurus,"KDV_ORAN",IF(ABS($C194-$E194*dbe_kdvOran)&lt;=toleransKurus,"MATRAH",IF($F194=1,"YUVARLAMA","TANIMSIZ"))))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IF($A195="","",IF($C195&lt;=dbe_yuvarlamaEsik,1,0))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IF(OR($A195="",$B195&lt;&gt;"tutar_farki"),"",IF(ABS($C195-$D195)&lt;=toleransKurus,"KDV_ORAN",IF(ABS($C195-$E195*dbe_kdvOran)&lt;=toleransKurus,"MATRAH",IF($F195=1,"YUVARLAMA","TANIMSIZ"))))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IF($A196="","",IF($C196&lt;=dbe_yuvarlamaEsik,1,0))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IF(OR($A196="",$B196&lt;&gt;"tutar_farki"),"",IF(ABS($C196-$D196)&lt;=toleransKurus,"KDV_ORAN",IF(ABS($C196-$E196*dbe_kdvOran)&lt;=toleransKurus,"MATRAH",IF($F196=1,"YUVARLAMA","TANIMSIZ"))))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IF($A197="","",IF($C197&lt;=dbe_yuvarlamaEsik,1,0))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IF(OR($A197="",$B197&lt;&gt;"tutar_farki"),"",IF(ABS($C197-$D197)&lt;=toleransKurus,"KDV_ORAN",IF(ABS($C197-$E197*dbe_kdvOran)&lt;=toleransKurus,"MATRAH",IF($F197=1,"YUVARLAMA","TANIMSIZ"))))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IF($A198="","",IF($C198&lt;=dbe_yuvarlamaEsik,1,0))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IF(OR($A198="",$B198&lt;&gt;"tutar_farki"),"",IF(ABS($C198-$D198)&lt;=toleransKurus,"KDV_ORAN",IF(ABS($C198-$E198*dbe_kdvOran)&lt;=toleransKurus,"MATRAH",IF($F198=1,"YUVARLAMA","TANIMSIZ"))))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IF($A199="","",IF($C199&lt;=dbe_yuvarlamaEsik,1,0))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IF(OR($A199="",$B199&lt;&gt;"tutar_farki"),"",IF(ABS($C199-$D199)&lt;=toleransKurus,"KDV_ORAN",IF(ABS($C199-$E199*dbe_kdvOran)&lt;=toleransKurus,"MATRAH",IF($F199=1,"YUVARLAMA","TANIMSIZ"))))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IF($A200="","",IF($C200&lt;=dbe_yuvarlamaEsik,1,0))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IF(OR($A200="",$B200&lt;&gt;"tutar_farki"),"",IF(ABS($C200-$D200)&lt;=toleransKurus,"KDV_ORAN",IF(ABS($C200-$E200*dbe_kdvOran)&lt;=toleransKurus,"MATRAH",IF($F200=1,"YUVARLAMA","TANIMSIZ"))))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IF($A201="","",IF($C201&lt;=dbe_yuvarlamaEsik,1,0))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IF(OR($A201="",$B201&lt;&gt;"tutar_farki"),"",IF(ABS($C201-$D201)&lt;=toleransKurus,"KDV_ORAN",IF(ABS($C201-$E201*dbe_kdvOran)&lt;=toleransKurus,"MATRAH",IF($F201=1,"YUVARLAMA","TANIMSIZ"))))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IF($A202="","",IF($C202&lt;=dbe_yuvarlamaEsik,1,0))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IF(OR($A202="",$B202&lt;&gt;"tutar_farki"),"",IF(ABS($C202-$D202)&lt;=toleransKurus,"KDV_ORAN",IF(ABS($C202-$E202*dbe_kdvOran)&lt;=toleransKurus,"MATRAH",IF($F202=1,"YUVARLAMA","TANIMSIZ"))))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IF($A203="","",IF($C203&lt;=dbe_yuvarlamaEsik,1,0))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IF(OR($A203="",$B203&lt;&gt;"tutar_farki"),"",IF(ABS($C203-$D203)&lt;=toleransKurus,"KDV_ORAN",IF(ABS($C203-$E203*dbe_kdvOran)&lt;=toleransKurus,"MATRAH",IF($F203=1,"YUVARLAMA","TANIMSIZ"))))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IF($A204="","",IF($C204&lt;=dbe_yuvarlamaEsik,1,0))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IF(OR($A204="",$B204&lt;&gt;"tutar_farki"),"",IF(ABS($C204-$D204)&lt;=toleransKurus,"KDV_ORAN",IF(ABS($C204-$E204*dbe_kdvOran)&lt;=toleransKurus,"MATRAH",IF($F204=1,"YUVARLAMA","TANIMSIZ"))))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IF($A205="","",IF($C205&lt;=dbe_yuvarlamaEsik,1,0))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IF(OR($A205="",$B205&lt;&gt;"tutar_farki"),"",IF(ABS($C205-$D205)&lt;=toleransKurus,"KDV_ORAN",IF(ABS($C205-$E205*dbe_kdvOran)&lt;=toleransKurus,"MATRAH",IF($F205=1,"YUVARLAMA","TANIMSIZ"))))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IF($A206="","",IF($C206&lt;=dbe_yuvarlamaEsik,1,0))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IF(OR($A206="",$B206&lt;&gt;"tutar_farki"),"",IF(ABS($C206-$D206)&lt;=toleransKurus,"KDV_ORAN",IF(ABS($C206-$E206*dbe_kdvOran)&lt;=toleransKurus,"MATRAH",IF($F206=1,"YUVARLAMA","TANIMSIZ"))))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IF($A207="","",IF($C207&lt;=dbe_yuvarlamaEsik,1,0))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IF(OR($A207="",$B207&lt;&gt;"tutar_farki"),"",IF(ABS($C207-$D207)&lt;=toleransKurus,"KDV_ORAN",IF(ABS($C207-$E207*dbe_kdvOran)&lt;=toleransKurus,"MATRAH",IF($F207=1,"YUVARLAMA","TANIMSIZ"))))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IF($A208="","",IF($C208&lt;=dbe_yuvarlamaEsik,1,0))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IF(OR($A208="",$B208&lt;&gt;"tutar_farki"),"",IF(ABS($C208-$D208)&lt;=toleransKurus,"KDV_ORAN",IF(ABS($C208-$E208*dbe_kdvOran)&lt;=toleransKurus,"MATRAH",IF($F208=1,"YUVARLAMA","TANIMSIZ"))))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IF($A209="","",IF($C209&lt;=dbe_yuvarlamaEsik,1,0))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IF(OR($A209="",$B209&lt;&gt;"tutar_farki"),"",IF(ABS($C209-$D209)&lt;=toleransKurus,"KDV_ORAN",IF(ABS($C209-$E209*dbe_kdvOran)&lt;=toleransKurus,"MATRAH",IF($F209=1,"YUVARLAMA","TANIMSIZ"))))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IF($A210="","",IF($C210&lt;=dbe_yuvarlamaEsik,1,0))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IF(OR($A210="",$B210&lt;&gt;"tutar_farki"),"",IF(ABS($C210-$D210)&lt;=toleransKurus,"KDV_ORAN",IF(ABS($C210-$E210*dbe_kdvOran)&lt;=toleransKurus,"MATRAH",IF($F210=1,"YUVARLAMA","TANIMSIZ"))))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IF($A211="","",IF($C211&lt;=dbe_yuvarlamaEsik,1,0))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IF(OR($A211="",$B211&lt;&gt;"tutar_farki"),"",IF(ABS($C211-$D211)&lt;=toleransKurus,"KDV_ORAN",IF(ABS($C211-$E211*dbe_kdvOran)&lt;=toleransKurus,"MATRAH",IF($F211=1,"YUVARLAMA","TANIMSIZ"))))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IF($A212="","",IF($C212&lt;=dbe_yuvarlamaEsik,1,0))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IF(OR($A212="",$B212&lt;&gt;"tutar_farki"),"",IF(ABS($C212-$D212)&lt;=toleransKurus,"KDV_ORAN",IF(ABS($C212-$E212*dbe_kdvOran)&lt;=toleransKurus,"MATRAH",IF($F212=1,"YUVARLAMA","TANIMSIZ"))))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IF($A213="","",IF($C213&lt;=dbe_yuvarlamaEsik,1,0))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IF(OR($A213="",$B213&lt;&gt;"tutar_farki"),"",IF(ABS($C213-$D213)&lt;=toleransKurus,"KDV_ORAN",IF(ABS($C213-$E213*dbe_kdvOran)&lt;=toleransKurus,"MATRAH",IF($F213=1,"YUVARLAMA","TANIMSIZ"))))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IF($A214="","",IF($C214&lt;=dbe_yuvarlamaEsik,1,0))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IF(OR($A214="",$B214&lt;&gt;"tutar_farki"),"",IF(ABS($C214-$D214)&lt;=toleransKurus,"KDV_ORAN",IF(ABS($C214-$E214*dbe_kdvOran)&lt;=toleransKurus,"MATRAH",IF($F214=1,"YUVARLAMA","TANIMSIZ"))))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IF($A215="","",IF($C215&lt;=dbe_yuvarlamaEsik,1,0))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IF(OR($A215="",$B215&lt;&gt;"tutar_farki"),"",IF(ABS($C215-$D215)&lt;=toleransKurus,"KDV_ORAN",IF(ABS($C215-$E215*dbe_kdvOran)&lt;=toleransKurus,"MATRAH",IF($F215=1,"YUVARLAMA","TANIMSIZ"))))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IF($A216="","",IF($C216&lt;=dbe_yuvarlamaEsik,1,0))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IF(OR($A216="",$B216&lt;&gt;"tutar_farki"),"",IF(ABS($C216-$D216)&lt;=toleransKurus,"KDV_ORAN",IF(ABS($C216-$E216*dbe_kdvOran)&lt;=toleransKurus,"MATRAH",IF($F216=1,"YUVARLAMA","TANIMSIZ"))))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IF($A217="","",IF($C217&lt;=dbe_yuvarlamaEsik,1,0))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IF(OR($A217="",$B217&lt;&gt;"tutar_farki"),"",IF(ABS($C217-$D217)&lt;=toleransKurus,"KDV_ORAN",IF(ABS($C217-$E217*dbe_kdvOran)&lt;=toleransKurus,"MATRAH",IF($F217=1,"YUVARLAMA","TANIMSIZ"))))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IF($A218="","",IF($C218&lt;=dbe_yuvarlamaEsik,1,0))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IF(OR($A218="",$B218&lt;&gt;"tutar_farki"),"",IF(ABS($C218-$D218)&lt;=toleransKurus,"KDV_ORAN",IF(ABS($C218-$E218*dbe_kdvOran)&lt;=toleransKurus,"MATRAH",IF($F218=1,"YUVARLAMA","TANIMSIZ"))))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IF($A219="","",IF($C219&lt;=dbe_yuvarlamaEsik,1,0))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IF(OR($A219="",$B219&lt;&gt;"tutar_farki"),"",IF(ABS($C219-$D219)&lt;=toleransKurus,"KDV_ORAN",IF(ABS($C219-$E219*dbe_kdvOran)&lt;=toleransKurus,"MATRAH",IF($F219=1,"YUVARLAMA","TANIMSIZ"))))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IF($A220="","",IF($C220&lt;=dbe_yuvarlamaEsik,1,0))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IF(OR($A220="",$B220&lt;&gt;"tutar_farki"),"",IF(ABS($C220-$D220)&lt;=toleransKurus,"KDV_ORAN",IF(ABS($C220-$E220*dbe_kdvOran)&lt;=toleransKurus,"MATRAH",IF($F220=1,"YUVARLAMA","TANIMSIZ"))))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IF($A221="","",IF($C221&lt;=dbe_yuvarlamaEsik,1,0))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IF(OR($A221="",$B221&lt;&gt;"tutar_farki"),"",IF(ABS($C221-$D221)&lt;=toleransKurus,"KDV_ORAN",IF(ABS($C221-$E221*dbe_kdvOran)&lt;=toleransKurus,"MATRAH",IF($F221=1,"YUVARLAMA","TANIMSIZ"))))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IF($A222="","",IF($C222&lt;=dbe_yuvarlamaEsik,1,0))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IF(OR($A222="",$B222&lt;&gt;"tutar_farki"),"",IF(ABS($C222-$D222)&lt;=toleransKurus,"KDV_ORAN",IF(ABS($C222-$E222*dbe_kdvOran)&lt;=toleransKurus,"MATRAH",IF($F222=1,"YUVARLAMA","TANIMSIZ"))))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IF($A223="","",IF($C223&lt;=dbe_yuvarlamaEsik,1,0))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IF(OR($A223="",$B223&lt;&gt;"tutar_farki"),"",IF(ABS($C223-$D223)&lt;=toleransKurus,"KDV_ORAN",IF(ABS($C223-$E223*dbe_kdvOran)&lt;=toleransKurus,"MATRAH",IF($F223=1,"YUVARLAMA","TANIMSIZ"))))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IF($A224="","",IF($C224&lt;=dbe_yuvarlamaEsik,1,0))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IF(OR($A224="",$B224&lt;&gt;"tutar_farki"),"",IF(ABS($C224-$D224)&lt;=toleransKurus,"KDV_ORAN",IF(ABS($C224-$E224*dbe_kdvOran)&lt;=toleransKurus,"MATRAH",IF($F224=1,"YUVARLAMA","TANIMSIZ"))))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IF($A225="","",IF($C225&lt;=dbe_yuvarlamaEsik,1,0))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IF(OR($A225="",$B225&lt;&gt;"tutar_farki"),"",IF(ABS($C225-$D225)&lt;=toleransKurus,"KDV_ORAN",IF(ABS($C225-$E225*dbe_kdvOran)&lt;=toleransKurus,"MATRAH",IF($F225=1,"YUVARLAMA","TANIMSIZ"))))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IF($A226="","",IF($C226&lt;=dbe_yuvarlamaEsik,1,0))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IF(OR($A226="",$B226&lt;&gt;"tutar_farki"),"",IF(ABS($C226-$D226)&lt;=toleransKurus,"KDV_ORAN",IF(ABS($C226-$E226*dbe_kdvOran)&lt;=toleransKurus,"MATRAH",IF($F226=1,"YUVARLAMA","TANIMSIZ"))))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IF($A227="","",IF($C227&lt;=dbe_yuvarlamaEsik,1,0))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IF(OR($A227="",$B227&lt;&gt;"tutar_farki"),"",IF(ABS($C227-$D227)&lt;=toleransKurus,"KDV_ORAN",IF(ABS($C227-$E227*dbe_kdvOran)&lt;=toleransKurus,"MATRAH",IF($F227=1,"YUVARLAMA","TANIMSIZ"))))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IF($A228="","",IF($C228&lt;=dbe_yuvarlamaEsik,1,0))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IF(OR($A228="",$B228&lt;&gt;"tutar_farki"),"",IF(ABS($C228-$D228)&lt;=toleransKurus,"KDV_ORAN",IF(ABS($C228-$E228*dbe_kdvOran)&lt;=toleransKurus,"MATRAH",IF($F228=1,"YUVARLAMA","TANIMSIZ"))))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IF($A229="","",IF($C229&lt;=dbe_yuvarlamaEsik,1,0))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IF(OR($A229="",$B229&lt;&gt;"tutar_farki"),"",IF(ABS($C229-$D229)&lt;=toleransKurus,"KDV_ORAN",IF(ABS($C229-$E229*dbe_kdvOran)&lt;=toleransKurus,"MATRAH",IF($F229=1,"YUVARLAMA","TANIMSIZ"))))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IF($A230="","",IF($C230&lt;=dbe_yuvarlamaEsik,1,0))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IF(OR($A230="",$B230&lt;&gt;"tutar_farki"),"",IF(ABS($C230-$D230)&lt;=toleransKurus,"KDV_ORAN",IF(ABS($C230-$E230*dbe_kdvOran)&lt;=toleransKurus,"MATRAH",IF($F230=1,"YUVARLAMA","TANIMSIZ"))))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IF($A231="","",IF($C231&lt;=dbe_yuvarlamaEsik,1,0))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IF(OR($A231="",$B231&lt;&gt;"tutar_farki"),"",IF(ABS($C231-$D231)&lt;=toleransKurus,"KDV_ORAN",IF(ABS($C231-$E231*dbe_kdvOran)&lt;=toleransKurus,"MATRAH",IF($F231=1,"YUVARLAMA","TANIMSIZ"))))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IF($A232="","",IF($C232&lt;=dbe_yuvarlamaEsik,1,0))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IF(OR($A232="",$B232&lt;&gt;"tutar_farki"),"",IF(ABS($C232-$D232)&lt;=toleransKurus,"KDV_ORAN",IF(ABS($C232-$E232*dbe_kdvOran)&lt;=toleransKurus,"MATRAH",IF($F232=1,"YUVARLAMA","TANIMSIZ"))))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IF($A233="","",IF($C233&lt;=dbe_yuvarlamaEsik,1,0))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IF(OR($A233="",$B233&lt;&gt;"tutar_farki"),"",IF(ABS($C233-$D233)&lt;=toleransKurus,"KDV_ORAN",IF(ABS($C233-$E233*dbe_kdvOran)&lt;=toleransKurus,"MATRAH",IF($F233=1,"YUVARLAMA","TANIMSIZ"))))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IF($A234="","",IF($C234&lt;=dbe_yuvarlamaEsik,1,0))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IF(OR($A234="",$B234&lt;&gt;"tutar_farki"),"",IF(ABS($C234-$D234)&lt;=toleransKurus,"KDV_ORAN",IF(ABS($C234-$E234*dbe_kdvOran)&lt;=toleransKurus,"MATRAH",IF($F234=1,"YUVARLAMA","TANIMSIZ"))))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IF($A235="","",IF($C235&lt;=dbe_yuvarlamaEsik,1,0))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IF(OR($A235="",$B235&lt;&gt;"tutar_farki"),"",IF(ABS($C235-$D235)&lt;=toleransKurus,"KDV_ORAN",IF(ABS($C235-$E235*dbe_kdvOran)&lt;=toleransKurus,"MATRAH",IF($F235=1,"YUVARLAMA","TANIMSIZ"))))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IF($A236="","",IF($C236&lt;=dbe_yuvarlamaEsik,1,0))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IF(OR($A236="",$B236&lt;&gt;"tutar_farki"),"",IF(ABS($C236-$D236)&lt;=toleransKurus,"KDV_ORAN",IF(ABS($C236-$E236*dbe_kdvOran)&lt;=toleransKurus,"MATRAH",IF($F236=1,"YUVARLAMA","TANIMSIZ"))))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IF($A237="","",IF($C237&lt;=dbe_yuvarlamaEsik,1,0))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IF(OR($A237="",$B237&lt;&gt;"tutar_farki"),"",IF(ABS($C237-$D237)&lt;=toleransKurus,"KDV_ORAN",IF(ABS($C237-$E237*dbe_kdvOran)&lt;=toleransKurus,"MATRAH",IF($F237=1,"YUVARLAMA","TANIMSIZ"))))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IF($A238="","",IF($C238&lt;=dbe_yuvarlamaEsik,1,0))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IF(OR($A238="",$B238&lt;&gt;"tutar_farki"),"",IF(ABS($C238-$D238)&lt;=toleransKurus,"KDV_ORAN",IF(ABS($C238-$E238*dbe_kdvOran)&lt;=toleransKurus,"MATRAH",IF($F238=1,"YUVARLAMA","TANIMSIZ"))))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IF($A239="","",IF($C239&lt;=dbe_yuvarlamaEsik,1,0))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IF(OR($A239="",$B239&lt;&gt;"tutar_farki"),"",IF(ABS($C239-$D239)&lt;=toleransKurus,"KDV_ORAN",IF(ABS($C239-$E239*dbe_kdvOran)&lt;=toleransKurus,"MATRAH",IF($F239=1,"YUVARLAMA","TANIMSIZ"))))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IF($A240="","",IF($C240&lt;=dbe_yuvarlamaEsik,1,0))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IF(OR($A240="",$B240&lt;&gt;"tutar_farki"),"",IF(ABS($C240-$D240)&lt;=toleransKurus,"KDV_ORAN",IF(ABS($C240-$E240*dbe_kdvOran)&lt;=toleransKurus,"MATRAH",IF($F240=1,"YUVARLAMA","TANIMSIZ"))))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IF($A241="","",IF($C241&lt;=dbe_yuvarlamaEsik,1,0))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IF(OR($A241="",$B241&lt;&gt;"tutar_farki"),"",IF(ABS($C241-$D241)&lt;=toleransKurus,"KDV_ORAN",IF(ABS($C241-$E241*dbe_kdvOran)&lt;=toleransKurus,"MATRAH",IF($F241=1,"YUVARLAMA","TANIMSIZ"))))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IF($A242="","",IF($C242&lt;=dbe_yuvarlamaEsik,1,0))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IF(OR($A242="",$B242&lt;&gt;"tutar_farki"),"",IF(ABS($C242-$D242)&lt;=toleransKurus,"KDV_ORAN",IF(ABS($C242-$E242*dbe_kdvOran)&lt;=toleransKurus,"MATRAH",IF($F242=1,"YUVARLAMA","TANIMSIZ"))))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IF($A243="","",IF($C243&lt;=dbe_yuvarlamaEsik,1,0))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IF(OR($A243="",$B243&lt;&gt;"tutar_farki"),"",IF(ABS($C243-$D243)&lt;=toleransKurus,"KDV_ORAN",IF(ABS($C243-$E243*dbe_kdvOran)&lt;=toleransKurus,"MATRAH",IF($F243=1,"YUVARLAMA","TANIMSIZ"))))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IF($A244="","",IF($C244&lt;=dbe_yuvarlamaEsik,1,0))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IF(OR($A244="",$B244&lt;&gt;"tutar_farki"),"",IF(ABS($C244-$D244)&lt;=toleransKurus,"KDV_ORAN",IF(ABS($C244-$E244*dbe_kdvOran)&lt;=toleransKurus,"MATRAH",IF($F244=1,"YUVARLAMA","TANIMSIZ"))))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IF($A245="","",IF($C245&lt;=dbe_yuvarlamaEsik,1,0))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IF(OR($A245="",$B245&lt;&gt;"tutar_farki"),"",IF(ABS($C245-$D245)&lt;=toleransKurus,"KDV_ORAN",IF(ABS($C245-$E245*dbe_kdvOran)&lt;=toleransKurus,"MATRAH",IF($F245=1,"YUVARLAMA","TANIMSIZ"))))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IF($A246="","",IF($C246&lt;=dbe_yuvarlamaEsik,1,0))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IF(OR($A246="",$B246&lt;&gt;"tutar_farki"),"",IF(ABS($C246-$D246)&lt;=toleransKurus,"KDV_ORAN",IF(ABS($C246-$E246*dbe_kdvOran)&lt;=toleransKurus,"MATRAH",IF($F246=1,"YUVARLAMA","TANIMSIZ"))))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IF($A247="","",IF($C247&lt;=dbe_yuvarlamaEsik,1,0))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IF(OR($A247="",$B247&lt;&gt;"tutar_farki"),"",IF(ABS($C247-$D247)&lt;=toleransKurus,"KDV_ORAN",IF(ABS($C247-$E247*dbe_kdvOran)&lt;=toleransKurus,"MATRAH",IF($F247=1,"YUVARLAMA","TANIMSIZ"))))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IF($A248="","",IF($C248&lt;=dbe_yuvarlamaEsik,1,0))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IF(OR($A248="",$B248&lt;&gt;"tutar_farki"),"",IF(ABS($C248-$D248)&lt;=toleransKurus,"KDV_ORAN",IF(ABS($C248-$E248*dbe_kdvOran)&lt;=toleransKurus,"MATRAH",IF($F248=1,"YUVARLAMA","TANIMSIZ"))))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IF($A249="","",IF($C249&lt;=dbe_yuvarlamaEsik,1,0))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IF(OR($A249="",$B249&lt;&gt;"tutar_farki"),"",IF(ABS($C249-$D249)&lt;=toleransKurus,"KDV_ORAN",IF(ABS($C249-$E249*dbe_kdvOran)&lt;=toleransKurus,"MATRAH",IF($F249=1,"YUVARLAMA","TANIMSIZ"))))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IF($A250="","",IF($C250&lt;=dbe_yuvarlamaEsik,1,0))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IF(OR($A250="",$B250&lt;&gt;"tutar_farki"),"",IF(ABS($C250-$D250)&lt;=toleransKurus,"KDV_ORAN",IF(ABS($C250-$E250*dbe_kdvOran)&lt;=toleransKurus,"MATRAH",IF($F250=1,"YUVARLAMA","TANIMSIZ"))))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IF($A251="","",IF($C251&lt;=dbe_yuvarlamaEsik,1,0))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IF(OR($A251="",$B251&lt;&gt;"tutar_farki"),"",IF(ABS($C251-$D251)&lt;=toleransKurus,"KDV_ORAN",IF(ABS($C251-$E251*dbe_kdvOran)&lt;=toleransKurus,"MATRAH",IF($F251=1,"YUVARLAMA","TANIMSIZ"))))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IF($A252="","",IF($C252&lt;=dbe_yuvarlamaEsik,1,0))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IF(OR($A252="",$B252&lt;&gt;"tutar_farki"),"",IF(ABS($C252-$D252)&lt;=toleransKurus,"KDV_ORAN",IF(ABS($C252-$E252*dbe_kdvOran)&lt;=toleransKurus,"MATRAH",IF($F252=1,"YUVARLAMA","TANIMSIZ"))))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IF($A253="","",IF($C253&lt;=dbe_yuvarlamaEsik,1,0))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IF(OR($A253="",$B253&lt;&gt;"tutar_farki"),"",IF(ABS($C253-$D253)&lt;=toleransKurus,"KDV_ORAN",IF(ABS($C253-$E253*dbe_kdvOran)&lt;=toleransKurus,"MATRAH",IF($F253=1,"YUVARLAMA","TANIMSIZ"))))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IF($A254="","",IF($C254&lt;=dbe_yuvarlamaEsik,1,0))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IF(OR($A254="",$B254&lt;&gt;"tutar_farki"),"",IF(ABS($C254-$D254)&lt;=toleransKurus,"KDV_ORAN",IF(ABS($C254-$E254*dbe_kdvOran)&lt;=toleransKurus,"MATRAH",IF($F254=1,"YUVARLAMA","TANIMSIZ"))))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IF($A255="","",IF($C255&lt;=dbe_yuvarlamaEsik,1,0))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IF(OR($A255="",$B255&lt;&gt;"tutar_farki"),"",IF(ABS($C255-$D255)&lt;=toleransKurus,"KDV_ORAN",IF(ABS($C255-$E255*dbe_kdvOran)&lt;=toleransKurus,"MATRAH",IF($F255=1,"YUVARLAMA","TANIMSIZ"))))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IF($A256="","",IF($C256&lt;=dbe_yuvarlamaEsik,1,0))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IF(OR($A256="",$B256&lt;&gt;"tutar_farki"),"",IF(ABS($C256-$D256)&lt;=toleransKurus,"KDV_ORAN",IF(ABS($C256-$E256*dbe_kdvOran)&lt;=toleransKurus,"MATRAH",IF($F256=1,"YUVARLAMA","TANIMSIZ"))))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IF($A257="","",IF($C257&lt;=dbe_yuvarlamaEsik,1,0))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IF(OR($A257="",$B257&lt;&gt;"tutar_farki"),"",IF(ABS($C257-$D257)&lt;=toleransKurus,"KDV_ORAN",IF(ABS($C257-$E257*dbe_kdvOran)&lt;=toleransKurus,"MATRAH",IF($F257=1,"YUVARLAMA","TANIMSIZ"))))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IF($A258="","",IF($C258&lt;=dbe_yuvarlamaEsik,1,0))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IF(OR($A258="",$B258&lt;&gt;"tutar_farki"),"",IF(ABS($C258-$D258)&lt;=toleransKurus,"KDV_ORAN",IF(ABS($C258-$E258*dbe_kdvOran)&lt;=toleransKurus,"MATRAH",IF($F258=1,"YUVARLAMA","TANIMSIZ"))))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IF($A259="","",IF($C259&lt;=dbe_yuvarlamaEsik,1,0))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IF(OR($A259="",$B259&lt;&gt;"tutar_farki"),"",IF(ABS($C259-$D259)&lt;=toleransKurus,"KDV_ORAN",IF(ABS($C259-$E259*dbe_kdvOran)&lt;=toleransKurus,"MATRAH",IF($F259=1,"YUVARLAMA","TANIMSIZ"))))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IF($A260="","",IF($C260&lt;=dbe_yuvarlamaEsik,1,0))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IF(OR($A260="",$B260&lt;&gt;"tutar_farki"),"",IF(ABS($C260-$D260)&lt;=toleransKurus,"KDV_ORAN",IF(ABS($C260-$E260*dbe_kdvOran)&lt;=toleransKurus,"MATRAH",IF($F260=1,"YUVARLAMA","TANIMSIZ"))))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IF($A261="","",IF($C261&lt;=dbe_yuvarlamaEsik,1,0))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IF(OR($A261="",$B261&lt;&gt;"tutar_farki"),"",IF(ABS($C261-$D261)&lt;=toleransKurus,"KDV_ORAN",IF(ABS($C261-$E261*dbe_kdvOran)&lt;=toleransKurus,"MATRAH",IF($F261=1,"YUVARLAMA","TANIMSIZ"))))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IF($A262="","",IF($C262&lt;=dbe_yuvarlamaEsik,1,0))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IF(OR($A262="",$B262&lt;&gt;"tutar_farki"),"",IF(ABS($C262-$D262)&lt;=toleransKurus,"KDV_ORAN",IF(ABS($C262-$E262*dbe_kdvOran)&lt;=toleransKurus,"MATRAH",IF($F262=1,"YUVARLAMA","TANIMSIZ"))))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IF($A263="","",IF($C263&lt;=dbe_yuvarlamaEsik,1,0))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IF(OR($A263="",$B263&lt;&gt;"tutar_farki"),"",IF(ABS($C263-$D263)&lt;=toleransKurus,"KDV_ORAN",IF(ABS($C263-$E263*dbe_kdvOran)&lt;=toleransKurus,"MATRAH",IF($F263=1,"YUVARLAMA","TANIMSIZ"))))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IF($A264="","",IF($C264&lt;=dbe_yuvarlamaEsik,1,0))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IF(OR($A264="",$B264&lt;&gt;"tutar_farki"),"",IF(ABS($C264-$D264)&lt;=toleransKurus,"KDV_ORAN",IF(ABS($C264-$E264*dbe_kdvOran)&lt;=toleransKurus,"MATRAH",IF($F264=1,"YUVARLAMA","TANIMSIZ"))))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IF($A265="","",IF($C265&lt;=dbe_yuvarlamaEsik,1,0))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IF(OR($A265="",$B265&lt;&gt;"tutar_farki"),"",IF(ABS($C265-$D265)&lt;=toleransKurus,"KDV_ORAN",IF(ABS($C265-$E265*dbe_kdvOran)&lt;=toleransKurus,"MATRAH",IF($F265=1,"YUVARLAMA","TANIMSIZ"))))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IF($A266="","",IF($C266&lt;=dbe_yuvarlamaEsik,1,0))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IF(OR($A266="",$B266&lt;&gt;"tutar_farki"),"",IF(ABS($C266-$D266)&lt;=toleransKurus,"KDV_ORAN",IF(ABS($C266-$E266*dbe_kdvOran)&lt;=toleransKurus,"MATRAH",IF($F266=1,"YUVARLAMA","TANIMSIZ"))))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IF($A267="","",IF($C267&lt;=dbe_yuvarlamaEsik,1,0))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IF(OR($A267="",$B267&lt;&gt;"tutar_farki"),"",IF(ABS($C267-$D267)&lt;=toleransKurus,"KDV_ORAN",IF(ABS($C267-$E267*dbe_kdvOran)&lt;=toleransKurus,"MATRAH",IF($F267=1,"YUVARLAMA","TANIMSIZ"))))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IF($A268="","",IF($C268&lt;=dbe_yuvarlamaEsik,1,0))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IF(OR($A268="",$B268&lt;&gt;"tutar_farki"),"",IF(ABS($C268-$D268)&lt;=toleransKurus,"KDV_ORAN",IF(ABS($C268-$E268*dbe_kdvOran)&lt;=toleransKurus,"MATRAH",IF($F268=1,"YUVARLAMA","TANIMSIZ"))))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IF($A269="","",IF($C269&lt;=dbe_yuvarlamaEsik,1,0))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IF(OR($A269="",$B269&lt;&gt;"tutar_farki"),"",IF(ABS($C269-$D269)&lt;=toleransKurus,"KDV_ORAN",IF(ABS($C269-$E269*dbe_kdvOran)&lt;=toleransKurus,"MATRAH",IF($F269=1,"YUVARLAMA","TANIMSIZ"))))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IF($A270="","",IF($C270&lt;=dbe_yuvarlamaEsik,1,0))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IF(OR($A270="",$B270&lt;&gt;"tutar_farki"),"",IF(ABS($C270-$D270)&lt;=toleransKurus,"KDV_ORAN",IF(ABS($C270-$E270*dbe_kdvOran)&lt;=toleransKurus,"MATRAH",IF($F270=1,"YUVARLAMA","TANIMSIZ"))))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IF($A271="","",IF($C271&lt;=dbe_yuvarlamaEsik,1,0))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IF(OR($A271="",$B271&lt;&gt;"tutar_farki"),"",IF(ABS($C271-$D271)&lt;=toleransKurus,"KDV_ORAN",IF(ABS($C271-$E271*dbe_kdvOran)&lt;=toleransKurus,"MATRAH",IF($F271=1,"YUVARLAMA","TANIMSIZ"))))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IF($A272="","",IF($C272&lt;=dbe_yuvarlamaEsik,1,0))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IF(OR($A272="",$B272&lt;&gt;"tutar_farki"),"",IF(ABS($C272-$D272)&lt;=toleransKurus,"KDV_ORAN",IF(ABS($C272-$E272*dbe_kdvOran)&lt;=toleransKurus,"MATRAH",IF($F272=1,"YUVARLAMA","TANIMSIZ"))))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IF($A273="","",IF($C273&lt;=dbe_yuvarlamaEsik,1,0))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IF(OR($A273="",$B273&lt;&gt;"tutar_farki"),"",IF(ABS($C273-$D273)&lt;=toleransKurus,"KDV_ORAN",IF(ABS($C273-$E273*dbe_kdvOran)&lt;=toleransKurus,"MATRAH",IF($F273=1,"YUVARLAMA","TANIMSIZ"))))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IF($A274="","",IF($C274&lt;=dbe_yuvarlamaEsik,1,0))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IF(OR($A274="",$B274&lt;&gt;"tutar_farki"),"",IF(ABS($C274-$D274)&lt;=toleransKurus,"KDV_ORAN",IF(ABS($C274-$E274*dbe_kdvOran)&lt;=toleransKurus,"MATRAH",IF($F274=1,"YUVARLAMA","TANIMSIZ"))))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IF($A275="","",IF($C275&lt;=dbe_yuvarlamaEsik,1,0))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IF(OR($A275="",$B275&lt;&gt;"tutar_farki"),"",IF(ABS($C275-$D275)&lt;=toleransKurus,"KDV_ORAN",IF(ABS($C275-$E275*dbe_kdvOran)&lt;=toleransKurus,"MATRAH",IF($F275=1,"YUVARLAMA","TANIMSIZ"))))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IF($A276="","",IF($C276&lt;=dbe_yuvarlamaEsik,1,0))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IF(OR($A276="",$B276&lt;&gt;"tutar_farki"),"",IF(ABS($C276-$D276)&lt;=toleransKurus,"KDV_ORAN",IF(ABS($C276-$E276*dbe_kdvOran)&lt;=toleransKurus,"MATRAH",IF($F276=1,"YUVARLAMA","TANIMSIZ"))))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IF($A277="","",IF($C277&lt;=dbe_yuvarlamaEsik,1,0))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IF(OR($A277="",$B277&lt;&gt;"tutar_farki"),"",IF(ABS($C277-$D277)&lt;=toleransKurus,"KDV_ORAN",IF(ABS($C277-$E277*dbe_kdvOran)&lt;=toleransKurus,"MATRAH",IF($F277=1,"YUVARLAMA","TANIMSIZ"))))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IF($A278="","",IF($C278&lt;=dbe_yuvarlamaEsik,1,0))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IF(OR($A278="",$B278&lt;&gt;"tutar_farki"),"",IF(ABS($C278-$D278)&lt;=toleransKurus,"KDV_ORAN",IF(ABS($C278-$E278*dbe_kdvOran)&lt;=toleransKurus,"MATRAH",IF($F278=1,"YUVARLAMA","TANIMSIZ"))))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IF($A279="","",IF($C279&lt;=dbe_yuvarlamaEsik,1,0))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IF(OR($A279="",$B279&lt;&gt;"tutar_farki"),"",IF(ABS($C279-$D279)&lt;=toleransKurus,"KDV_ORAN",IF(ABS($C279-$E279*dbe_kdvOran)&lt;=toleransKurus,"MATRAH",IF($F279=1,"YUVARLAMA","TANIMSIZ"))))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IF($A280="","",IF($C280&lt;=dbe_yuvarlamaEsik,1,0))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IF(OR($A280="",$B280&lt;&gt;"tutar_farki"),"",IF(ABS($C280-$D280)&lt;=toleransKurus,"KDV_ORAN",IF(ABS($C280-$E280*dbe_kdvOran)&lt;=toleransKurus,"MATRAH",IF($F280=1,"YUVARLAMA","TANIMSIZ"))))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IF($A281="","",IF($C281&lt;=dbe_yuvarlamaEsik,1,0))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IF(OR($A281="",$B281&lt;&gt;"tutar_farki"),"",IF(ABS($C281-$D281)&lt;=toleransKurus,"KDV_ORAN",IF(ABS($C281-$E281*dbe_kdvOran)&lt;=toleransKurus,"MATRAH",IF($F281=1,"YUVARLAMA","TANIMSIZ"))))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IF($A282="","",IF($C282&lt;=dbe_yuvarlamaEsik,1,0))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IF(OR($A282="",$B282&lt;&gt;"tutar_farki"),"",IF(ABS($C282-$D282)&lt;=toleransKurus,"KDV_ORAN",IF(ABS($C282-$E282*dbe_kdvOran)&lt;=toleransKurus,"MATRAH",IF($F282=1,"YUVARLAMA","TANIMSIZ"))))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IF($A283="","",IF($C283&lt;=dbe_yuvarlamaEsik,1,0))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IF(OR($A283="",$B283&lt;&gt;"tutar_farki"),"",IF(ABS($C283-$D283)&lt;=toleransKurus,"KDV_ORAN",IF(ABS($C283-$E283*dbe_kdvOran)&lt;=toleransKurus,"MATRAH",IF($F283=1,"YUVARLAMA","TANIMSIZ"))))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IF($A284="","",IF($C284&lt;=dbe_yuvarlamaEsik,1,0))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IF(OR($A284="",$B284&lt;&gt;"tutar_farki"),"",IF(ABS($C284-$D284)&lt;=toleransKurus,"KDV_ORAN",IF(ABS($C284-$E284*dbe_kdvOran)&lt;=toleransKurus,"MATRAH",IF($F284=1,"YUVARLAMA","TANIMSIZ"))))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IF($A285="","",IF($C285&lt;=dbe_yuvarlamaEsik,1,0))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IF(OR($A285="",$B285&lt;&gt;"tutar_farki"),"",IF(ABS($C285-$D285)&lt;=toleransKurus,"KDV_ORAN",IF(ABS($C285-$E285*dbe_kdvOran)&lt;=toleransKurus,"MATRAH",IF($F285=1,"YUVARLAMA","TANIMSIZ"))))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IF($A286="","",IF($C286&lt;=dbe_yuvarlamaEsik,1,0))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IF(OR($A286="",$B286&lt;&gt;"tutar_farki"),"",IF(ABS($C286-$D286)&lt;=toleransKurus,"KDV_ORAN",IF(ABS($C286-$E286*dbe_kdvOran)&lt;=toleransKurus,"MATRAH",IF($F286=1,"YUVARLAMA","TANIMSIZ"))))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IF($A287="","",IF($C287&lt;=dbe_yuvarlamaEsik,1,0))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IF(OR($A287="",$B287&lt;&gt;"tutar_farki"),"",IF(ABS($C287-$D287)&lt;=toleransKurus,"KDV_ORAN",IF(ABS($C287-$E287*dbe_kdvOran)&lt;=toleransKurus,"MATRAH",IF($F287=1,"YUVARLAMA","TANIMSIZ"))))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IF($A288="","",IF($C288&lt;=dbe_yuvarlamaEsik,1,0))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IF(OR($A288="",$B288&lt;&gt;"tutar_farki"),"",IF(ABS($C288-$D288)&lt;=toleransKurus,"KDV_ORAN",IF(ABS($C288-$E288*dbe_kdvOran)&lt;=toleransKurus,"MATRAH",IF($F288=1,"YUVARLAMA","TANIMSIZ"))))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IF($A289="","",IF($C289&lt;=dbe_yuvarlamaEsik,1,0))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IF(OR($A289="",$B289&lt;&gt;"tutar_farki"),"",IF(ABS($C289-$D289)&lt;=toleransKurus,"KDV_ORAN",IF(ABS($C289-$E289*dbe_kdvOran)&lt;=toleransKurus,"MATRAH",IF($F289=1,"YUVARLAMA","TANIMSIZ"))))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IF($A290="","",IF($C290&lt;=dbe_yuvarlamaEsik,1,0))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IF(OR($A290="",$B290&lt;&gt;"tutar_farki"),"",IF(ABS($C290-$D290)&lt;=toleransKurus,"KDV_ORAN",IF(ABS($C290-$E290*dbe_kdvOran)&lt;=toleransKurus,"MATRAH",IF($F290=1,"YUVARLAMA","TANIMSIZ"))))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IF($A291="","",IF($C291&lt;=dbe_yuvarlamaEsik,1,0))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IF(OR($A291="",$B291&lt;&gt;"tutar_farki"),"",IF(ABS($C291-$D291)&lt;=toleransKurus,"KDV_ORAN",IF(ABS($C291-$E291*dbe_kdvOran)&lt;=toleransKurus,"MATRAH",IF($F291=1,"YUVARLAMA","TANIMSIZ"))))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IF($A292="","",IF($C292&lt;=dbe_yuvarlamaEsik,1,0))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IF(OR($A292="",$B292&lt;&gt;"tutar_farki"),"",IF(ABS($C292-$D292)&lt;=toleransKurus,"KDV_ORAN",IF(ABS($C292-$E292*dbe_kdvOran)&lt;=toleransKurus,"MATRAH",IF($F292=1,"YUVARLAMA","TANIMSIZ"))))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IF($A293="","",IF($C293&lt;=dbe_yuvarlamaEsik,1,0))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IF(OR($A293="",$B293&lt;&gt;"tutar_farki"),"",IF(ABS($C293-$D293)&lt;=toleransKurus,"KDV_ORAN",IF(ABS($C293-$E293*dbe_kdvOran)&lt;=toleransKurus,"MATRAH",IF($F293=1,"YUVARLAMA","TANIMSIZ"))))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IF($A294="","",IF($C294&lt;=dbe_yuvarlamaEsik,1,0))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IF(OR($A294="",$B294&lt;&gt;"tutar_farki"),"",IF(ABS($C294-$D294)&lt;=toleransKurus,"KDV_ORAN",IF(ABS($C294-$E294*dbe_kdvOran)&lt;=toleransKurus,"MATRAH",IF($F294=1,"YUVARLAMA","TANIMSIZ"))))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IF($A295="","",IF($C295&lt;=dbe_yuvarlamaEsik,1,0))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IF(OR($A295="",$B295&lt;&gt;"tutar_farki"),"",IF(ABS($C295-$D295)&lt;=toleransKurus,"KDV_ORAN",IF(ABS($C295-$E295*dbe_kdvOran)&lt;=toleransKurus,"MATRAH",IF($F295=1,"YUVARLAMA","TANIMSIZ"))))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IF($A296="","",IF($C296&lt;=dbe_yuvarlamaEsik,1,0))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IF(OR($A296="",$B296&lt;&gt;"tutar_farki"),"",IF(ABS($C296-$D296)&lt;=toleransKurus,"KDV_ORAN",IF(ABS($C296-$E296*dbe_kdvOran)&lt;=toleransKurus,"MATRAH",IF($F296=1,"YUVARLAMA","TANIMSIZ"))))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IF($A297="","",IF($C297&lt;=dbe_yuvarlamaEsik,1,0))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IF(OR($A297="",$B297&lt;&gt;"tutar_farki"),"",IF(ABS($C297-$D297)&lt;=toleransKurus,"KDV_ORAN",IF(ABS($C297-$E297*dbe_kdvOran)&lt;=toleransKurus,"MATRAH",IF($F297=1,"YUVARLAMA","TANIMSIZ"))))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IF($A298="","",IF($C298&lt;=dbe_yuvarlamaEsik,1,0))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IF(OR($A298="",$B298&lt;&gt;"tutar_farki"),"",IF(ABS($C298-$D298)&lt;=toleransKurus,"KDV_ORAN",IF(ABS($C298-$E298*dbe_kdvOran)&lt;=toleransKurus,"MATRAH",IF($F298=1,"YUVARLAMA","TANIMSIZ"))))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IF($A299="","",IF($C299&lt;=dbe_yuvarlamaEsik,1,0))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IF(OR($A299="",$B299&lt;&gt;"tutar_farki"),"",IF(ABS($C299-$D299)&lt;=toleransKurus,"KDV_ORAN",IF(ABS($C299-$E299*dbe_kdvOran)&lt;=toleransKurus,"MATRAH",IF($F299=1,"YUVARLAMA","TANIMSIZ"))))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IF($A300="","",IF($C300&lt;=dbe_yuvarlamaEsik,1,0))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IF(OR($A300="",$B300&lt;&gt;"tutar_farki"),"",IF(ABS($C300-$D300)&lt;=toleransKurus,"KDV_ORAN",IF(ABS($C300-$E300*dbe_kdvOran)&lt;=toleransKurus,"MATRAH",IF($F300=1,"YUVARLAMA","TANIMSIZ"))))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IF($A301="","",IF($C301&lt;=dbe_yuvarlamaEsik,1,0))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IF(OR($A301="",$B301&lt;&gt;"tutar_farki"),"",IF(ABS($C301-$D301)&lt;=toleransKurus,"KDV_ORAN",IF(ABS($C301-$E301*dbe_kdvOran)&lt;=toleransKurus,"MATRAH",IF($F301=1,"YUVARLAMA","TANIMSIZ"))))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IF($A302="","",IF($C302&lt;=dbe_yuvarlamaEsik,1,0))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IF(OR($A302="",$B302&lt;&gt;"tutar_farki"),"",IF(ABS($C302-$D302)&lt;=toleransKurus,"KDV_ORAN",IF(ABS($C302-$E302*dbe_kdvOran)&lt;=toleransKurus,"MATRAH",IF($F302=1,"YUVARLAMA","TANIMSIZ"))))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IF($A303="","",IF($C303&lt;=dbe_yuvarlamaEsik,1,0))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IF(OR($A303="",$B303&lt;&gt;"tutar_farki"),"",IF(ABS($C303-$D303)&lt;=toleransKurus,"KDV_ORAN",IF(ABS($C303-$E303*dbe_kdvOran)&lt;=toleransKurus,"MATRAH",IF($F303=1,"YUVARLAMA","TANIMSIZ"))))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IF($A304="","",IF($C304&lt;=dbe_yuvarlamaEsik,1,0))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IF(OR($A304="",$B304&lt;&gt;"tutar_farki"),"",IF(ABS($C304-$D304)&lt;=toleransKurus,"KDV_ORAN",IF(ABS($C304-$E304*dbe_kdvOran)&lt;=toleransKurus,"MATRAH",IF($F304=1,"YUVARLAMA","TANIMSIZ"))))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IF($A305="","",IF($C305&lt;=dbe_yuvarlamaEsik,1,0))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IF(OR($A305="",$B305&lt;&gt;"tutar_farki"),"",IF(ABS($C305-$D305)&lt;=toleransKurus,"KDV_ORAN",IF(ABS($C305-$E305*dbe_kdvOran)&lt;=toleransKurus,"MATRAH",IF($F305=1,"YUVARLAMA","TANIMSIZ"))))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IF($A306="","",IF($C306&lt;=dbe_yuvarlamaEsik,1,0))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IF(OR($A306="",$B306&lt;&gt;"tutar_farki"),"",IF(ABS($C306-$D306)&lt;=toleransKurus,"KDV_ORAN",IF(ABS($C306-$E306*dbe_kdvOran)&lt;=toleransKurus,"MATRAH",IF($F306=1,"YUVARLAMA","TANIMSIZ"))))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IF($A307="","",IF($C307&lt;=dbe_yuvarlamaEsik,1,0))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IF(OR($A307="",$B307&lt;&gt;"tutar_farki"),"",IF(ABS($C307-$D307)&lt;=toleransKurus,"KDV_ORAN",IF(ABS($C307-$E307*dbe_kdvOran)&lt;=toleransKurus,"MATRAH",IF($F307=1,"YUVARLAMA","TANIMSIZ"))))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IF($A308="","",IF($C308&lt;=dbe_yuvarlamaEsik,1,0))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IF(OR($A308="",$B308&lt;&gt;"tutar_farki"),"",IF(ABS($C308-$D308)&lt;=toleransKurus,"KDV_ORAN",IF(ABS($C308-$E308*dbe_kdvOran)&lt;=toleransKurus,"MATRAH",IF($F308=1,"YUVARLAMA","TANIMSIZ"))))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IF($A309="","",IF($C309&lt;=dbe_yuvarlamaEsik,1,0))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IF(OR($A309="",$B309&lt;&gt;"tutar_farki"),"",IF(ABS($C309-$D309)&lt;=toleransKurus,"KDV_ORAN",IF(ABS($C309-$E309*dbe_kdvOran)&lt;=toleransKurus,"MATRAH",IF($F309=1,"YUVARLAMA","TANIMSIZ"))))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IF($A310="","",IF($C310&lt;=dbe_yuvarlamaEsik,1,0))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IF(OR($A310="",$B310&lt;&gt;"tutar_farki"),"",IF(ABS($C310-$D310)&lt;=toleransKurus,"KDV_ORAN",IF(ABS($C310-$E310*dbe_kdvOran)&lt;=toleransKurus,"MATRAH",IF($F310=1,"YUVARLAMA","TANIMSIZ"))))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IF($A311="","",IF($C311&lt;=dbe_yuvarlamaEsik,1,0))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IF(OR($A311="",$B311&lt;&gt;"tutar_farki"),"",IF(ABS($C311-$D311)&lt;=toleransKurus,"KDV_ORAN",IF(ABS($C311-$E311*dbe_kdvOran)&lt;=toleransKurus,"MATRAH",IF($F311=1,"YUVARLAMA","TANIMSIZ"))))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IF($A312="","",IF($C312&lt;=dbe_yuvarlamaEsik,1,0))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IF(OR($A312="",$B312&lt;&gt;"tutar_farki"),"",IF(ABS($C312-$D312)&lt;=toleransKurus,"KDV_ORAN",IF(ABS($C312-$E312*dbe_kdvOran)&lt;=toleransKurus,"MATRAH",IF($F312=1,"YUVARLAMA","TANIMSIZ"))))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IF($A313="","",IF($C313&lt;=dbe_yuvarlamaEsik,1,0))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IF(OR($A313="",$B313&lt;&gt;"tutar_farki"),"",IF(ABS($C313-$D313)&lt;=toleransKurus,"KDV_ORAN",IF(ABS($C313-$E313*dbe_kdvOran)&lt;=toleransKurus,"MATRAH",IF($F313=1,"YUVARLAMA","TANIMSIZ"))))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IF($A314="","",IF($C314&lt;=dbe_yuvarlamaEsik,1,0))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IF(OR($A314="",$B314&lt;&gt;"tutar_farki"),"",IF(ABS($C314-$D314)&lt;=toleransKurus,"KDV_ORAN",IF(ABS($C314-$E314*dbe_kdvOran)&lt;=toleransKurus,"MATRAH",IF($F314=1,"YUVARLAMA","TANIMSIZ"))))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IF($A315="","",IF($C315&lt;=dbe_yuvarlamaEsik,1,0))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IF(OR($A315="",$B315&lt;&gt;"tutar_farki"),"",IF(ABS($C315-$D315)&lt;=toleransKurus,"KDV_ORAN",IF(ABS($C315-$E315*dbe_kdvOran)&lt;=toleransKurus,"MATRAH",IF($F315=1,"YUVARLAMA","TANIMSIZ"))))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IF($A316="","",IF($C316&lt;=dbe_yuvarlamaEsik,1,0))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IF(OR($A316="",$B316&lt;&gt;"tutar_farki"),"",IF(ABS($C316-$D316)&lt;=toleransKurus,"KDV_ORAN",IF(ABS($C316-$E316*dbe_kdvOran)&lt;=toleransKurus,"MATRAH",IF($F316=1,"YUVARLAMA","TANIMSIZ"))))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IF($A317="","",IF($C317&lt;=dbe_yuvarlamaEsik,1,0))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IF(OR($A317="",$B317&lt;&gt;"tutar_farki"),"",IF(ABS($C317-$D317)&lt;=toleransKurus,"KDV_ORAN",IF(ABS($C317-$E317*dbe_kdvOran)&lt;=toleransKurus,"MATRAH",IF($F317=1,"YUVARLAMA","TANIMSIZ"))))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IF($A318="","",IF($C318&lt;=dbe_yuvarlamaEsik,1,0))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IF(OR($A318="",$B318&lt;&gt;"tutar_farki"),"",IF(ABS($C318-$D318)&lt;=toleransKurus,"KDV_ORAN",IF(ABS($C318-$E318*dbe_kdvOran)&lt;=toleransKurus,"MATRAH",IF($F318=1,"YUVARLAMA","TANIMSIZ"))))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IF($A319="","",IF($C319&lt;=dbe_yuvarlamaEsik,1,0))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IF(OR($A319="",$B319&lt;&gt;"tutar_farki"),"",IF(ABS($C319-$D319)&lt;=toleransKurus,"KDV_ORAN",IF(ABS($C319-$E319*dbe_kdvOran)&lt;=toleransKurus,"MATRAH",IF($F319=1,"YUVARLAMA","TANIMSIZ"))))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IF($A320="","",IF($C320&lt;=dbe_yuvarlamaEsik,1,0))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IF(OR($A320="",$B320&lt;&gt;"tutar_farki"),"",IF(ABS($C320-$D320)&lt;=toleransKurus,"KDV_ORAN",IF(ABS($C320-$E320*dbe_kdvOran)&lt;=toleransKurus,"MATRAH",IF($F320=1,"YUVARLAMA","TANIMSIZ"))))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IF($A321="","",IF($C321&lt;=dbe_yuvarlamaEsik,1,0))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IF(OR($A321="",$B321&lt;&gt;"tutar_farki"),"",IF(ABS($C321-$D321)&lt;=toleransKurus,"KDV_ORAN",IF(ABS($C321-$E321*dbe_kdvOran)&lt;=toleransKurus,"MATRAH",IF($F321=1,"YUVARLAMA","TANIMSIZ"))))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IF($A322="","",IF($C322&lt;=dbe_yuvarlamaEsik,1,0))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IF(OR($A322="",$B322&lt;&gt;"tutar_farki"),"",IF(ABS($C322-$D322)&lt;=toleransKurus,"KDV_ORAN",IF(ABS($C322-$E322*dbe_kdvOran)&lt;=toleransKurus,"MATRAH",IF($F322=1,"YUVARLAMA","TANIMSIZ"))))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IF($A323="","",IF($C323&lt;=dbe_yuvarlamaEsik,1,0))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IF(OR($A323="",$B323&lt;&gt;"tutar_farki"),"",IF(ABS($C323-$D323)&lt;=toleransKurus,"KDV_ORAN",IF(ABS($C323-$E323*dbe_kdvOran)&lt;=toleransKurus,"MATRAH",IF($F323=1,"YUVARLAMA","TANIMSIZ"))))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IF($A324="","",IF($C324&lt;=dbe_yuvarlamaEsik,1,0))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IF(OR($A324="",$B324&lt;&gt;"tutar_farki"),"",IF(ABS($C324-$D324)&lt;=toleransKurus,"KDV_ORAN",IF(ABS($C324-$E324*dbe_kdvOran)&lt;=toleransKurus,"MATRAH",IF($F324=1,"YUVARLAMA","TANIMSIZ"))))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IF($A325="","",IF($C325&lt;=dbe_yuvarlamaEsik,1,0))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IF(OR($A325="",$B325&lt;&gt;"tutar_farki"),"",IF(ABS($C325-$D325)&lt;=toleransKurus,"KDV_ORAN",IF(ABS($C325-$E325*dbe_kdvOran)&lt;=toleransKurus,"MATRAH",IF($F325=1,"YUVARLAMA","TANIMSIZ"))))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IF($A326="","",IF($C326&lt;=dbe_yuvarlamaEsik,1,0))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IF(OR($A326="",$B326&lt;&gt;"tutar_farki"),"",IF(ABS($C326-$D326)&lt;=toleransKurus,"KDV_ORAN",IF(ABS($C326-$E326*dbe_kdvOran)&lt;=toleransKurus,"MATRAH",IF($F326=1,"YUVARLAMA","TANIMSIZ"))))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IF($A327="","",IF($C327&lt;=dbe_yuvarlamaEsik,1,0))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IF(OR($A327="",$B327&lt;&gt;"tutar_farki"),"",IF(ABS($C327-$D327)&lt;=toleransKurus,"KDV_ORAN",IF(ABS($C327-$E327*dbe_kdvOran)&lt;=toleransKurus,"MATRAH",IF($F327=1,"YUVARLAMA","TANIMSIZ"))))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IF($A328="","",IF($C328&lt;=dbe_yuvarlamaEsik,1,0))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IF(OR($A328="",$B328&lt;&gt;"tutar_farki"),"",IF(ABS($C328-$D328)&lt;=toleransKurus,"KDV_ORAN",IF(ABS($C328-$E328*dbe_kdvOran)&lt;=toleransKurus,"MATRAH",IF($F328=1,"YUVARLAMA","TANIMSIZ"))))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IF($A329="","",IF($C329&lt;=dbe_yuvarlamaEsik,1,0))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IF(OR($A329="",$B329&lt;&gt;"tutar_farki"),"",IF(ABS($C329-$D329)&lt;=toleransKurus,"KDV_ORAN",IF(ABS($C329-$E329*dbe_kdvOran)&lt;=toleransKurus,"MATRAH",IF($F329=1,"YUVARLAMA","TANIMSIZ"))))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IF($A330="","",IF($C330&lt;=dbe_yuvarlamaEsik,1,0))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IF(OR($A330="",$B330&lt;&gt;"tutar_farki"),"",IF(ABS($C330-$D330)&lt;=toleransKurus,"KDV_ORAN",IF(ABS($C330-$E330*dbe_kdvOran)&lt;=toleransKurus,"MATRAH",IF($F330=1,"YUVARLAMA","TANIMSIZ"))))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IF($A331="","",IF($C331&lt;=dbe_yuvarlamaEsik,1,0))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IF(OR($A331="",$B331&lt;&gt;"tutar_farki"),"",IF(ABS($C331-$D331)&lt;=toleransKurus,"KDV_ORAN",IF(ABS($C331-$E331*dbe_kdvOran)&lt;=toleransKurus,"MATRAH",IF($F331=1,"YUVARLAMA","TANIMSIZ"))))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IF($A332="","",IF($C332&lt;=dbe_yuvarlamaEsik,1,0))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IF(OR($A332="",$B332&lt;&gt;"tutar_farki"),"",IF(ABS($C332-$D332)&lt;=toleransKurus,"KDV_ORAN",IF(ABS($C332-$E332*dbe_kdvOran)&lt;=toleransKurus,"MATRAH",IF($F332=1,"YUVARLAMA","TANIMSIZ"))))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IF($A333="","",IF($C333&lt;=dbe_yuvarlamaEsik,1,0))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IF(OR($A333="",$B333&lt;&gt;"tutar_farki"),"",IF(ABS($C333-$D333)&lt;=toleransKurus,"KDV_ORAN",IF(ABS($C333-$E333*dbe_kdvOran)&lt;=toleransKurus,"MATRAH",IF($F333=1,"YUVARLAMA","TANIMSIZ"))))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IF($A334="","",IF($C334&lt;=dbe_yuvarlamaEsik,1,0))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IF(OR($A334="",$B334&lt;&gt;"tutar_farki"),"",IF(ABS($C334-$D334)&lt;=toleransKurus,"KDV_ORAN",IF(ABS($C334-$E334*dbe_kdvOran)&lt;=toleransKurus,"MATRAH",IF($F334=1,"YUVARLAMA","TANIMSIZ"))))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IF($A335="","",IF($C335&lt;=dbe_yuvarlamaEsik,1,0))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IF(OR($A335="",$B335&lt;&gt;"tutar_farki"),"",IF(ABS($C335-$D335)&lt;=toleransKurus,"KDV_ORAN",IF(ABS($C335-$E335*dbe_kdvOran)&lt;=toleransKurus,"MATRAH",IF($F335=1,"YUVARLAMA","TANIMSIZ"))))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IF($A336="","",IF($C336&lt;=dbe_yuvarlamaEsik,1,0))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IF(OR($A336="",$B336&lt;&gt;"tutar_farki"),"",IF(ABS($C336-$D336)&lt;=toleransKurus,"KDV_ORAN",IF(ABS($C336-$E336*dbe_kdvOran)&lt;=toleransKurus,"MATRAH",IF($F336=1,"YUVARLAMA","TANIMSIZ"))))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IF($A337="","",IF($C337&lt;=dbe_yuvarlamaEsik,1,0))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IF(OR($A337="",$B337&lt;&gt;"tutar_farki"),"",IF(ABS($C337-$D337)&lt;=toleransKurus,"KDV_ORAN",IF(ABS($C337-$E337*dbe_kdvOran)&lt;=toleransKurus,"MATRAH",IF($F337=1,"YUVARLAMA","TANIMSIZ"))))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IF($A338="","",IF($C338&lt;=dbe_yuvarlamaEsik,1,0))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IF(OR($A338="",$B338&lt;&gt;"tutar_farki"),"",IF(ABS($C338-$D338)&lt;=toleransKurus,"KDV_ORAN",IF(ABS($C338-$E338*dbe_kdvOran)&lt;=toleransKurus,"MATRAH",IF($F338=1,"YUVARLAMA","TANIMSIZ"))))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IF($A339="","",IF($C339&lt;=dbe_yuvarlamaEsik,1,0))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IF(OR($A339="",$B339&lt;&gt;"tutar_farki"),"",IF(ABS($C339-$D339)&lt;=toleransKurus,"KDV_ORAN",IF(ABS($C339-$E339*dbe_kdvOran)&lt;=toleransKurus,"MATRAH",IF($F339=1,"YUVARLAMA","TANIMSIZ"))))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IF($A340="","",IF($C340&lt;=dbe_yuvarlamaEsik,1,0))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IF(OR($A340="",$B340&lt;&gt;"tutar_farki"),"",IF(ABS($C340-$D340)&lt;=toleransKurus,"KDV_ORAN",IF(ABS($C340-$E340*dbe_kdvOran)&lt;=toleransKurus,"MATRAH",IF($F340=1,"YUVARLAMA","TANIMSIZ"))))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IF($A341="","",IF($C341&lt;=dbe_yuvarlamaEsik,1,0))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IF(OR($A341="",$B341&lt;&gt;"tutar_farki"),"",IF(ABS($C341-$D341)&lt;=toleransKurus,"KDV_ORAN",IF(ABS($C341-$E341*dbe_kdvOran)&lt;=toleransKurus,"MATRAH",IF($F341=1,"YUVARLAMA","TANIMSIZ"))))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IF($A342="","",IF($C342&lt;=dbe_yuvarlamaEsik,1,0))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IF(OR($A342="",$B342&lt;&gt;"tutar_farki"),"",IF(ABS($C342-$D342)&lt;=toleransKurus,"KDV_ORAN",IF(ABS($C342-$E342*dbe_kdvOran)&lt;=toleransKurus,"MATRAH",IF($F342=1,"YUVARLAMA","TANIMSIZ"))))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IF($A343="","",IF($C343&lt;=dbe_yuvarlamaEsik,1,0))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IF(OR($A343="",$B343&lt;&gt;"tutar_farki"),"",IF(ABS($C343-$D343)&lt;=toleransKurus,"KDV_ORAN",IF(ABS($C343-$E343*dbe_kdvOran)&lt;=toleransKurus,"MATRAH",IF($F343=1,"YUVARLAMA","TANIMSIZ"))))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IF($A344="","",IF($C344&lt;=dbe_yuvarlamaEsik,1,0))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IF(OR($A344="",$B344&lt;&gt;"tutar_farki"),"",IF(ABS($C344-$D344)&lt;=toleransKurus,"KDV_ORAN",IF(ABS($C344-$E344*dbe_kdvOran)&lt;=toleransKurus,"MATRAH",IF($F344=1,"YUVARLAMA","TANIMSIZ"))))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IF($A345="","",IF($C345&lt;=dbe_yuvarlamaEsik,1,0))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IF(OR($A345="",$B345&lt;&gt;"tutar_farki"),"",IF(ABS($C345-$D345)&lt;=toleransKurus,"KDV_ORAN",IF(ABS($C345-$E345*dbe_kdvOran)&lt;=toleransKurus,"MATRAH",IF($F345=1,"YUVARLAMA","TANIMSIZ"))))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IF($A346="","",IF($C346&lt;=dbe_yuvarlamaEsik,1,0))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IF(OR($A346="",$B346&lt;&gt;"tutar_farki"),"",IF(ABS($C346-$D346)&lt;=toleransKurus,"KDV_ORAN",IF(ABS($C346-$E346*dbe_kdvOran)&lt;=toleransKurus,"MATRAH",IF($F346=1,"YUVARLAMA","TANIMSIZ"))))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IF($A347="","",IF($C347&lt;=dbe_yuvarlamaEsik,1,0))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IF(OR($A347="",$B347&lt;&gt;"tutar_farki"),"",IF(ABS($C347-$D347)&lt;=toleransKurus,"KDV_ORAN",IF(ABS($C347-$E347*dbe_kdvOran)&lt;=toleransKurus,"MATRAH",IF($F347=1,"YUVARLAMA","TANIMSIZ"))))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IF($A348="","",IF($C348&lt;=dbe_yuvarlamaEsik,1,0))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IF(OR($A348="",$B348&lt;&gt;"tutar_farki"),"",IF(ABS($C348-$D348)&lt;=toleransKurus,"KDV_ORAN",IF(ABS($C348-$E348*dbe_kdvOran)&lt;=toleransKurus,"MATRAH",IF($F348=1,"YUVARLAMA","TANIMSIZ"))))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IF($A349="","",IF($C349&lt;=dbe_yuvarlamaEsik,1,0))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IF(OR($A349="",$B349&lt;&gt;"tutar_farki"),"",IF(ABS($C349-$D349)&lt;=toleransKurus,"KDV_ORAN",IF(ABS($C349-$E349*dbe_kdvOran)&lt;=toleransKurus,"MATRAH",IF($F349=1,"YUVARLAMA","TANIMSIZ"))))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IF($A350="","",IF($C350&lt;=dbe_yuvarlamaEsik,1,0))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IF(OR($A350="",$B350&lt;&gt;"tutar_farki"),"",IF(ABS($C350-$D350)&lt;=toleransKurus,"KDV_ORAN",IF(ABS($C350-$E350*dbe_kdvOran)&lt;=toleransKurus,"MATRAH",IF($F350=1,"YUVARLAMA","TANIMSIZ"))))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IF($A351="","",IF($C351&lt;=dbe_yuvarlamaEsik,1,0))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IF(OR($A351="",$B351&lt;&gt;"tutar_farki"),"",IF(ABS($C351-$D351)&lt;=toleransKurus,"KDV_ORAN",IF(ABS($C351-$E351*dbe_kdvOran)&lt;=toleransKurus,"MATRAH",IF($F351=1,"YUVARLAMA","TANIMSIZ"))))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IF($A352="","",IF($C352&lt;=dbe_yuvarlamaEsik,1,0))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IF(OR($A352="",$B352&lt;&gt;"tutar_farki"),"",IF(ABS($C352-$D352)&lt;=toleransKurus,"KDV_ORAN",IF(ABS($C352-$E352*dbe_kdvOran)&lt;=toleransKurus,"MATRAH",IF($F352=1,"YUVARLAMA","TANIMSIZ"))))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IF($A353="","",IF($C353&lt;=dbe_yuvarlamaEsik,1,0))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IF(OR($A353="",$B353&lt;&gt;"tutar_farki"),"",IF(ABS($C353-$D353)&lt;=toleransKurus,"KDV_ORAN",IF(ABS($C353-$E353*dbe_kdvOran)&lt;=toleransKurus,"MATRAH",IF($F353=1,"YUVARLAMA","TANIMSIZ"))))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IF($A354="","",IF($C354&lt;=dbe_yuvarlamaEsik,1,0))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IF(OR($A354="",$B354&lt;&gt;"tutar_farki"),"",IF(ABS($C354-$D354)&lt;=toleransKurus,"KDV_ORAN",IF(ABS($C354-$E354*dbe_kdvOran)&lt;=toleransKurus,"MATRAH",IF($F354=1,"YUVARLAMA","TANIMSIZ"))))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IF($A355="","",IF($C355&lt;=dbe_yuvarlamaEsik,1,0))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IF(OR($A355="",$B355&lt;&gt;"tutar_farki"),"",IF(ABS($C355-$D355)&lt;=toleransKurus,"KDV_ORAN",IF(ABS($C355-$E355*dbe_kdvOran)&lt;=toleransKurus,"MATRAH",IF($F355=1,"YUVARLAMA","TANIMSIZ"))))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IF($A356="","",IF($C356&lt;=dbe_yuvarlamaEsik,1,0))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IF(OR($A356="",$B356&lt;&gt;"tutar_farki"),"",IF(ABS($C356-$D356)&lt;=toleransKurus,"KDV_ORAN",IF(ABS($C356-$E356*dbe_kdvOran)&lt;=toleransKurus,"MATRAH",IF($F356=1,"YUVARLAMA","TANIMSIZ"))))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IF($A357="","",IF($C357&lt;=dbe_yuvarlamaEsik,1,0))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IF(OR($A357="",$B357&lt;&gt;"tutar_farki"),"",IF(ABS($C357-$D357)&lt;=toleransKurus,"KDV_ORAN",IF(ABS($C357-$E357*dbe_kdvOran)&lt;=toleransKurus,"MATRAH",IF($F357=1,"YUVARLAMA","TANIMSIZ"))))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IF($A358="","",IF($C358&lt;=dbe_yuvarlamaEsik,1,0))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IF(OR($A358="",$B358&lt;&gt;"tutar_farki"),"",IF(ABS($C358-$D358)&lt;=toleransKurus,"KDV_ORAN",IF(ABS($C358-$E358*dbe_kdvOran)&lt;=toleransKurus,"MATRAH",IF($F358=1,"YUVARLAMA","TANIMSIZ"))))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IF($A359="","",IF($C359&lt;=dbe_yuvarlamaEsik,1,0))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IF(OR($A359="",$B359&lt;&gt;"tutar_farki"),"",IF(ABS($C359-$D359)&lt;=toleransKurus,"KDV_ORAN",IF(ABS($C359-$E359*dbe_kdvOran)&lt;=toleransKurus,"MATRAH",IF($F359=1,"YUVARLAMA","TANIMSIZ"))))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IF($A360="","",IF($C360&lt;=dbe_yuvarlamaEsik,1,0))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IF(OR($A360="",$B360&lt;&gt;"tutar_farki"),"",IF(ABS($C360-$D360)&lt;=toleransKurus,"KDV_ORAN",IF(ABS($C360-$E360*dbe_kdvOran)&lt;=toleransKurus,"MATRAH",IF($F360=1,"YUVARLAMA","TANIMSIZ"))))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IF($A361="","",IF($C361&lt;=dbe_yuvarlamaEsik,1,0))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IF(OR($A361="",$B361&lt;&gt;"tutar_farki"),"",IF(ABS($C361-$D361)&lt;=toleransKurus,"KDV_ORAN",IF(ABS($C361-$E361*dbe_kdvOran)&lt;=toleransKurus,"MATRAH",IF($F361=1,"YUVARLAMA","TANIMSIZ"))))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IF($A362="","",IF($C362&lt;=dbe_yuvarlamaEsik,1,0))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IF(OR($A362="",$B362&lt;&gt;"tutar_farki"),"",IF(ABS($C362-$D362)&lt;=toleransKurus,"KDV_ORAN",IF(ABS($C362-$E362*dbe_kdvOran)&lt;=toleransKurus,"MATRAH",IF($F362=1,"YUVARLAMA","TANIMSIZ"))))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IF($A363="","",IF($C363&lt;=dbe_yuvarlamaEsik,1,0))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IF(OR($A363="",$B363&lt;&gt;"tutar_farki"),"",IF(ABS($C363-$D363)&lt;=toleransKurus,"KDV_ORAN",IF(ABS($C363-$E363*dbe_kdvOran)&lt;=toleransKurus,"MATRAH",IF($F363=1,"YUVARLAMA","TANIMSIZ"))))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IF($A364="","",IF($C364&lt;=dbe_yuvarlamaEsik,1,0))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IF(OR($A364="",$B364&lt;&gt;"tutar_farki"),"",IF(ABS($C364-$D364)&lt;=toleransKurus,"KDV_ORAN",IF(ABS($C364-$E364*dbe_kdvOran)&lt;=toleransKurus,"MATRAH",IF($F364=1,"YUVARLAMA","TANIMSIZ"))))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IF($A365="","",IF($C365&lt;=dbe_yuvarlamaEsik,1,0))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IF(OR($A365="",$B365&lt;&gt;"tutar_farki"),"",IF(ABS($C365-$D365)&lt;=toleransKurus,"KDV_ORAN",IF(ABS($C365-$E365*dbe_kdvOran)&lt;=toleransKurus,"MATRAH",IF($F365=1,"YUVARLAMA","TANIMSIZ"))))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IF($A366="","",IF($C366&lt;=dbe_yuvarlamaEsik,1,0))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IF(OR($A366="",$B366&lt;&gt;"tutar_farki"),"",IF(ABS($C366-$D366)&lt;=toleransKurus,"KDV_ORAN",IF(ABS($C366-$E366*dbe_kdvOran)&lt;=toleransKurus,"MATRAH",IF($F366=1,"YUVARLAMA","TANIMSIZ"))))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IF($A367="","",IF($C367&lt;=dbe_yuvarlamaEsik,1,0))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IF(OR($A367="",$B367&lt;&gt;"tutar_farki"),"",IF(ABS($C367-$D367)&lt;=toleransKurus,"KDV_ORAN",IF(ABS($C367-$E367*dbe_kdvOran)&lt;=toleransKurus,"MATRAH",IF($F367=1,"YUVARLAMA","TANIMSIZ"))))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IF($A368="","",IF($C368&lt;=dbe_yuvarlamaEsik,1,0))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IF(OR($A368="",$B368&lt;&gt;"tutar_farki"),"",IF(ABS($C368-$D368)&lt;=toleransKurus,"KDV_ORAN",IF(ABS($C368-$E368*dbe_kdvOran)&lt;=toleransKurus,"MATRAH",IF($F368=1,"YUVARLAMA","TANIMSIZ"))))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IF($A369="","",IF($C369&lt;=dbe_yuvarlamaEsik,1,0))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IF(OR($A369="",$B369&lt;&gt;"tutar_farki"),"",IF(ABS($C369-$D369)&lt;=toleransKurus,"KDV_ORAN",IF(ABS($C369-$E369*dbe_kdvOran)&lt;=toleransKurus,"MATRAH",IF($F369=1,"YUVARLAMA","TANIMSIZ"))))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IF($A370="","",IF($C370&lt;=dbe_yuvarlamaEsik,1,0))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IF(OR($A370="",$B370&lt;&gt;"tutar_farki"),"",IF(ABS($C370-$D370)&lt;=toleransKurus,"KDV_ORAN",IF(ABS($C370-$E370*dbe_kdvOran)&lt;=toleransKurus,"MATRAH",IF($F370=1,"YUVARLAMA","TANIMSIZ"))))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IF($A371="","",IF($C371&lt;=dbe_yuvarlamaEsik,1,0))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IF(OR($A371="",$B371&lt;&gt;"tutar_farki"),"",IF(ABS($C371-$D371)&lt;=toleransKurus,"KDV_ORAN",IF(ABS($C371-$E371*dbe_kdvOran)&lt;=toleransKurus,"MATRAH",IF($F371=1,"YUVARLAMA","TANIMSIZ"))))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IF($A372="","",IF($C372&lt;=dbe_yuvarlamaEsik,1,0))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IF(OR($A372="",$B372&lt;&gt;"tutar_farki"),"",IF(ABS($C372-$D372)&lt;=toleransKurus,"KDV_ORAN",IF(ABS($C372-$E372*dbe_kdvOran)&lt;=toleransKurus,"MATRAH",IF($F372=1,"YUVARLAMA","TANIMSIZ"))))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IF($A373="","",IF($C373&lt;=dbe_yuvarlamaEsik,1,0))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IF(OR($A373="",$B373&lt;&gt;"tutar_farki"),"",IF(ABS($C373-$D373)&lt;=toleransKurus,"KDV_ORAN",IF(ABS($C373-$E373*dbe_kdvOran)&lt;=toleransKurus,"MATRAH",IF($F373=1,"YUVARLAMA","TANIMSIZ"))))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IF($A374="","",IF($C374&lt;=dbe_yuvarlamaEsik,1,0))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IF(OR($A374="",$B374&lt;&gt;"tutar_farki"),"",IF(ABS($C374-$D374)&lt;=toleransKurus,"KDV_ORAN",IF(ABS($C374-$E374*dbe_kdvOran)&lt;=toleransKurus,"MATRAH",IF($F374=1,"YUVARLAMA","TANIMSIZ"))))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IF($A375="","",IF($C375&lt;=dbe_yuvarlamaEsik,1,0))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IF(OR($A375="",$B375&lt;&gt;"tutar_farki"),"",IF(ABS($C375-$D375)&lt;=toleransKurus,"KDV_ORAN",IF(ABS($C375-$E375*dbe_kdvOran)&lt;=toleransKurus,"MATRAH",IF($F375=1,"YUVARLAMA","TANIMSIZ"))))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IF($A376="","",IF($C376&lt;=dbe_yuvarlamaEsik,1,0))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IF(OR($A376="",$B376&lt;&gt;"tutar_farki"),"",IF(ABS($C376-$D376)&lt;=toleransKurus,"KDV_ORAN",IF(ABS($C376-$E376*dbe_kdvOran)&lt;=toleransKurus,"MATRAH",IF($F376=1,"YUVARLAMA","TANIMSIZ"))))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IF($A377="","",IF($C377&lt;=dbe_yuvarlamaEsik,1,0))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IF(OR($A377="",$B377&lt;&gt;"tutar_farki"),"",IF(ABS($C377-$D377)&lt;=toleransKurus,"KDV_ORAN",IF(ABS($C377-$E377*dbe_kdvOran)&lt;=toleransKurus,"MATRAH",IF($F377=1,"YUVARLAMA","TANIMSIZ"))))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IF($A378="","",IF($C378&lt;=dbe_yuvarlamaEsik,1,0))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IF(OR($A378="",$B378&lt;&gt;"tutar_farki"),"",IF(ABS($C378-$D378)&lt;=toleransKurus,"KDV_ORAN",IF(ABS($C378-$E378*dbe_kdvOran)&lt;=toleransKurus,"MATRAH",IF($F378=1,"YUVARLAMA","TANIMSIZ"))))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IF($A379="","",IF($C379&lt;=dbe_yuvarlamaEsik,1,0))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IF(OR($A379="",$B379&lt;&gt;"tutar_farki"),"",IF(ABS($C379-$D379)&lt;=toleransKurus,"KDV_ORAN",IF(ABS($C379-$E379*dbe_kdvOran)&lt;=toleransKurus,"MATRAH",IF($F379=1,"YUVARLAMA","TANIMSIZ"))))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IF($A380="","",IF($C380&lt;=dbe_yuvarlamaEsik,1,0))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IF(OR($A380="",$B380&lt;&gt;"tutar_farki"),"",IF(ABS($C380-$D380)&lt;=toleransKurus,"KDV_ORAN",IF(ABS($C380-$E380*dbe_kdvOran)&lt;=toleransKurus,"MATRAH",IF($F380=1,"YUVARLAMA","TANIMSIZ"))))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IF($A381="","",IF($C381&lt;=dbe_yuvarlamaEsik,1,0))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IF(OR($A381="",$B381&lt;&gt;"tutar_farki"),"",IF(ABS($C381-$D381)&lt;=toleransKurus,"KDV_ORAN",IF(ABS($C381-$E381*dbe_kdvOran)&lt;=toleransKurus,"MATRAH",IF($F381=1,"YUVARLAMA","TANIMSIZ"))))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IF($A382="","",IF($C382&lt;=dbe_yuvarlamaEsik,1,0))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IF(OR($A382="",$B382&lt;&gt;"tutar_farki"),"",IF(ABS($C382-$D382)&lt;=toleransKurus,"KDV_ORAN",IF(ABS($C382-$E382*dbe_kdvOran)&lt;=toleransKurus,"MATRAH",IF($F382=1,"YUVARLAMA","TANIMSIZ"))))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IF($A383="","",IF($C383&lt;=dbe_yuvarlamaEsik,1,0))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IF(OR($A383="",$B383&lt;&gt;"tutar_farki"),"",IF(ABS($C383-$D383)&lt;=toleransKurus,"KDV_ORAN",IF(ABS($C383-$E383*dbe_kdvOran)&lt;=toleransKurus,"MATRAH",IF($F383=1,"YUVARLAMA","TANIMSIZ"))))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IF($A384="","",IF($C384&lt;=dbe_yuvarlamaEsik,1,0))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IF(OR($A384="",$B384&lt;&gt;"tutar_farki"),"",IF(ABS($C384-$D384)&lt;=toleransKurus,"KDV_ORAN",IF(ABS($C384-$E384*dbe_kdvOran)&lt;=toleransKurus,"MATRAH",IF($F384=1,"YUVARLAMA","TANIMSIZ"))))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IF($A385="","",IF($C385&lt;=dbe_yuvarlamaEsik,1,0))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IF(OR($A385="",$B385&lt;&gt;"tutar_farki"),"",IF(ABS($C385-$D385)&lt;=toleransKurus,"KDV_ORAN",IF(ABS($C385-$E385*dbe_kdvOran)&lt;=toleransKurus,"MATRAH",IF($F385=1,"YUVARLAMA","TANIMSIZ"))))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IF($A386="","",IF($C386&lt;=dbe_yuvarlamaEsik,1,0))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IF(OR($A386="",$B386&lt;&gt;"tutar_farki"),"",IF(ABS($C386-$D386)&lt;=toleransKurus,"KDV_ORAN",IF(ABS($C386-$E386*dbe_kdvOran)&lt;=toleransKurus,"MATRAH",IF($F386=1,"YUVARLAMA","TANIMSIZ"))))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IF($A387="","",IF($C387&lt;=dbe_yuvarlamaEsik,1,0))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IF(OR($A387="",$B387&lt;&gt;"tutar_farki"),"",IF(ABS($C387-$D387)&lt;=toleransKurus,"KDV_ORAN",IF(ABS($C387-$E387*dbe_kdvOran)&lt;=toleransKurus,"MATRAH",IF($F387=1,"YUVARLAMA","TANIMSIZ"))))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IF($A388="","",IF($C388&lt;=dbe_yuvarlamaEsik,1,0))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IF(OR($A388="",$B388&lt;&gt;"tutar_farki"),"",IF(ABS($C388-$D388)&lt;=toleransKurus,"KDV_ORAN",IF(ABS($C388-$E388*dbe_kdvOran)&lt;=toleransKurus,"MATRAH",IF($F388=1,"YUVARLAMA","TANIMSIZ"))))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IF($A389="","",IF($C389&lt;=dbe_yuvarlamaEsik,1,0))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IF(OR($A389="",$B389&lt;&gt;"tutar_farki"),"",IF(ABS($C389-$D389)&lt;=toleransKurus,"KDV_ORAN",IF(ABS($C389-$E389*dbe_kdvOran)&lt;=toleransKurus,"MATRAH",IF($F389=1,"YUVARLAMA","TANIMSIZ"))))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IF($A390="","",IF($C390&lt;=dbe_yuvarlamaEsik,1,0))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IF(OR($A390="",$B390&lt;&gt;"tutar_farki"),"",IF(ABS($C390-$D390)&lt;=toleransKurus,"KDV_ORAN",IF(ABS($C390-$E390*dbe_kdvOran)&lt;=toleransKurus,"MATRAH",IF($F390=1,"YUVARLAMA","TANIMSIZ"))))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IF($A391="","",IF($C391&lt;=dbe_yuvarlamaEsik,1,0))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IF(OR($A391="",$B391&lt;&gt;"tutar_farki"),"",IF(ABS($C391-$D391)&lt;=toleransKurus,"KDV_ORAN",IF(ABS($C391-$E391*dbe_kdvOran)&lt;=toleransKurus,"MATRAH",IF($F391=1,"YUVARLAMA","TANIMSIZ"))))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IF($A392="","",IF($C392&lt;=dbe_yuvarlamaEsik,1,0))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IF(OR($A392="",$B392&lt;&gt;"tutar_farki"),"",IF(ABS($C392-$D392)&lt;=toleransKurus,"KDV_ORAN",IF(ABS($C392-$E392*dbe_kdvOran)&lt;=toleransKurus,"MATRAH",IF($F392=1,"YUVARLAMA","TANIMSIZ"))))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IF($A393="","",IF($C393&lt;=dbe_yuvarlamaEsik,1,0))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IF(OR($A393="",$B393&lt;&gt;"tutar_farki"),"",IF(ABS($C393-$D393)&lt;=toleransKurus,"KDV_ORAN",IF(ABS($C393-$E393*dbe_kdvOran)&lt;=toleransKurus,"MATRAH",IF($F393=1,"YUVARLAMA","TANIMSIZ"))))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IF($A394="","",IF($C394&lt;=dbe_yuvarlamaEsik,1,0))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IF(OR($A394="",$B394&lt;&gt;"tutar_farki"),"",IF(ABS($C394-$D394)&lt;=toleransKurus,"KDV_ORAN",IF(ABS($C394-$E394*dbe_kdvOran)&lt;=toleransKurus,"MATRAH",IF($F394=1,"YUVARLAMA","TANIMSIZ"))))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IF($A395="","",IF($C395&lt;=dbe_yuvarlamaEsik,1,0))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IF(OR($A395="",$B395&lt;&gt;"tutar_farki"),"",IF(ABS($C395-$D395)&lt;=toleransKurus,"KDV_ORAN",IF(ABS($C395-$E395*dbe_kdvOran)&lt;=toleransKurus,"MATRAH",IF($F395=1,"YUVARLAMA","TANIMSIZ"))))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IF($A396="","",IF($C396&lt;=dbe_yuvarlamaEsik,1,0))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IF(OR($A396="",$B396&lt;&gt;"tutar_farki"),"",IF(ABS($C396-$D396)&lt;=toleransKurus,"KDV_ORAN",IF(ABS($C396-$E396*dbe_kdvOran)&lt;=toleransKurus,"MATRAH",IF($F396=1,"YUVARLAMA","TANIMSIZ"))))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IF($A397="","",IF($C397&lt;=dbe_yuvarlamaEsik,1,0))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IF(OR($A397="",$B397&lt;&gt;"tutar_farki"),"",IF(ABS($C397-$D397)&lt;=toleransKurus,"KDV_ORAN",IF(ABS($C397-$E397*dbe_kdvOran)&lt;=toleransKurus,"MATRAH",IF($F397=1,"YUVARLAMA","TANIMSIZ"))))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IF($A398="","",IF($C398&lt;=dbe_yuvarlamaEsik,1,0))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IF(OR($A398="",$B398&lt;&gt;"tutar_farki"),"",IF(ABS($C398-$D398)&lt;=toleransKurus,"KDV_ORAN",IF(ABS($C398-$E398*dbe_kdvOran)&lt;=toleransKurus,"MATRAH",IF($F398=1,"YUVARLAMA","TANIMSIZ"))))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IF($A399="","",IF($C399&lt;=dbe_yuvarlamaEsik,1,0))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IF(OR($A399="",$B399&lt;&gt;"tutar_farki"),"",IF(ABS($C399-$D399)&lt;=toleransKurus,"KDV_ORAN",IF(ABS($C399-$E399*dbe_kdvOran)&lt;=toleransKurus,"MATRAH",IF($F399=1,"YUVARLAMA","TANIMSIZ"))))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IF($A400="","",IF($C400&lt;=dbe_yuvarlamaEsik,1,0))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IF(OR($A400="",$B400&lt;&gt;"tutar_farki"),"",IF(ABS($C400-$D400)&lt;=toleransKurus,"KDV_ORAN",IF(ABS($C400-$E400*dbe_kdvOran)&lt;=toleransKurus,"MATRAH",IF($F400=1,"YUVARLAMA","TANIMSIZ"))))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IF($A401="","",IF($C401&lt;=dbe_yuvarlamaEsik,1,0))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IF(OR($A401="",$B401&lt;&gt;"tutar_farki"),"",IF(ABS($C401-$D401)&lt;=toleransKurus,"KDV_ORAN",IF(ABS($C401-$E401*dbe_kdvOran)&lt;=toleransKurus,"MATRAH",IF($F401=1,"YUVARLAMA","TANIMSIZ"))))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IF($A402="","",IF($C402&lt;=dbe_yuvarlamaEsik,1,0))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IF(OR($A402="",$B402&lt;&gt;"tutar_farki"),"",IF(ABS($C402-$D402)&lt;=toleransKurus,"KDV_ORAN",IF(ABS($C402-$E402*dbe_kdvOran)&lt;=toleransKurus,"MATRAH",IF($F402=1,"YUVARLAMA","TANIMSIZ"))))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IF($A403="","",IF($C403&lt;=dbe_yuvarlamaEsik,1,0))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IF(OR($A403="",$B403&lt;&gt;"tutar_farki"),"",IF(ABS($C403-$D403)&lt;=toleransKurus,"KDV_ORAN",IF(ABS($C403-$E403*dbe_kdvOran)&lt;=toleransKurus,"MATRAH",IF($F403=1,"YUVARLAMA","TANIMSIZ"))))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IF($A404="","",IF($C404&lt;=dbe_yuvarlamaEsik,1,0))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IF(OR($A404="",$B404&lt;&gt;"tutar_farki"),"",IF(ABS($C404-$D404)&lt;=toleransKurus,"KDV_ORAN",IF(ABS($C404-$E404*dbe_kdvOran)&lt;=toleransKurus,"MATRAH",IF($F404=1,"YUVARLAMA","TANIMSIZ"))))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IF($A405="","",IF($C405&lt;=dbe_yuvarlamaEsik,1,0))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IF(OR($A405="",$B405&lt;&gt;"tutar_farki"),"",IF(ABS($C405-$D405)&lt;=toleransKurus,"KDV_ORAN",IF(ABS($C405-$E405*dbe_kdvOran)&lt;=toleransKurus,"MATRAH",IF($F405=1,"YUVARLAMA","TANIMSIZ"))))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IF($A406="","",IF($C406&lt;=dbe_yuvarlamaEsik,1,0))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IF(OR($A406="",$B406&lt;&gt;"tutar_farki"),"",IF(ABS($C406-$D406)&lt;=toleransKurus,"KDV_ORAN",IF(ABS($C406-$E406*dbe_kdvOran)&lt;=toleransKurus,"MATRAH",IF($F406=1,"YUVARLAMA","TANIMSIZ"))))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IF($A407="","",IF($C407&lt;=dbe_yuvarlamaEsik,1,0))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IF(OR($A407="",$B407&lt;&gt;"tutar_farki"),"",IF(ABS($C407-$D407)&lt;=toleransKurus,"KDV_ORAN",IF(ABS($C407-$E407*dbe_kdvOran)&lt;=toleransKurus,"MATRAH",IF($F407=1,"YUVARLAMA","TANIMSIZ"))))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IF($A408="","",IF($C408&lt;=dbe_yuvarlamaEsik,1,0))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IF(OR($A408="",$B408&lt;&gt;"tutar_farki"),"",IF(ABS($C408-$D408)&lt;=toleransKurus,"KDV_ORAN",IF(ABS($C408-$E408*dbe_kdvOran)&lt;=toleransKurus,"MATRAH",IF($F408=1,"YUVARLAMA","TANIMSIZ"))))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IF($A409="","",IF($C409&lt;=dbe_yuvarlamaEsik,1,0))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IF(OR($A409="",$B409&lt;&gt;"tutar_farki"),"",IF(ABS($C409-$D409)&lt;=toleransKurus,"KDV_ORAN",IF(ABS($C409-$E409*dbe_kdvOran)&lt;=toleransKurus,"MATRAH",IF($F409=1,"YUVARLAMA","TANIMSIZ"))))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IF($A410="","",IF($C410&lt;=dbe_yuvarlamaEsik,1,0))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IF(OR($A410="",$B410&lt;&gt;"tutar_farki"),"",IF(ABS($C410-$D410)&lt;=toleransKurus,"KDV_ORAN",IF(ABS($C410-$E410*dbe_kdvOran)&lt;=toleransKurus,"MATRAH",IF($F410=1,"YUVARLAMA","TANIMSIZ"))))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IF($A411="","",IF($C411&lt;=dbe_yuvarlamaEsik,1,0))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IF(OR($A411="",$B411&lt;&gt;"tutar_farki"),"",IF(ABS($C411-$D411)&lt;=toleransKurus,"KDV_ORAN",IF(ABS($C411-$E411*dbe_kdvOran)&lt;=toleransKurus,"MATRAH",IF($F411=1,"YUVARLAMA","TANIMSIZ"))))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IF($A412="","",IF($C412&lt;=dbe_yuvarlamaEsik,1,0))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IF(OR($A412="",$B412&lt;&gt;"tutar_farki"),"",IF(ABS($C412-$D412)&lt;=toleransKurus,"KDV_ORAN",IF(ABS($C412-$E412*dbe_kdvOran)&lt;=toleransKurus,"MATRAH",IF($F412=1,"YUVARLAMA","TANIMSIZ"))))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IF($A413="","",IF($C413&lt;=dbe_yuvarlamaEsik,1,0))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IF(OR($A413="",$B413&lt;&gt;"tutar_farki"),"",IF(ABS($C413-$D413)&lt;=toleransKurus,"KDV_ORAN",IF(ABS($C413-$E413*dbe_kdvOran)&lt;=toleransKurus,"MATRAH",IF($F413=1,"YUVARLAMA","TANIMSIZ"))))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IF($A414="","",IF($C414&lt;=dbe_yuvarlamaEsik,1,0))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IF(OR($A414="",$B414&lt;&gt;"tutar_farki"),"",IF(ABS($C414-$D414)&lt;=toleransKurus,"KDV_ORAN",IF(ABS($C414-$E414*dbe_kdvOran)&lt;=toleransKurus,"MATRAH",IF($F414=1,"YUVARLAMA","TANIMSIZ"))))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IF($A415="","",IF($C415&lt;=dbe_yuvarlamaEsik,1,0))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IF(OR($A415="",$B415&lt;&gt;"tutar_farki"),"",IF(ABS($C415-$D415)&lt;=toleransKurus,"KDV_ORAN",IF(ABS($C415-$E415*dbe_kdvOran)&lt;=toleransKurus,"MATRAH",IF($F415=1,"YUVARLAMA","TANIMSIZ"))))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IF($A416="","",IF($C416&lt;=dbe_yuvarlamaEsik,1,0))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IF(OR($A416="",$B416&lt;&gt;"tutar_farki"),"",IF(ABS($C416-$D416)&lt;=toleransKurus,"KDV_ORAN",IF(ABS($C416-$E416*dbe_kdvOran)&lt;=toleransKurus,"MATRAH",IF($F416=1,"YUVARLAMA","TANIMSIZ"))))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IF($A417="","",IF($C417&lt;=dbe_yuvarlamaEsik,1,0))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IF(OR($A417="",$B417&lt;&gt;"tutar_farki"),"",IF(ABS($C417-$D417)&lt;=toleransKurus,"KDV_ORAN",IF(ABS($C417-$E417*dbe_kdvOran)&lt;=toleransKurus,"MATRAH",IF($F417=1,"YUVARLAMA","TANIMSIZ"))))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IF($A418="","",IF($C418&lt;=dbe_yuvarlamaEsik,1,0))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IF(OR($A418="",$B418&lt;&gt;"tutar_farki"),"",IF(ABS($C418-$D418)&lt;=toleransKurus,"KDV_ORAN",IF(ABS($C418-$E418*dbe_kdvOran)&lt;=toleransKurus,"MATRAH",IF($F418=1,"YUVARLAMA","TANIMSIZ"))))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IF($A419="","",IF($C419&lt;=dbe_yuvarlamaEsik,1,0))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IF(OR($A419="",$B419&lt;&gt;"tutar_farki"),"",IF(ABS($C419-$D419)&lt;=toleransKurus,"KDV_ORAN",IF(ABS($C419-$E419*dbe_kdvOran)&lt;=toleransKurus,"MATRAH",IF($F419=1,"YUVARLAMA","TANIMSIZ"))))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IF($A420="","",IF($C420&lt;=dbe_yuvarlamaEsik,1,0))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IF(OR($A420="",$B420&lt;&gt;"tutar_farki"),"",IF(ABS($C420-$D420)&lt;=toleransKurus,"KDV_ORAN",IF(ABS($C420-$E420*dbe_kdvOran)&lt;=toleransKurus,"MATRAH",IF($F420=1,"YUVARLAMA","TANIMSIZ"))))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IF($A421="","",IF($C421&lt;=dbe_yuvarlamaEsik,1,0))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IF(OR($A421="",$B421&lt;&gt;"tutar_farki"),"",IF(ABS($C421-$D421)&lt;=toleransKurus,"KDV_ORAN",IF(ABS($C421-$E421*dbe_kdvOran)&lt;=toleransKurus,"MATRAH",IF($F421=1,"YUVARLAMA","TANIMSIZ"))))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IF($A422="","",IF($C422&lt;=dbe_yuvarlamaEsik,1,0))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IF(OR($A422="",$B422&lt;&gt;"tutar_farki"),"",IF(ABS($C422-$D422)&lt;=toleransKurus,"KDV_ORAN",IF(ABS($C422-$E422*dbe_kdvOran)&lt;=toleransKurus,"MATRAH",IF($F422=1,"YUVARLAMA","TANIMSIZ"))))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IF($A423="","",IF($C423&lt;=dbe_yuvarlamaEsik,1,0))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IF(OR($A423="",$B423&lt;&gt;"tutar_farki"),"",IF(ABS($C423-$D423)&lt;=toleransKurus,"KDV_ORAN",IF(ABS($C423-$E423*dbe_kdvOran)&lt;=toleransKurus,"MATRAH",IF($F423=1,"YUVARLAMA","TANIMSIZ"))))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IF($A424="","",IF($C424&lt;=dbe_yuvarlamaEsik,1,0))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IF(OR($A424="",$B424&lt;&gt;"tutar_farki"),"",IF(ABS($C424-$D424)&lt;=toleransKurus,"KDV_ORAN",IF(ABS($C424-$E424*dbe_kdvOran)&lt;=toleransKurus,"MATRAH",IF($F424=1,"YUVARLAMA","TANIMSIZ"))))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IF($A425="","",IF($C425&lt;=dbe_yuvarlamaEsik,1,0))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IF(OR($A425="",$B425&lt;&gt;"tutar_farki"),"",IF(ABS($C425-$D425)&lt;=toleransKurus,"KDV_ORAN",IF(ABS($C425-$E425*dbe_kdvOran)&lt;=toleransKurus,"MATRAH",IF($F425=1,"YUVARLAMA","TANIMSIZ"))))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IF($A426="","",IF($C426&lt;=dbe_yuvarlamaEsik,1,0))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IF(OR($A426="",$B426&lt;&gt;"tutar_farki"),"",IF(ABS($C426-$D426)&lt;=toleransKurus,"KDV_ORAN",IF(ABS($C426-$E426*dbe_kdvOran)&lt;=toleransKurus,"MATRAH",IF($F426=1,"YUVARLAMA","TANIMSIZ"))))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IF($A427="","",IF($C427&lt;=dbe_yuvarlamaEsik,1,0))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IF(OR($A427="",$B427&lt;&gt;"tutar_farki"),"",IF(ABS($C427-$D427)&lt;=toleransKurus,"KDV_ORAN",IF(ABS($C427-$E427*dbe_kdvOran)&lt;=toleransKurus,"MATRAH",IF($F427=1,"YUVARLAMA","TANIMSIZ"))))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IF($A428="","",IF($C428&lt;=dbe_yuvarlamaEsik,1,0))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IF(OR($A428="",$B428&lt;&gt;"tutar_farki"),"",IF(ABS($C428-$D428)&lt;=toleransKurus,"KDV_ORAN",IF(ABS($C428-$E428*dbe_kdvOran)&lt;=toleransKurus,"MATRAH",IF($F428=1,"YUVARLAMA","TANIMSIZ"))))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IF($A429="","",IF($C429&lt;=dbe_yuvarlamaEsik,1,0))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IF(OR($A429="",$B429&lt;&gt;"tutar_farki"),"",IF(ABS($C429-$D429)&lt;=toleransKurus,"KDV_ORAN",IF(ABS($C429-$E429*dbe_kdvOran)&lt;=toleransKurus,"MATRAH",IF($F429=1,"YUVARLAMA","TANIMSIZ"))))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IF($A430="","",IF($C430&lt;=dbe_yuvarlamaEsik,1,0))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IF(OR($A430="",$B430&lt;&gt;"tutar_farki"),"",IF(ABS($C430-$D430)&lt;=toleransKurus,"KDV_ORAN",IF(ABS($C430-$E430*dbe_kdvOran)&lt;=toleransKurus,"MATRAH",IF($F430=1,"YUVARLAMA","TANIMSIZ"))))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IF($A431="","",IF($C431&lt;=dbe_yuvarlamaEsik,1,0))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IF(OR($A431="",$B431&lt;&gt;"tutar_farki"),"",IF(ABS($C431-$D431)&lt;=toleransKurus,"KDV_ORAN",IF(ABS($C431-$E431*dbe_kdvOran)&lt;=toleransKurus,"MATRAH",IF($F431=1,"YUVARLAMA","TANIMSIZ"))))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IF($A432="","",IF($C432&lt;=dbe_yuvarlamaEsik,1,0))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IF(OR($A432="",$B432&lt;&gt;"tutar_farki"),"",IF(ABS($C432-$D432)&lt;=toleransKurus,"KDV_ORAN",IF(ABS($C432-$E432*dbe_kdvOran)&lt;=toleransKurus,"MATRAH",IF($F432=1,"YUVARLAMA","TANIMSIZ"))))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IF($A433="","",IF($C433&lt;=dbe_yuvarlamaEsik,1,0))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IF(OR($A433="",$B433&lt;&gt;"tutar_farki"),"",IF(ABS($C433-$D433)&lt;=toleransKurus,"KDV_ORAN",IF(ABS($C433-$E433*dbe_kdvOran)&lt;=toleransKurus,"MATRAH",IF($F433=1,"YUVARLAMA","TANIMSIZ"))))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IF($A434="","",IF($C434&lt;=dbe_yuvarlamaEsik,1,0))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IF(OR($A434="",$B434&lt;&gt;"tutar_farki"),"",IF(ABS($C434-$D434)&lt;=toleransKurus,"KDV_ORAN",IF(ABS($C434-$E434*dbe_kdvOran)&lt;=toleransKurus,"MATRAH",IF($F434=1,"YUVARLAMA","TANIMSIZ"))))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IF($A435="","",IF($C435&lt;=dbe_yuvarlamaEsik,1,0))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IF(OR($A435="",$B435&lt;&gt;"tutar_farki"),"",IF(ABS($C435-$D435)&lt;=toleransKurus,"KDV_ORAN",IF(ABS($C435-$E435*dbe_kdvOran)&lt;=toleransKurus,"MATRAH",IF($F435=1,"YUVARLAMA","TANIMSIZ"))))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IF($A436="","",IF($C436&lt;=dbe_yuvarlamaEsik,1,0))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IF(OR($A436="",$B436&lt;&gt;"tutar_farki"),"",IF(ABS($C436-$D436)&lt;=toleransKurus,"KDV_ORAN",IF(ABS($C436-$E436*dbe_kdvOran)&lt;=toleransKurus,"MATRAH",IF($F436=1,"YUVARLAMA","TANIMSIZ"))))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IF($A437="","",IF($C437&lt;=dbe_yuvarlamaEsik,1,0))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IF(OR($A437="",$B437&lt;&gt;"tutar_farki"),"",IF(ABS($C437-$D437)&lt;=toleransKurus,"KDV_ORAN",IF(ABS($C437-$E437*dbe_kdvOran)&lt;=toleransKurus,"MATRAH",IF($F437=1,"YUVARLAMA","TANIMSIZ"))))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IF($A438="","",IF($C438&lt;=dbe_yuvarlamaEsik,1,0))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IF(OR($A438="",$B438&lt;&gt;"tutar_farki"),"",IF(ABS($C438-$D438)&lt;=toleransKurus,"KDV_ORAN",IF(ABS($C438-$E438*dbe_kdvOran)&lt;=toleransKurus,"MATRAH",IF($F438=1,"YUVARLAMA","TANIMSIZ"))))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IF($A439="","",IF($C439&lt;=dbe_yuvarlamaEsik,1,0))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IF(OR($A439="",$B439&lt;&gt;"tutar_farki"),"",IF(ABS($C439-$D439)&lt;=toleransKurus,"KDV_ORAN",IF(ABS($C439-$E439*dbe_kdvOran)&lt;=toleransKurus,"MATRAH",IF($F439=1,"YUVARLAMA","TANIMSIZ"))))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IF($A440="","",IF($C440&lt;=dbe_yuvarlamaEsik,1,0))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IF(OR($A440="",$B440&lt;&gt;"tutar_farki"),"",IF(ABS($C440-$D440)&lt;=toleransKurus,"KDV_ORAN",IF(ABS($C440-$E440*dbe_kdvOran)&lt;=toleransKurus,"MATRAH",IF($F440=1,"YUVARLAMA","TANIMSIZ"))))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IF($A441="","",IF($C441&lt;=dbe_yuvarlamaEsik,1,0))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IF(OR($A441="",$B441&lt;&gt;"tutar_farki"),"",IF(ABS($C441-$D441)&lt;=toleransKurus,"KDV_ORAN",IF(ABS($C441-$E441*dbe_kdvOran)&lt;=toleransKurus,"MATRAH",IF($F441=1,"YUVARLAMA","TANIMSIZ"))))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IF($A442="","",IF($C442&lt;=dbe_yuvarlamaEsik,1,0))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IF(OR($A442="",$B442&lt;&gt;"tutar_farki"),"",IF(ABS($C442-$D442)&lt;=toleransKurus,"KDV_ORAN",IF(ABS($C442-$E442*dbe_kdvOran)&lt;=toleransKurus,"MATRAH",IF($F442=1,"YUVARLAMA","TANIMSIZ"))))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IF($A443="","",IF($C443&lt;=dbe_yuvarlamaEsik,1,0))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IF(OR($A443="",$B443&lt;&gt;"tutar_farki"),"",IF(ABS($C443-$D443)&lt;=toleransKurus,"KDV_ORAN",IF(ABS($C443-$E443*dbe_kdvOran)&lt;=toleransKurus,"MATRAH",IF($F443=1,"YUVARLAMA","TANIMSIZ"))))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IF($A444="","",IF($C444&lt;=dbe_yuvarlamaEsik,1,0))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IF(OR($A444="",$B444&lt;&gt;"tutar_farki"),"",IF(ABS($C444-$D444)&lt;=toleransKurus,"KDV_ORAN",IF(ABS($C444-$E444*dbe_kdvOran)&lt;=toleransKurus,"MATRAH",IF($F444=1,"YUVARLAMA","TANIMSIZ"))))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IF($A445="","",IF($C445&lt;=dbe_yuvarlamaEsik,1,0))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IF(OR($A445="",$B445&lt;&gt;"tutar_farki"),"",IF(ABS($C445-$D445)&lt;=toleransKurus,"KDV_ORAN",IF(ABS($C445-$E445*dbe_kdvOran)&lt;=toleransKurus,"MATRAH",IF($F445=1,"YUVARLAMA","TANIMSIZ"))))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IF($A446="","",IF($C446&lt;=dbe_yuvarlamaEsik,1,0))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IF(OR($A446="",$B446&lt;&gt;"tutar_farki"),"",IF(ABS($C446-$D446)&lt;=toleransKurus,"KDV_ORAN",IF(ABS($C446-$E446*dbe_kdvOran)&lt;=toleransKurus,"MATRAH",IF($F446=1,"YUVARLAMA","TANIMSIZ"))))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IF($A447="","",IF($C447&lt;=dbe_yuvarlamaEsik,1,0))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IF(OR($A447="",$B447&lt;&gt;"tutar_farki"),"",IF(ABS($C447-$D447)&lt;=toleransKurus,"KDV_ORAN",IF(ABS($C447-$E447*dbe_kdvOran)&lt;=toleransKurus,"MATRAH",IF($F447=1,"YUVARLAMA","TANIMSIZ"))))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IF($A448="","",IF($C448&lt;=dbe_yuvarlamaEsik,1,0))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IF(OR($A448="",$B448&lt;&gt;"tutar_farki"),"",IF(ABS($C448-$D448)&lt;=toleransKurus,"KDV_ORAN",IF(ABS($C448-$E448*dbe_kdvOran)&lt;=toleransKurus,"MATRAH",IF($F448=1,"YUVARLAMA","TANIMSIZ"))))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IF($A449="","",IF($C449&lt;=dbe_yuvarlamaEsik,1,0))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IF(OR($A449="",$B449&lt;&gt;"tutar_farki"),"",IF(ABS($C449-$D449)&lt;=toleransKurus,"KDV_ORAN",IF(ABS($C449-$E449*dbe_kdvOran)&lt;=toleransKurus,"MATRAH",IF($F449=1,"YUVARLAMA","TANIMSIZ"))))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IF($A450="","",IF($C450&lt;=dbe_yuvarlamaEsik,1,0))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IF(OR($A450="",$B450&lt;&gt;"tutar_farki"),"",IF(ABS($C450-$D450)&lt;=toleransKurus,"KDV_ORAN",IF(ABS($C450-$E450*dbe_kdvOran)&lt;=toleransKurus,"MATRAH",IF($F450=1,"YUVARLAMA","TANIMSIZ"))))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IF($A451="","",IF($C451&lt;=dbe_yuvarlamaEsik,1,0))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IF(OR($A451="",$B451&lt;&gt;"tutar_farki"),"",IF(ABS($C451-$D451)&lt;=toleransKurus,"KDV_ORAN",IF(ABS($C451-$E451*dbe_kdvOran)&lt;=toleransKurus,"MATRAH",IF($F451=1,"YUVARLAMA","TANIMSIZ"))))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IF($A452="","",IF($C452&lt;=dbe_yuvarlamaEsik,1,0))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IF(OR($A452="",$B452&lt;&gt;"tutar_farki"),"",IF(ABS($C452-$D452)&lt;=toleransKurus,"KDV_ORAN",IF(ABS($C452-$E452*dbe_kdvOran)&lt;=toleransKurus,"MATRAH",IF($F452=1,"YUVARLAMA","TANIMSIZ"))))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IF($A453="","",IF($C453&lt;=dbe_yuvarlamaEsik,1,0))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IF(OR($A453="",$B453&lt;&gt;"tutar_farki"),"",IF(ABS($C453-$D453)&lt;=toleransKurus,"KDV_ORAN",IF(ABS($C453-$E453*dbe_kdvOran)&lt;=toleransKurus,"MATRAH",IF($F453=1,"YUVARLAMA","TANIMSIZ"))))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IF($A454="","",IF($C454&lt;=dbe_yuvarlamaEsik,1,0))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IF(OR($A454="",$B454&lt;&gt;"tutar_farki"),"",IF(ABS($C454-$D454)&lt;=toleransKurus,"KDV_ORAN",IF(ABS($C454-$E454*dbe_kdvOran)&lt;=toleransKurus,"MATRAH",IF($F454=1,"YUVARLAMA","TANIMSIZ"))))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IF($A455="","",IF($C455&lt;=dbe_yuvarlamaEsik,1,0))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IF(OR($A455="",$B455&lt;&gt;"tutar_farki"),"",IF(ABS($C455-$D455)&lt;=toleransKurus,"KDV_ORAN",IF(ABS($C455-$E455*dbe_kdvOran)&lt;=toleransKurus,"MATRAH",IF($F455=1,"YUVARLAMA","TANIMSIZ"))))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IF($A456="","",IF($C456&lt;=dbe_yuvarlamaEsik,1,0))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IF(OR($A456="",$B456&lt;&gt;"tutar_farki"),"",IF(ABS($C456-$D456)&lt;=toleransKurus,"KDV_ORAN",IF(ABS($C456-$E456*dbe_kdvOran)&lt;=toleransKurus,"MATRAH",IF($F456=1,"YUVARLAMA","TANIMSIZ"))))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IF($A457="","",IF($C457&lt;=dbe_yuvarlamaEsik,1,0))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IF(OR($A457="",$B457&lt;&gt;"tutar_farki"),"",IF(ABS($C457-$D457)&lt;=toleransKurus,"KDV_ORAN",IF(ABS($C457-$E457*dbe_kdvOran)&lt;=toleransKurus,"MATRAH",IF($F457=1,"YUVARLAMA","TANIMSIZ"))))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IF($A458="","",IF($C458&lt;=dbe_yuvarlamaEsik,1,0))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IF(OR($A458="",$B458&lt;&gt;"tutar_farki"),"",IF(ABS($C458-$D458)&lt;=toleransKurus,"KDV_ORAN",IF(ABS($C458-$E458*dbe_kdvOran)&lt;=toleransKurus,"MATRAH",IF($F458=1,"YUVARLAMA","TANIMSIZ"))))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IF($A459="","",IF($C459&lt;=dbe_yuvarlamaEsik,1,0))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IF(OR($A459="",$B459&lt;&gt;"tutar_farki"),"",IF(ABS($C459-$D459)&lt;=toleransKurus,"KDV_ORAN",IF(ABS($C459-$E459*dbe_kdvOran)&lt;=toleransKurus,"MATRAH",IF($F459=1,"YUVARLAMA","TANIMSIZ"))))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IF($A460="","",IF($C460&lt;=dbe_yuvarlamaEsik,1,0))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IF(OR($A460="",$B460&lt;&gt;"tutar_farki"),"",IF(ABS($C460-$D460)&lt;=toleransKurus,"KDV_ORAN",IF(ABS($C460-$E460*dbe_kdvOran)&lt;=toleransKurus,"MATRAH",IF($F460=1,"YUVARLAMA","TANIMSIZ"))))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IF($A461="","",IF($C461&lt;=dbe_yuvarlamaEsik,1,0))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IF(OR($A461="",$B461&lt;&gt;"tutar_farki"),"",IF(ABS($C461-$D461)&lt;=toleransKurus,"KDV_ORAN",IF(ABS($C461-$E461*dbe_kdvOran)&lt;=toleransKurus,"MATRAH",IF($F461=1,"YUVARLAMA","TANIMSIZ"))))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IF($A462="","",IF($C462&lt;=dbe_yuvarlamaEsik,1,0))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IF(OR($A462="",$B462&lt;&gt;"tutar_farki"),"",IF(ABS($C462-$D462)&lt;=toleransKurus,"KDV_ORAN",IF(ABS($C462-$E462*dbe_kdvOran)&lt;=toleransKurus,"MATRAH",IF($F462=1,"YUVARLAMA","TANIMSIZ"))))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IF($A463="","",IF($C463&lt;=dbe_yuvarlamaEsik,1,0))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IF(OR($A463="",$B463&lt;&gt;"tutar_farki"),"",IF(ABS($C463-$D463)&lt;=toleransKurus,"KDV_ORAN",IF(ABS($C463-$E463*dbe_kdvOran)&lt;=toleransKurus,"MATRAH",IF($F463=1,"YUVARLAMA","TANIMSIZ"))))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IF($A464="","",IF($C464&lt;=dbe_yuvarlamaEsik,1,0))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IF(OR($A464="",$B464&lt;&gt;"tutar_farki"),"",IF(ABS($C464-$D464)&lt;=toleransKurus,"KDV_ORAN",IF(ABS($C464-$E464*dbe_kdvOran)&lt;=toleransKurus,"MATRAH",IF($F464=1,"YUVARLAMA","TANIMSIZ"))))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IF($A465="","",IF($C465&lt;=dbe_yuvarlamaEsik,1,0))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IF(OR($A465="",$B465&lt;&gt;"tutar_farki"),"",IF(ABS($C465-$D465)&lt;=toleransKurus,"KDV_ORAN",IF(ABS($C465-$E465*dbe_kdvOran)&lt;=toleransKurus,"MATRAH",IF($F465=1,"YUVARLAMA","TANIMSIZ"))))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IF($A466="","",IF($C466&lt;=dbe_yuvarlamaEsik,1,0))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IF(OR($A466="",$B466&lt;&gt;"tutar_farki"),"",IF(ABS($C466-$D466)&lt;=toleransKurus,"KDV_ORAN",IF(ABS($C466-$E466*dbe_kdvOran)&lt;=toleransKurus,"MATRAH",IF($F466=1,"YUVARLAMA","TANIMSIZ"))))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IF($A467="","",IF($C467&lt;=dbe_yuvarlamaEsik,1,0))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IF(OR($A467="",$B467&lt;&gt;"tutar_farki"),"",IF(ABS($C467-$D467)&lt;=toleransKurus,"KDV_ORAN",IF(ABS($C467-$E467*dbe_kdvOran)&lt;=toleransKurus,"MATRAH",IF($F467=1,"YUVARLAMA","TANIMSIZ"))))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IF($A468="","",IF($C468&lt;=dbe_yuvarlamaEsik,1,0))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IF(OR($A468="",$B468&lt;&gt;"tutar_farki"),"",IF(ABS($C468-$D468)&lt;=toleransKurus,"KDV_ORAN",IF(ABS($C468-$E468*dbe_kdvOran)&lt;=toleransKurus,"MATRAH",IF($F468=1,"YUVARLAMA","TANIMSIZ"))))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IF($A469="","",IF($C469&lt;=dbe_yuvarlamaEsik,1,0))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IF(OR($A469="",$B469&lt;&gt;"tutar_farki"),"",IF(ABS($C469-$D469)&lt;=toleransKurus,"KDV_ORAN",IF(ABS($C469-$E469*dbe_kdvOran)&lt;=toleransKurus,"MATRAH",IF($F469=1,"YUVARLAMA","TANIMSIZ"))))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IF($A470="","",IF($C470&lt;=dbe_yuvarlamaEsik,1,0))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IF(OR($A470="",$B470&lt;&gt;"tutar_farki"),"",IF(ABS($C470-$D470)&lt;=toleransKurus,"KDV_ORAN",IF(ABS($C470-$E470*dbe_kdvOran)&lt;=toleransKurus,"MATRAH",IF($F470=1,"YUVARLAMA","TANIMSIZ"))))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IF($A471="","",IF($C471&lt;=dbe_yuvarlamaEsik,1,0))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IF(OR($A471="",$B471&lt;&gt;"tutar_farki"),"",IF(ABS($C471-$D471)&lt;=toleransKurus,"KDV_ORAN",IF(ABS($C471-$E471*dbe_kdvOran)&lt;=toleransKurus,"MATRAH",IF($F471=1,"YUVARLAMA","TANIMSIZ"))))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IF($A472="","",IF($C472&lt;=dbe_yuvarlamaEsik,1,0))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IF(OR($A472="",$B472&lt;&gt;"tutar_farki"),"",IF(ABS($C472-$D472)&lt;=toleransKurus,"KDV_ORAN",IF(ABS($C472-$E472*dbe_kdvOran)&lt;=toleransKurus,"MATRAH",IF($F472=1,"YUVARLAMA","TANIMSIZ"))))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IF($A473="","",IF($C473&lt;=dbe_yuvarlamaEsik,1,0))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IF(OR($A473="",$B473&lt;&gt;"tutar_farki"),"",IF(ABS($C473-$D473)&lt;=toleransKurus,"KDV_ORAN",IF(ABS($C473-$E473*dbe_kdvOran)&lt;=toleransKurus,"MATRAH",IF($F473=1,"YUVARLAMA","TANIMSIZ"))))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IF($A474="","",IF($C474&lt;=dbe_yuvarlamaEsik,1,0))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IF(OR($A474="",$B474&lt;&gt;"tutar_farki"),"",IF(ABS($C474-$D474)&lt;=toleransKurus,"KDV_ORAN",IF(ABS($C474-$E474*dbe_kdvOran)&lt;=toleransKurus,"MATRAH",IF($F474=1,"YUVARLAMA","TANIMSIZ"))))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IF($A475="","",IF($C475&lt;=dbe_yuvarlamaEsik,1,0))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IF(OR($A475="",$B475&lt;&gt;"tutar_farki"),"",IF(ABS($C475-$D475)&lt;=toleransKurus,"KDV_ORAN",IF(ABS($C475-$E475*dbe_kdvOran)&lt;=toleransKurus,"MATRAH",IF($F475=1,"YUVARLAMA","TANIMSIZ"))))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IF($A476="","",IF($C476&lt;=dbe_yuvarlamaEsik,1,0))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IF(OR($A476="",$B476&lt;&gt;"tutar_farki"),"",IF(ABS($C476-$D476)&lt;=toleransKurus,"KDV_ORAN",IF(ABS($C476-$E476*dbe_kdvOran)&lt;=toleransKurus,"MATRAH",IF($F476=1,"YUVARLAMA","TANIMSIZ"))))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IF($A477="","",IF($C477&lt;=dbe_yuvarlamaEsik,1,0))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IF(OR($A477="",$B477&lt;&gt;"tutar_farki"),"",IF(ABS($C477-$D477)&lt;=toleransKurus,"KDV_ORAN",IF(ABS($C477-$E477*dbe_kdvOran)&lt;=toleransKurus,"MATRAH",IF($F477=1,"YUVARLAMA","TANIMSIZ"))))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IF($A478="","",IF($C478&lt;=dbe_yuvarlamaEsik,1,0))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IF(OR($A478="",$B478&lt;&gt;"tutar_farki"),"",IF(ABS($C478-$D478)&lt;=toleransKurus,"KDV_ORAN",IF(ABS($C478-$E478*dbe_kdvOran)&lt;=toleransKurus,"MATRAH",IF($F478=1,"YUVARLAMA","TANIMSIZ"))))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IF($A479="","",IF($C479&lt;=dbe_yuvarlamaEsik,1,0))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IF(OR($A479="",$B479&lt;&gt;"tutar_farki"),"",IF(ABS($C479-$D479)&lt;=toleransKurus,"KDV_ORAN",IF(ABS($C479-$E479*dbe_kdvOran)&lt;=toleransKurus,"MATRAH",IF($F479=1,"YUVARLAMA","TANIMSIZ"))))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IF($A480="","",IF($C480&lt;=dbe_yuvarlamaEsik,1,0))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IF(OR($A480="",$B480&lt;&gt;"tutar_farki"),"",IF(ABS($C480-$D480)&lt;=toleransKurus,"KDV_ORAN",IF(ABS($C480-$E480*dbe_kdvOran)&lt;=toleransKurus,"MATRAH",IF($F480=1,"YUVARLAMA","TANIMSIZ"))))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IF($A481="","",IF($C481&lt;=dbe_yuvarlamaEsik,1,0))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IF(OR($A481="",$B481&lt;&gt;"tutar_farki"),"",IF(ABS($C481-$D481)&lt;=toleransKurus,"KDV_ORAN",IF(ABS($C481-$E481*dbe_kdvOran)&lt;=toleransKurus,"MATRAH",IF($F481=1,"YUVARLAMA","TANIMSIZ"))))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IF($A482="","",IF($C482&lt;=dbe_yuvarlamaEsik,1,0))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IF(OR($A482="",$B482&lt;&gt;"tutar_farki"),"",IF(ABS($C482-$D482)&lt;=toleransKurus,"KDV_ORAN",IF(ABS($C482-$E482*dbe_kdvOran)&lt;=toleransKurus,"MATRAH",IF($F482=1,"YUVARLAMA","TANIMSIZ"))))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IF($A483="","",IF($C483&lt;=dbe_yuvarlamaEsik,1,0))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IF(OR($A483="",$B483&lt;&gt;"tutar_farki"),"",IF(ABS($C483-$D483)&lt;=toleransKurus,"KDV_ORAN",IF(ABS($C483-$E483*dbe_kdvOran)&lt;=toleransKurus,"MATRAH",IF($F483=1,"YUVARLAMA","TANIMSIZ"))))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IF($A484="","",IF($C484&lt;=dbe_yuvarlamaEsik,1,0))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IF(OR($A484="",$B484&lt;&gt;"tutar_farki"),"",IF(ABS($C484-$D484)&lt;=toleransKurus,"KDV_ORAN",IF(ABS($C484-$E484*dbe_kdvOran)&lt;=toleransKurus,"MATRAH",IF($F484=1,"YUVARLAMA","TANIMSIZ"))))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IF($A485="","",IF($C485&lt;=dbe_yuvarlamaEsik,1,0))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IF(OR($A485="",$B485&lt;&gt;"tutar_farki"),"",IF(ABS($C485-$D485)&lt;=toleransKurus,"KDV_ORAN",IF(ABS($C485-$E485*dbe_kdvOran)&lt;=toleransKurus,"MATRAH",IF($F485=1,"YUVARLAMA","TANIMSIZ"))))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IF($A486="","",IF($C486&lt;=dbe_yuvarlamaEsik,1,0))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IF(OR($A486="",$B486&lt;&gt;"tutar_farki"),"",IF(ABS($C486-$D486)&lt;=toleransKurus,"KDV_ORAN",IF(ABS($C486-$E486*dbe_kdvOran)&lt;=toleransKurus,"MATRAH",IF($F486=1,"YUVARLAMA","TANIMSIZ"))))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IF($A487="","",IF($C487&lt;=dbe_yuvarlamaEsik,1,0))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IF(OR($A487="",$B487&lt;&gt;"tutar_farki"),"",IF(ABS($C487-$D487)&lt;=toleransKurus,"KDV_ORAN",IF(ABS($C487-$E487*dbe_kdvOran)&lt;=toleransKurus,"MATRAH",IF($F487=1,"YUVARLAMA","TANIMSIZ"))))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IF($A488="","",IF($C488&lt;=dbe_yuvarlamaEsik,1,0))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IF(OR($A488="",$B488&lt;&gt;"tutar_farki"),"",IF(ABS($C488-$D488)&lt;=toleransKurus,"KDV_ORAN",IF(ABS($C488-$E488*dbe_kdvOran)&lt;=toleransKurus,"MATRAH",IF($F488=1,"YUVARLAMA","TANIMSIZ"))))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IF($A489="","",IF($C489&lt;=dbe_yuvarlamaEsik,1,0))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IF(OR($A489="",$B489&lt;&gt;"tutar_farki"),"",IF(ABS($C489-$D489)&lt;=toleransKurus,"KDV_ORAN",IF(ABS($C489-$E489*dbe_kdvOran)&lt;=toleransKurus,"MATRAH",IF($F489=1,"YUVARLAMA","TANIMSIZ"))))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IF($A490="","",IF($C490&lt;=dbe_yuvarlamaEsik,1,0))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IF(OR($A490="",$B490&lt;&gt;"tutar_farki"),"",IF(ABS($C490-$D490)&lt;=toleransKurus,"KDV_ORAN",IF(ABS($C490-$E490*dbe_kdvOran)&lt;=toleransKurus,"MATRAH",IF($F490=1,"YUVARLAMA","TANIMSIZ"))))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IF($A491="","",IF($C491&lt;=dbe_yuvarlamaEsik,1,0))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IF(OR($A491="",$B491&lt;&gt;"tutar_farki"),"",IF(ABS($C491-$D491)&lt;=toleransKurus,"KDV_ORAN",IF(ABS($C491-$E491*dbe_kdvOran)&lt;=toleransKurus,"MATRAH",IF($F491=1,"YUVARLAMA","TANIMSIZ"))))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IF($A492="","",IF($C492&lt;=dbe_yuvarlamaEsik,1,0))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IF(OR($A492="",$B492&lt;&gt;"tutar_farki"),"",IF(ABS($C492-$D492)&lt;=toleransKurus,"KDV_ORAN",IF(ABS($C492-$E492*dbe_kdvOran)&lt;=toleransKurus,"MATRAH",IF($F492=1,"YUVARLAMA","TANIMSIZ"))))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IF($A493="","",IF($C493&lt;=dbe_yuvarlamaEsik,1,0))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IF(OR($A493="",$B493&lt;&gt;"tutar_farki"),"",IF(ABS($C493-$D493)&lt;=toleransKurus,"KDV_ORAN",IF(ABS($C493-$E493*dbe_kdvOran)&lt;=toleransKurus,"MATRAH",IF($F493=1,"YUVARLAMA","TANIMSIZ"))))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IF($A494="","",IF($C494&lt;=dbe_yuvarlamaEsik,1,0))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IF(OR($A494="",$B494&lt;&gt;"tutar_farki"),"",IF(ABS($C494-$D494)&lt;=toleransKurus,"KDV_ORAN",IF(ABS($C494-$E494*dbe_kdvOran)&lt;=toleransKurus,"MATRAH",IF($F494=1,"YUVARLAMA","TANIMSIZ"))))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IF($A495="","",IF($C495&lt;=dbe_yuvarlamaEsik,1,0))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IF(OR($A495="",$B495&lt;&gt;"tutar_farki"),"",IF(ABS($C495-$D495)&lt;=toleransKurus,"KDV_ORAN",IF(ABS($C495-$E495*dbe_kdvOran)&lt;=toleransKurus,"MATRAH",IF($F495=1,"YUVARLAMA","TANIMSIZ"))))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IF($A496="","",IF($C496&lt;=dbe_yuvarlamaEsik,1,0))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IF(OR($A496="",$B496&lt;&gt;"tutar_farki"),"",IF(ABS($C496-$D496)&lt;=toleransKurus,"KDV_ORAN",IF(ABS($C496-$E496*dbe_kdvOran)&lt;=toleransKurus,"MATRAH",IF($F496=1,"YUVARLAMA","TANIMSIZ"))))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IF($A497="","",IF($C497&lt;=dbe_yuvarlamaEsik,1,0))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IF(OR($A497="",$B497&lt;&gt;"tutar_farki"),"",IF(ABS($C497-$D497)&lt;=toleransKurus,"KDV_ORAN",IF(ABS($C497-$E497*dbe_kdvOran)&lt;=toleransKurus,"MATRAH",IF($F497=1,"YUVARLAMA","TANIMSIZ"))))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IF($A498="","",IF($C498&lt;=dbe_yuvarlamaEsik,1,0))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IF(OR($A498="",$B498&lt;&gt;"tutar_farki"),"",IF(ABS($C498-$D498)&lt;=toleransKurus,"KDV_ORAN",IF(ABS($C498-$E498*dbe_kdvOran)&lt;=toleransKurus,"MATRAH",IF($F498=1,"YUVARLAMA","TANIMSIZ"))))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IF($A499="","",IF($C499&lt;=dbe_yuvarlamaEsik,1,0))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IF(OR($A499="",$B499&lt;&gt;"tutar_farki"),"",IF(ABS($C499-$D499)&lt;=toleransKurus,"KDV_ORAN",IF(ABS($C499-$E499*dbe_kdvOran)&lt;=toleransKurus,"MATRAH",IF($F499=1,"YUVARLAMA","TANIMSIZ"))))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IF($A500="","",IF($C500&lt;=dbe_yuvarlamaEsik,1,0))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IF(OR($A500="",$B500&lt;&gt;"tutar_farki"),"",IF(ABS($C500-$D500)&lt;=toleransKurus,"KDV_ORAN",IF(ABS($C500-$E500*dbe_kdvOran)&lt;=toleransKurus,"MATRAH",IF($F500=1,"YUVARLAMA","TANIMSIZ"))))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IF($A501="","",IF($C501&lt;=dbe_yuvarlamaEsik,1,0))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IF(OR($A501="",$B501&lt;&gt;"tutar_farki"),"",IF(ABS($C501-$D501)&lt;=toleransKurus,"KDV_ORAN",IF(ABS($C501-$E501*dbe_kdvOran)&lt;=toleransKurus,"MATRAH",IF($F501=1,"YUVARLAMA","TANIMSIZ"))))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IF($A502="","",IF($C502&lt;=dbe_yuvarlamaEsik,1,0))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IF(OR($A502="",$B502&lt;&gt;"tutar_farki"),"",IF(ABS($C502-$D502)&lt;=toleransKurus,"KDV_ORAN",IF(ABS($C502-$E502*dbe_kdvOran)&lt;=toleransKurus,"MATRAH",IF($F502=1,"YUVARLAMA","TANIMSIZ"))))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IF($A503="","",IF($C503&lt;=dbe_yuvarlamaEsik,1,0))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IF(OR($A503="",$B503&lt;&gt;"tutar_farki"),"",IF(ABS($C503-$D503)&lt;=toleransKurus,"KDV_ORAN",IF(ABS($C503-$E503*dbe_kdvOran)&lt;=toleransKurus,"MATRAH",IF($F503=1,"YUVARLAMA","TANIMSIZ"))))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IF($A504="","",IF($C504&lt;=dbe_yuvarlamaEsik,1,0))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IF(OR($A504="",$B504&lt;&gt;"tutar_farki"),"",IF(ABS($C504-$D504)&lt;=toleransKurus,"KDV_ORAN",IF(ABS($C504-$E504*dbe_kdvOran)&lt;=toleransKurus,"MATRAH",IF($F504=1,"YUVARLAMA","TANIMSIZ"))))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IF($A505="","",IF($C505&lt;=dbe_yuvarlamaEsik,1,0))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IF(OR($A505="",$B505&lt;&gt;"tutar_farki"),"",IF(ABS($C505-$D505)&lt;=toleransKurus,"KDV_ORAN",IF(ABS($C505-$E505*dbe_kdvOran)&lt;=toleransKurus,"MATRAH",IF($F505=1,"YUVARLAMA","TANIMSIZ"))))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IF($A506="","",IF($C506&lt;=dbe_yuvarlamaEsik,1,0))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IF(OR($A506="",$B506&lt;&gt;"tutar_farki"),"",IF(ABS($C506-$D506)&lt;=toleransKurus,"KDV_ORAN",IF(ABS($C506-$E506*dbe_kdvOran)&lt;=toleransKurus,"MATRAH",IF($F506=1,"YUVARLAMA","TANIMSIZ"))))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IF($A507="","",IF($C507&lt;=dbe_yuvarlamaEsik,1,0))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IF(OR($A507="",$B507&lt;&gt;"tutar_farki"),"",IF(ABS($C507-$D507)&lt;=toleransKurus,"KDV_ORAN",IF(ABS($C507-$E507*dbe_kdvOran)&lt;=toleransKurus,"MATRAH",IF($F507=1,"YUVARLAMA","TANIMSIZ"))))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IF($A508="","",IF($C508&lt;=dbe_yuvarlamaEsik,1,0))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IF(OR($A508="",$B508&lt;&gt;"tutar_farki"),"",IF(ABS($C508-$D508)&lt;=toleransKurus,"KDV_ORAN",IF(ABS($C508-$E508*dbe_kdvOran)&lt;=toleransKurus,"MATRAH",IF($F508=1,"YUVARLAMA","TANIMSIZ"))))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IF($A509="","",IF($C509&lt;=dbe_yuvarlamaEsik,1,0))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IF(OR($A509="",$B509&lt;&gt;"tutar_farki"),"",IF(ABS($C509-$D509)&lt;=toleransKurus,"KDV_ORAN",IF(ABS($C509-$E509*dbe_kdvOran)&lt;=toleransKurus,"MATRAH",IF($F509=1,"YUVARLAMA","TANIMSIZ"))))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IF($A510="","",IF($C510&lt;=dbe_yuvarlamaEsik,1,0))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IF(OR($A510="",$B510&lt;&gt;"tutar_farki"),"",IF(ABS($C510-$D510)&lt;=toleransKurus,"KDV_ORAN",IF(ABS($C510-$E510*dbe_kdvOran)&lt;=toleransKurus,"MATRAH",IF($F510=1,"YUVARLAMA","TANIMSIZ"))))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IF($A511="","",IF($C511&lt;=dbe_yuvarlamaEsik,1,0))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IF(OR($A511="",$B511&lt;&gt;"tutar_farki"),"",IF(ABS($C511-$D511)&lt;=toleransKurus,"KDV_ORAN",IF(ABS($C511-$E511*dbe_kdvOran)&lt;=toleransKurus,"MATRAH",IF($F511=1,"YUVARLAMA","TANIMSIZ"))))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IF($A512="","",IF($C512&lt;=dbe_yuvarlamaEsik,1,0))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IF(OR($A512="",$B512&lt;&gt;"tutar_farki"),"",IF(ABS($C512-$D512)&lt;=toleransKurus,"KDV_ORAN",IF(ABS($C512-$E512*dbe_kdvOran)&lt;=toleransKurus,"MATRAH",IF($F512=1,"YUVARLAMA","TANIMSIZ"))))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IF($A513="","",IF($C513&lt;=dbe_yuvarlamaEsik,1,0))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IF(OR($A513="",$B513&lt;&gt;"tutar_farki"),"",IF(ABS($C513-$D513)&lt;=toleransKurus,"KDV_ORAN",IF(ABS($C513-$E513*dbe_kdvOran)&lt;=toleransKurus,"MATRAH",IF($F513=1,"YUVARLAMA","TANIMSIZ"))))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IF($A514="","",IF($C514&lt;=dbe_yuvarlamaEsik,1,0))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IF(OR($A514="",$B514&lt;&gt;"tutar_farki"),"",IF(ABS($C514-$D514)&lt;=toleransKurus,"KDV_ORAN",IF(ABS($C514-$E514*dbe_kdvOran)&lt;=toleransKurus,"MATRAH",IF($F514=1,"YUVARLAMA","TANIMSIZ"))))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IF($A515="","",IF($C515&lt;=dbe_yuvarlamaEsik,1,0))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IF(OR($A515="",$B515&lt;&gt;"tutar_farki"),"",IF(ABS($C515-$D515)&lt;=toleransKurus,"KDV_ORAN",IF(ABS($C515-$E515*dbe_kdvOran)&lt;=toleransKurus,"MATRAH",IF($F515=1,"YUVARLAMA","TANIMSIZ"))))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IF($A516="","",IF($C516&lt;=dbe_yuvarlamaEsik,1,0))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IF(OR($A516="",$B516&lt;&gt;"tutar_farki"),"",IF(ABS($C516-$D516)&lt;=toleransKurus,"KDV_ORAN",IF(ABS($C516-$E516*dbe_kdvOran)&lt;=toleransKurus,"MATRAH",IF($F516=1,"YUVARLAMA","TANIMSIZ"))))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IF($A517="","",IF($C517&lt;=dbe_yuvarlamaEsik,1,0))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IF(OR($A517="",$B517&lt;&gt;"tutar_farki"),"",IF(ABS($C517-$D517)&lt;=toleransKurus,"KDV_ORAN",IF(ABS($C517-$E517*dbe_kdvOran)&lt;=toleransKurus,"MATRAH",IF($F517=1,"YUVARLAMA","TANIMSIZ"))))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IF($A518="","",IF($C518&lt;=dbe_yuvarlamaEsik,1,0))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IF(OR($A518="",$B518&lt;&gt;"tutar_farki"),"",IF(ABS($C518-$D518)&lt;=toleransKurus,"KDV_ORAN",IF(ABS($C518-$E518*dbe_kdvOran)&lt;=toleransKurus,"MATRAH",IF($F518=1,"YUVARLAMA","TANIMSIZ"))))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IF($A519="","",IF($C519&lt;=dbe_yuvarlamaEsik,1,0))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IF(OR($A519="",$B519&lt;&gt;"tutar_farki"),"",IF(ABS($C519-$D519)&lt;=toleransKurus,"KDV_ORAN",IF(ABS($C519-$E519*dbe_kdvOran)&lt;=toleransKurus,"MATRAH",IF($F519=1,"YUVARLAMA","TANIMSIZ"))))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IF($A520="","",IF($C520&lt;=dbe_yuvarlamaEsik,1,0))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IF(OR($A520="",$B520&lt;&gt;"tutar_farki"),"",IF(ABS($C520-$D520)&lt;=toleransKurus,"KDV_ORAN",IF(ABS($C520-$E520*dbe_kdvOran)&lt;=toleransKurus,"MATRAH",IF($F520=1,"YUVARLAMA","TANIMSIZ"))))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IF($A521="","",IF($C521&lt;=dbe_yuvarlamaEsik,1,0))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IF(OR($A521="",$B521&lt;&gt;"tutar_farki"),"",IF(ABS($C521-$D521)&lt;=toleransKurus,"KDV_ORAN",IF(ABS($C521-$E521*dbe_kdvOran)&lt;=toleransKurus,"MATRAH",IF($F521=1,"YUVARLAMA","TANIMSIZ"))))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IF($A522="","",IF($C522&lt;=dbe_yuvarlamaEsik,1,0))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IF(OR($A522="",$B522&lt;&gt;"tutar_farki"),"",IF(ABS($C522-$D522)&lt;=toleransKurus,"KDV_ORAN",IF(ABS($C522-$E522*dbe_kdvOran)&lt;=toleransKurus,"MATRAH",IF($F522=1,"YUVARLAMA","TANIMSIZ"))))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IF($A523="","",IF($C523&lt;=dbe_yuvarlamaEsik,1,0))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IF(OR($A523="",$B523&lt;&gt;"tutar_farki"),"",IF(ABS($C523-$D523)&lt;=toleransKurus,"KDV_ORAN",IF(ABS($C523-$E523*dbe_kdvOran)&lt;=toleransKurus,"MATRAH",IF($F523=1,"YUVARLAMA","TANIMSIZ"))))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IF($A524="","",IF($C524&lt;=dbe_yuvarlamaEsik,1,0))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IF(OR($A524="",$B524&lt;&gt;"tutar_farki"),"",IF(ABS($C524-$D524)&lt;=toleransKurus,"KDV_ORAN",IF(ABS($C524-$E524*dbe_kdvOran)&lt;=toleransKurus,"MATRAH",IF($F524=1,"YUVARLAMA","TANIMSIZ"))))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IF($A525="","",IF($C525&lt;=dbe_yuvarlamaEsik,1,0))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IF(OR($A525="",$B525&lt;&gt;"tutar_farki"),"",IF(ABS($C525-$D525)&lt;=toleransKurus,"KDV_ORAN",IF(ABS($C525-$E525*dbe_kdvOran)&lt;=toleransKurus,"MATRAH",IF($F525=1,"YUVARLAMA","TANIMSIZ"))))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IF($A526="","",IF($C526&lt;=dbe_yuvarlamaEsik,1,0))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IF(OR($A526="",$B526&lt;&gt;"tutar_farki"),"",IF(ABS($C526-$D526)&lt;=toleransKurus,"KDV_ORAN",IF(ABS($C526-$E526*dbe_kdvOran)&lt;=toleransKurus,"MATRAH",IF($F526=1,"YUVARLAMA","TANIMSIZ"))))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IF($A527="","",IF($C527&lt;=dbe_yuvarlamaEsik,1,0))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IF(OR($A527="",$B527&lt;&gt;"tutar_farki"),"",IF(ABS($C527-$D527)&lt;=toleransKurus,"KDV_ORAN",IF(ABS($C527-$E527*dbe_kdvOran)&lt;=toleransKurus,"MATRAH",IF($F527=1,"YUVARLAMA","TANIMSIZ"))))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IF($A528="","",IF($C528&lt;=dbe_yuvarlamaEsik,1,0))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IF(OR($A528="",$B528&lt;&gt;"tutar_farki"),"",IF(ABS($C528-$D528)&lt;=toleransKurus,"KDV_ORAN",IF(ABS($C528-$E528*dbe_kdvOran)&lt;=toleransKurus,"MATRAH",IF($F528=1,"YUVARLAMA","TANIMSIZ"))))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IF($A529="","",IF($C529&lt;=dbe_yuvarlamaEsik,1,0))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IF(OR($A529="",$B529&lt;&gt;"tutar_farki"),"",IF(ABS($C529-$D529)&lt;=toleransKurus,"KDV_ORAN",IF(ABS($C529-$E529*dbe_kdvOran)&lt;=toleransKurus,"MATRAH",IF($F529=1,"YUVARLAMA","TANIMSIZ"))))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IF($A530="","",IF($C530&lt;=dbe_yuvarlamaEsik,1,0))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IF(OR($A530="",$B530&lt;&gt;"tutar_farki"),"",IF(ABS($C530-$D530)&lt;=toleransKurus,"KDV_ORAN",IF(ABS($C530-$E530*dbe_kdvOran)&lt;=toleransKurus,"MATRAH",IF($F530=1,"YUVARLAMA","TANIMSIZ"))))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IF($A531="","",IF($C531&lt;=dbe_yuvarlamaEsik,1,0))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IF(OR($A531="",$B531&lt;&gt;"tutar_farki"),"",IF(ABS($C531-$D531)&lt;=toleransKurus,"KDV_ORAN",IF(ABS($C531-$E531*dbe_kdvOran)&lt;=toleransKurus,"MATRAH",IF($F531=1,"YUVARLAMA","TANIMSIZ"))))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IF($A532="","",IF($C532&lt;=dbe_yuvarlamaEsik,1,0))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IF(OR($A532="",$B532&lt;&gt;"tutar_farki"),"",IF(ABS($C532-$D532)&lt;=toleransKurus,"KDV_ORAN",IF(ABS($C532-$E532*dbe_kdvOran)&lt;=toleransKurus,"MATRAH",IF($F532=1,"YUVARLAMA","TANIMSIZ"))))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IF($A533="","",IF($C533&lt;=dbe_yuvarlamaEsik,1,0))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IF(OR($A533="",$B533&lt;&gt;"tutar_farki"),"",IF(ABS($C533-$D533)&lt;=toleransKurus,"KDV_ORAN",IF(ABS($C533-$E533*dbe_kdvOran)&lt;=toleransKurus,"MATRAH",IF($F533=1,"YUVARLAMA","TANIMSIZ"))))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IF($A534="","",IF($C534&lt;=dbe_yuvarlamaEsik,1,0))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IF(OR($A534="",$B534&lt;&gt;"tutar_farki"),"",IF(ABS($C534-$D534)&lt;=toleransKurus,"KDV_ORAN",IF(ABS($C534-$E534*dbe_kdvOran)&lt;=toleransKurus,"MATRAH",IF($F534=1,"YUVARLAMA","TANIMSIZ"))))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IF($A535="","",IF($C535&lt;=dbe_yuvarlamaEsik,1,0))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IF(OR($A535="",$B535&lt;&gt;"tutar_farki"),"",IF(ABS($C535-$D535)&lt;=toleransKurus,"KDV_ORAN",IF(ABS($C535-$E535*dbe_kdvOran)&lt;=toleransKurus,"MATRAH",IF($F535=1,"YUVARLAMA","TANIMSIZ"))))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IF($A536="","",IF($C536&lt;=dbe_yuvarlamaEsik,1,0))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IF(OR($A536="",$B536&lt;&gt;"tutar_farki"),"",IF(ABS($C536-$D536)&lt;=toleransKurus,"KDV_ORAN",IF(ABS($C536-$E536*dbe_kdvOran)&lt;=toleransKurus,"MATRAH",IF($F536=1,"YUVARLAMA","TANIMSIZ"))))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IF($A537="","",IF($C537&lt;=dbe_yuvarlamaEsik,1,0))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IF(OR($A537="",$B537&lt;&gt;"tutar_farki"),"",IF(ABS($C537-$D537)&lt;=toleransKurus,"KDV_ORAN",IF(ABS($C537-$E537*dbe_kdvOran)&lt;=toleransKurus,"MATRAH",IF($F537=1,"YUVARLAMA","TANIMSIZ"))))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IF($A538="","",IF($C538&lt;=dbe_yuvarlamaEsik,1,0))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IF(OR($A538="",$B538&lt;&gt;"tutar_farki"),"",IF(ABS($C538-$D538)&lt;=toleransKurus,"KDV_ORAN",IF(ABS($C538-$E538*dbe_kdvOran)&lt;=toleransKurus,"MATRAH",IF($F538=1,"YUVARLAMA","TANIMSIZ"))))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IF($A539="","",IF($C539&lt;=dbe_yuvarlamaEsik,1,0))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IF(OR($A539="",$B539&lt;&gt;"tutar_farki"),"",IF(ABS($C539-$D539)&lt;=toleransKurus,"KDV_ORAN",IF(ABS($C539-$E539*dbe_kdvOran)&lt;=toleransKurus,"MATRAH",IF($F539=1,"YUVARLAMA","TANIMSIZ"))))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IF($A540="","",IF($C540&lt;=dbe_yuvarlamaEsik,1,0))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IF(OR($A540="",$B540&lt;&gt;"tutar_farki"),"",IF(ABS($C540-$D540)&lt;=toleransKurus,"KDV_ORAN",IF(ABS($C540-$E540*dbe_kdvOran)&lt;=toleransKurus,"MATRAH",IF($F540=1,"YUVARLAMA","TANIMSIZ"))))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IF($A541="","",IF($C541&lt;=dbe_yuvarlamaEsik,1,0))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IF(OR($A541="",$B541&lt;&gt;"tutar_farki"),"",IF(ABS($C541-$D541)&lt;=toleransKurus,"KDV_ORAN",IF(ABS($C541-$E541*dbe_kdvOran)&lt;=toleransKurus,"MATRAH",IF($F541=1,"YUVARLAMA","TANIMSIZ"))))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IF($A542="","",IF($C542&lt;=dbe_yuvarlamaEsik,1,0))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IF(OR($A542="",$B542&lt;&gt;"tutar_farki"),"",IF(ABS($C542-$D542)&lt;=toleransKurus,"KDV_ORAN",IF(ABS($C542-$E542*dbe_kdvOran)&lt;=toleransKurus,"MATRAH",IF($F542=1,"YUVARLAMA","TANIMSIZ"))))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IF($A543="","",IF($C543&lt;=dbe_yuvarlamaEsik,1,0))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IF(OR($A543="",$B543&lt;&gt;"tutar_farki"),"",IF(ABS($C543-$D543)&lt;=toleransKurus,"KDV_ORAN",IF(ABS($C543-$E543*dbe_kdvOran)&lt;=toleransKurus,"MATRAH",IF($F543=1,"YUVARLAMA","TANIMSIZ"))))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IF($A544="","",IF($C544&lt;=dbe_yuvarlamaEsik,1,0))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IF(OR($A544="",$B544&lt;&gt;"tutar_farki"),"",IF(ABS($C544-$D544)&lt;=toleransKurus,"KDV_ORAN",IF(ABS($C544-$E544*dbe_kdvOran)&lt;=toleransKurus,"MATRAH",IF($F544=1,"YUVARLAMA","TANIMSIZ"))))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IF($A545="","",IF($C545&lt;=dbe_yuvarlamaEsik,1,0))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IF(OR($A545="",$B545&lt;&gt;"tutar_farki"),"",IF(ABS($C545-$D545)&lt;=toleransKurus,"KDV_ORAN",IF(ABS($C545-$E545*dbe_kdvOran)&lt;=toleransKurus,"MATRAH",IF($F545=1,"YUVARLAMA","TANIMSIZ"))))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IF($A546="","",IF($C546&lt;=dbe_yuvarlamaEsik,1,0))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IF(OR($A546="",$B546&lt;&gt;"tutar_farki"),"",IF(ABS($C546-$D546)&lt;=toleransKurus,"KDV_ORAN",IF(ABS($C546-$E546*dbe_kdvOran)&lt;=toleransKurus,"MATRAH",IF($F546=1,"YUVARLAMA","TANIMSIZ"))))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IF($A547="","",IF($C547&lt;=dbe_yuvarlamaEsik,1,0))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IF(OR($A547="",$B547&lt;&gt;"tutar_farki"),"",IF(ABS($C547-$D547)&lt;=toleransKurus,"KDV_ORAN",IF(ABS($C547-$E547*dbe_kdvOran)&lt;=toleransKurus,"MATRAH",IF($F547=1,"YUVARLAMA","TANIMSIZ"))))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IF($A548="","",IF($C548&lt;=dbe_yuvarlamaEsik,1,0))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IF(OR($A548="",$B548&lt;&gt;"tutar_farki"),"",IF(ABS($C548-$D548)&lt;=toleransKurus,"KDV_ORAN",IF(ABS($C548-$E548*dbe_kdvOran)&lt;=toleransKurus,"MATRAH",IF($F548=1,"YUVARLAMA","TANIMSIZ"))))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IF($A549="","",IF($C549&lt;=dbe_yuvarlamaEsik,1,0))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IF(OR($A549="",$B549&lt;&gt;"tutar_farki"),"",IF(ABS($C549-$D549)&lt;=toleransKurus,"KDV_ORAN",IF(ABS($C549-$E549*dbe_kdvOran)&lt;=toleransKurus,"MATRAH",IF($F549=1,"YUVARLAMA","TANIMSIZ"))))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IF($A550="","",IF($C550&lt;=dbe_yuvarlamaEsik,1,0))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IF(OR($A550="",$B550&lt;&gt;"tutar_farki"),"",IF(ABS($C550-$D550)&lt;=toleransKurus,"KDV_ORAN",IF(ABS($C550-$E550*dbe_kdvOran)&lt;=toleransKurus,"MATRAH",IF($F550=1,"YUVARLAMA","TANIMSIZ"))))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IF($A551="","",IF($C551&lt;=dbe_yuvarlamaEsik,1,0))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IF(OR($A551="",$B551&lt;&gt;"tutar_farki"),"",IF(ABS($C551-$D551)&lt;=toleransKurus,"KDV_ORAN",IF(ABS($C551-$E551*dbe_kdvOran)&lt;=toleransKurus,"MATRAH",IF($F551=1,"YUVARLAMA","TANIMSIZ"))))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IF($A552="","",IF($C552&lt;=dbe_yuvarlamaEsik,1,0))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IF(OR($A552="",$B552&lt;&gt;"tutar_farki"),"",IF(ABS($C552-$D552)&lt;=toleransKurus,"KDV_ORAN",IF(ABS($C552-$E552*dbe_kdvOran)&lt;=toleransKurus,"MATRAH",IF($F552=1,"YUVARLAMA","TANIMSIZ"))))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IF($A553="","",IF($C553&lt;=dbe_yuvarlamaEsik,1,0))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IF(OR($A553="",$B553&lt;&gt;"tutar_farki"),"",IF(ABS($C553-$D553)&lt;=toleransKurus,"KDV_ORAN",IF(ABS($C553-$E553*dbe_kdvOran)&lt;=toleransKurus,"MATRAH",IF($F553=1,"YUVARLAMA","TANIMSIZ"))))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IF($A554="","",IF($C554&lt;=dbe_yuvarlamaEsik,1,0))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IF(OR($A554="",$B554&lt;&gt;"tutar_farki"),"",IF(ABS($C554-$D554)&lt;=toleransKurus,"KDV_ORAN",IF(ABS($C554-$E554*dbe_kdvOran)&lt;=toleransKurus,"MATRAH",IF($F554=1,"YUVARLAMA","TANIMSIZ"))))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IF($A555="","",IF($C555&lt;=dbe_yuvarlamaEsik,1,0))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IF(OR($A555="",$B555&lt;&gt;"tutar_farki"),"",IF(ABS($C555-$D555)&lt;=toleransKurus,"KDV_ORAN",IF(ABS($C555-$E555*dbe_kdvOran)&lt;=toleransKurus,"MATRAH",IF($F555=1,"YUVARLAMA","TANIMSIZ"))))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IF($A556="","",IF($C556&lt;=dbe_yuvarlamaEsik,1,0))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IF(OR($A556="",$B556&lt;&gt;"tutar_farki"),"",IF(ABS($C556-$D556)&lt;=toleransKurus,"KDV_ORAN",IF(ABS($C556-$E556*dbe_kdvOran)&lt;=toleransKurus,"MATRAH",IF($F556=1,"YUVARLAMA","TANIMSIZ"))))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IF($A557="","",IF($C557&lt;=dbe_yuvarlamaEsik,1,0))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IF(OR($A557="",$B557&lt;&gt;"tutar_farki"),"",IF(ABS($C557-$D557)&lt;=toleransKurus,"KDV_ORAN",IF(ABS($C557-$E557*dbe_kdvOran)&lt;=toleransKurus,"MATRAH",IF($F557=1,"YUVARLAMA","TANIMSIZ"))))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IF($A558="","",IF($C558&lt;=dbe_yuvarlamaEsik,1,0))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IF(OR($A558="",$B558&lt;&gt;"tutar_farki"),"",IF(ABS($C558-$D558)&lt;=toleransKurus,"KDV_ORAN",IF(ABS($C558-$E558*dbe_kdvOran)&lt;=toleransKurus,"MATRAH",IF($F558=1,"YUVARLAMA","TANIMSIZ"))))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IF($A559="","",IF($C559&lt;=dbe_yuvarlamaEsik,1,0))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IF(OR($A559="",$B559&lt;&gt;"tutar_farki"),"",IF(ABS($C559-$D559)&lt;=toleransKurus,"KDV_ORAN",IF(ABS($C559-$E559*dbe_kdvOran)&lt;=toleransKurus,"MATRAH",IF($F559=1,"YUVARLAMA","TANIMSIZ"))))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IF($A560="","",IF($C560&lt;=dbe_yuvarlamaEsik,1,0))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IF(OR($A560="",$B560&lt;&gt;"tutar_farki"),"",IF(ABS($C560-$D560)&lt;=toleransKurus,"KDV_ORAN",IF(ABS($C560-$E560*dbe_kdvOran)&lt;=toleransKurus,"MATRAH",IF($F560=1,"YUVARLAMA","TANIMSIZ"))))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IF($A561="","",IF($C561&lt;=dbe_yuvarlamaEsik,1,0))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IF(OR($A561="",$B561&lt;&gt;"tutar_farki"),"",IF(ABS($C561-$D561)&lt;=toleransKurus,"KDV_ORAN",IF(ABS($C561-$E561*dbe_kdvOran)&lt;=toleransKurus,"MATRAH",IF($F561=1,"YUVARLAMA","TANIMSIZ"))))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IF($A562="","",IF($C562&lt;=dbe_yuvarlamaEsik,1,0))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IF(OR($A562="",$B562&lt;&gt;"tutar_farki"),"",IF(ABS($C562-$D562)&lt;=toleransKurus,"KDV_ORAN",IF(ABS($C562-$E562*dbe_kdvOran)&lt;=toleransKurus,"MATRAH",IF($F562=1,"YUVARLAMA","TANIMSIZ"))))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IF($A563="","",IF($C563&lt;=dbe_yuvarlamaEsik,1,0))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IF(OR($A563="",$B563&lt;&gt;"tutar_farki"),"",IF(ABS($C563-$D563)&lt;=toleransKurus,"KDV_ORAN",IF(ABS($C563-$E563*dbe_kdvOran)&lt;=toleransKurus,"MATRAH",IF($F563=1,"YUVARLAMA","TANIMSIZ"))))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IF($A564="","",IF($C564&lt;=dbe_yuvarlamaEsik,1,0))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IF(OR($A564="",$B564&lt;&gt;"tutar_farki"),"",IF(ABS($C564-$D564)&lt;=toleransKurus,"KDV_ORAN",IF(ABS($C564-$E564*dbe_kdvOran)&lt;=toleransKurus,"MATRAH",IF($F564=1,"YUVARLAMA","TANIMSIZ"))))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IF($A565="","",IF($C565&lt;=dbe_yuvarlamaEsik,1,0))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IF(OR($A565="",$B565&lt;&gt;"tutar_farki"),"",IF(ABS($C565-$D565)&lt;=toleransKurus,"KDV_ORAN",IF(ABS($C565-$E565*dbe_kdvOran)&lt;=toleransKurus,"MATRAH",IF($F565=1,"YUVARLAMA","TANIMSIZ"))))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IF($A566="","",IF($C566&lt;=dbe_yuvarlamaEsik,1,0))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IF(OR($A566="",$B566&lt;&gt;"tutar_farki"),"",IF(ABS($C566-$D566)&lt;=toleransKurus,"KDV_ORAN",IF(ABS($C566-$E566*dbe_kdvOran)&lt;=toleransKurus,"MATRAH",IF($F566=1,"YUVARLAMA","TANIMSIZ"))))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IF($A567="","",IF($C567&lt;=dbe_yuvarlamaEsik,1,0))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IF(OR($A567="",$B567&lt;&gt;"tutar_farki"),"",IF(ABS($C567-$D567)&lt;=toleransKurus,"KDV_ORAN",IF(ABS($C567-$E567*dbe_kdvOran)&lt;=toleransKurus,"MATRAH",IF($F567=1,"YUVARLAMA","TANIMSIZ"))))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IF($A568="","",IF($C568&lt;=dbe_yuvarlamaEsik,1,0))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IF(OR($A568="",$B568&lt;&gt;"tutar_farki"),"",IF(ABS($C568-$D568)&lt;=toleransKurus,"KDV_ORAN",IF(ABS($C568-$E568*dbe_kdvOran)&lt;=toleransKurus,"MATRAH",IF($F568=1,"YUVARLAMA","TANIMSIZ"))))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IF($A569="","",IF($C569&lt;=dbe_yuvarlamaEsik,1,0))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IF(OR($A569="",$B569&lt;&gt;"tutar_farki"),"",IF(ABS($C569-$D569)&lt;=toleransKurus,"KDV_ORAN",IF(ABS($C569-$E569*dbe_kdvOran)&lt;=toleransKurus,"MATRAH",IF($F569=1,"YUVARLAMA","TANIMSIZ"))))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IF($A570="","",IF($C570&lt;=dbe_yuvarlamaEsik,1,0))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IF(OR($A570="",$B570&lt;&gt;"tutar_farki"),"",IF(ABS($C570-$D570)&lt;=toleransKurus,"KDV_ORAN",IF(ABS($C570-$E570*dbe_kdvOran)&lt;=toleransKurus,"MATRAH",IF($F570=1,"YUVARLAMA","TANIMSIZ"))))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IF($A571="","",IF($C571&lt;=dbe_yuvarlamaEsik,1,0))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IF(OR($A571="",$B571&lt;&gt;"tutar_farki"),"",IF(ABS($C571-$D571)&lt;=toleransKurus,"KDV_ORAN",IF(ABS($C571-$E571*dbe_kdvOran)&lt;=toleransKurus,"MATRAH",IF($F571=1,"YUVARLAMA","TANIMSIZ"))))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IF($A572="","",IF($C572&lt;=dbe_yuvarlamaEsik,1,0))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IF(OR($A572="",$B572&lt;&gt;"tutar_farki"),"",IF(ABS($C572-$D572)&lt;=toleransKurus,"KDV_ORAN",IF(ABS($C572-$E572*dbe_kdvOran)&lt;=toleransKurus,"MATRAH",IF($F572=1,"YUVARLAMA","TANIMSIZ"))))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IF($A573="","",IF($C573&lt;=dbe_yuvarlamaEsik,1,0))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IF(OR($A573="",$B573&lt;&gt;"tutar_farki"),"",IF(ABS($C573-$D573)&lt;=toleransKurus,"KDV_ORAN",IF(ABS($C573-$E573*dbe_kdvOran)&lt;=toleransKurus,"MATRAH",IF($F573=1,"YUVARLAMA","TANIMSIZ"))))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IF($A574="","",IF($C574&lt;=dbe_yuvarlamaEsik,1,0))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IF(OR($A574="",$B574&lt;&gt;"tutar_farki"),"",IF(ABS($C574-$D574)&lt;=toleransKurus,"KDV_ORAN",IF(ABS($C574-$E574*dbe_kdvOran)&lt;=toleransKurus,"MATRAH",IF($F574=1,"YUVARLAMA","TANIMSIZ"))))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IF($A575="","",IF($C575&lt;=dbe_yuvarlamaEsik,1,0))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IF(OR($A575="",$B575&lt;&gt;"tutar_farki"),"",IF(ABS($C575-$D575)&lt;=toleransKurus,"KDV_ORAN",IF(ABS($C575-$E575*dbe_kdvOran)&lt;=toleransKurus,"MATRAH",IF($F575=1,"YUVARLAMA","TANIMSIZ"))))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IF($A576="","",IF($C576&lt;=dbe_yuvarlamaEsik,1,0))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IF(OR($A576="",$B576&lt;&gt;"tutar_farki"),"",IF(ABS($C576-$D576)&lt;=toleransKurus,"KDV_ORAN",IF(ABS($C576-$E576*dbe_kdvOran)&lt;=toleransKurus,"MATRAH",IF($F576=1,"YUVARLAMA","TANIMSIZ"))))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IF($A577="","",IF($C577&lt;=dbe_yuvarlamaEsik,1,0))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IF(OR($A577="",$B577&lt;&gt;"tutar_farki"),"",IF(ABS($C577-$D577)&lt;=toleransKurus,"KDV_ORAN",IF(ABS($C577-$E577*dbe_kdvOran)&lt;=toleransKurus,"MATRAH",IF($F577=1,"YUVARLAMA","TANIMSIZ"))))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IF($A578="","",IF($C578&lt;=dbe_yuvarlamaEsik,1,0))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IF(OR($A578="",$B578&lt;&gt;"tutar_farki"),"",IF(ABS($C578-$D578)&lt;=toleransKurus,"KDV_ORAN",IF(ABS($C578-$E578*dbe_kdvOran)&lt;=toleransKurus,"MATRAH",IF($F578=1,"YUVARLAMA","TANIMSIZ"))))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IF($A579="","",IF($C579&lt;=dbe_yuvarlamaEsik,1,0))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IF(OR($A579="",$B579&lt;&gt;"tutar_farki"),"",IF(ABS($C579-$D579)&lt;=toleransKurus,"KDV_ORAN",IF(ABS($C579-$E579*dbe_kdvOran)&lt;=toleransKurus,"MATRAH",IF($F579=1,"YUVARLAMA","TANIMSIZ"))))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IF($A580="","",IF($C580&lt;=dbe_yuvarlamaEsik,1,0))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IF(OR($A580="",$B580&lt;&gt;"tutar_farki"),"",IF(ABS($C580-$D580)&lt;=toleransKurus,"KDV_ORAN",IF(ABS($C580-$E580*dbe_kdvOran)&lt;=toleransKurus,"MATRAH",IF($F580=1,"YUVARLAMA","TANIMSIZ"))))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IF($A581="","",IF($C581&lt;=dbe_yuvarlamaEsik,1,0))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IF(OR($A581="",$B581&lt;&gt;"tutar_farki"),"",IF(ABS($C581-$D581)&lt;=toleransKurus,"KDV_ORAN",IF(ABS($C581-$E581*dbe_kdvOran)&lt;=toleransKurus,"MATRAH",IF($F581=1,"YUVARLAMA","TANIMSIZ"))))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IF($A582="","",IF($C582&lt;=dbe_yuvarlamaEsik,1,0))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IF(OR($A582="",$B582&lt;&gt;"tutar_farki"),"",IF(ABS($C582-$D582)&lt;=toleransKurus,"KDV_ORAN",IF(ABS($C582-$E582*dbe_kdvOran)&lt;=toleransKurus,"MATRAH",IF($F582=1,"YUVARLAMA","TANIMSIZ"))))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IF($A583="","",IF($C583&lt;=dbe_yuvarlamaEsik,1,0))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IF(OR($A583="",$B583&lt;&gt;"tutar_farki"),"",IF(ABS($C583-$D583)&lt;=toleransKurus,"KDV_ORAN",IF(ABS($C583-$E583*dbe_kdvOran)&lt;=toleransKurus,"MATRAH",IF($F583=1,"YUVARLAMA","TANIMSIZ"))))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IF($A584="","",IF($C584&lt;=dbe_yuvarlamaEsik,1,0))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IF(OR($A584="",$B584&lt;&gt;"tutar_farki"),"",IF(ABS($C584-$D584)&lt;=toleransKurus,"KDV_ORAN",IF(ABS($C584-$E584*dbe_kdvOran)&lt;=toleransKurus,"MATRAH",IF($F584=1,"YUVARLAMA","TANIMSIZ"))))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IF($A585="","",IF($C585&lt;=dbe_yuvarlamaEsik,1,0))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IF(OR($A585="",$B585&lt;&gt;"tutar_farki"),"",IF(ABS($C585-$D585)&lt;=toleransKurus,"KDV_ORAN",IF(ABS($C585-$E585*dbe_kdvOran)&lt;=toleransKurus,"MATRAH",IF($F585=1,"YUVARLAMA","TANIMSIZ"))))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IF($A586="","",IF($C586&lt;=dbe_yuvarlamaEsik,1,0))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IF(OR($A586="",$B586&lt;&gt;"tutar_farki"),"",IF(ABS($C586-$D586)&lt;=toleransKurus,"KDV_ORAN",IF(ABS($C586-$E586*dbe_kdvOran)&lt;=toleransKurus,"MATRAH",IF($F586=1,"YUVARLAMA","TANIMSIZ"))))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IF($A587="","",IF($C587&lt;=dbe_yuvarlamaEsik,1,0))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IF(OR($A587="",$B587&lt;&gt;"tutar_farki"),"",IF(ABS($C587-$D587)&lt;=toleransKurus,"KDV_ORAN",IF(ABS($C587-$E587*dbe_kdvOran)&lt;=toleransKurus,"MATRAH",IF($F587=1,"YUVARLAMA","TANIMSIZ"))))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IF($A588="","",IF($C588&lt;=dbe_yuvarlamaEsik,1,0))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IF(OR($A588="",$B588&lt;&gt;"tutar_farki"),"",IF(ABS($C588-$D588)&lt;=toleransKurus,"KDV_ORAN",IF(ABS($C588-$E588*dbe_kdvOran)&lt;=toleransKurus,"MATRAH",IF($F588=1,"YUVARLAMA","TANIMSIZ"))))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IF($A589="","",IF($C589&lt;=dbe_yuvarlamaEsik,1,0))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IF(OR($A589="",$B589&lt;&gt;"tutar_farki"),"",IF(ABS($C589-$D589)&lt;=toleransKurus,"KDV_ORAN",IF(ABS($C589-$E589*dbe_kdvOran)&lt;=toleransKurus,"MATRAH",IF($F589=1,"YUVARLAMA","TANIMSIZ"))))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IF($A590="","",IF($C590&lt;=dbe_yuvarlamaEsik,1,0))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IF(OR($A590="",$B590&lt;&gt;"tutar_farki"),"",IF(ABS($C590-$D590)&lt;=toleransKurus,"KDV_ORAN",IF(ABS($C590-$E590*dbe_kdvOran)&lt;=toleransKurus,"MATRAH",IF($F590=1,"YUVARLAMA","TANIMSIZ"))))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IF($A591="","",IF($C591&lt;=dbe_yuvarlamaEsik,1,0))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IF(OR($A591="",$B591&lt;&gt;"tutar_farki"),"",IF(ABS($C591-$D591)&lt;=toleransKurus,"KDV_ORAN",IF(ABS($C591-$E591*dbe_kdvOran)&lt;=toleransKurus,"MATRAH",IF($F591=1,"YUVARLAMA","TANIMSIZ"))))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IF($A592="","",IF($C592&lt;=dbe_yuvarlamaEsik,1,0))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IF(OR($A592="",$B592&lt;&gt;"tutar_farki"),"",IF(ABS($C592-$D592)&lt;=toleransKurus,"KDV_ORAN",IF(ABS($C592-$E592*dbe_kdvOran)&lt;=toleransKurus,"MATRAH",IF($F592=1,"YUVARLAMA","TANIMSIZ"))))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IF($A593="","",IF($C593&lt;=dbe_yuvarlamaEsik,1,0))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IF(OR($A593="",$B593&lt;&gt;"tutar_farki"),"",IF(ABS($C593-$D593)&lt;=toleransKurus,"KDV_ORAN",IF(ABS($C593-$E593*dbe_kdvOran)&lt;=toleransKurus,"MATRAH",IF($F593=1,"YUVARLAMA","TANIMSIZ"))))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IF($A594="","",IF($C594&lt;=dbe_yuvarlamaEsik,1,0))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IF(OR($A594="",$B594&lt;&gt;"tutar_farki"),"",IF(ABS($C594-$D594)&lt;=toleransKurus,"KDV_ORAN",IF(ABS($C594-$E594*dbe_kdvOran)&lt;=toleransKurus,"MATRAH",IF($F594=1,"YUVARLAMA","TANIMSIZ"))))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IF($A595="","",IF($C595&lt;=dbe_yuvarlamaEsik,1,0))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IF(OR($A595="",$B595&lt;&gt;"tutar_farki"),"",IF(ABS($C595-$D595)&lt;=toleransKurus,"KDV_ORAN",IF(ABS($C595-$E595*dbe_kdvOran)&lt;=toleransKurus,"MATRAH",IF($F595=1,"YUVARLAMA","TANIMSIZ"))))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IF($A596="","",IF($C596&lt;=dbe_yuvarlamaEsik,1,0))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IF(OR($A596="",$B596&lt;&gt;"tutar_farki"),"",IF(ABS($C596-$D596)&lt;=toleransKurus,"KDV_ORAN",IF(ABS($C596-$E596*dbe_kdvOran)&lt;=toleransKurus,"MATRAH",IF($F596=1,"YUVARLAMA","TANIMSIZ"))))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IF($A597="","",IF($C597&lt;=dbe_yuvarlamaEsik,1,0))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IF(OR($A597="",$B597&lt;&gt;"tutar_farki"),"",IF(ABS($C597-$D597)&lt;=toleransKurus,"KDV_ORAN",IF(ABS($C597-$E597*dbe_kdvOran)&lt;=toleransKurus,"MATRAH",IF($F597=1,"YUVARLAMA","TANIMSIZ"))))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IF($A598="","",IF($C598&lt;=dbe_yuvarlamaEsik,1,0))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IF(OR($A598="",$B598&lt;&gt;"tutar_farki"),"",IF(ABS($C598-$D598)&lt;=toleransKurus,"KDV_ORAN",IF(ABS($C598-$E598*dbe_kdvOran)&lt;=toleransKurus,"MATRAH",IF($F598=1,"YUVARLAMA","TANIMSIZ"))))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IF($A599="","",IF($C599&lt;=dbe_yuvarlamaEsik,1,0))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IF(OR($A599="",$B599&lt;&gt;"tutar_farki"),"",IF(ABS($C599-$D599)&lt;=toleransKurus,"KDV_ORAN",IF(ABS($C599-$E599*dbe_kdvOran)&lt;=toleransKurus,"MATRAH",IF($F599=1,"YUVARLAMA","TANIMSIZ"))))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IF($A600="","",IF($C600&lt;=dbe_yuvarlamaEsik,1,0))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IF(OR($A600="",$B600&lt;&gt;"tutar_farki"),"",IF(ABS($C600-$D600)&lt;=toleransKurus,"KDV_ORAN",IF(ABS($C600-$E600*dbe_kdvOran)&lt;=toleransKurus,"MATRAH",IF($F600=1,"YUVARLAMA","TANIMSIZ"))))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IF($A601="","",IF($C601&lt;=dbe_yuvarlamaEsik,1,0))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IF(OR($A601="",$B601&lt;&gt;"tutar_farki"),"",IF(ABS($C601-$D601)&lt;=toleransKurus,"KDV_ORAN",IF(ABS($C601-$E601*dbe_kdvOran)&lt;=toleransKurus,"MATRAH",IF($F601=1,"YUVARLAMA","TANIMSIZ"))))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IF($A602="","",IF($C602&lt;=dbe_yuvarlamaEsik,1,0))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IF(OR($A602="",$B602&lt;&gt;"tutar_farki"),"",IF(ABS($C602-$D602)&lt;=toleransKurus,"KDV_ORAN",IF(ABS($C602-$E602*dbe_kdvOran)&lt;=toleransKurus,"MATRAH",IF($F602=1,"YUVARLAMA","TANIMSIZ"))))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IF($A603="","",IF($C603&lt;=dbe_yuvarlamaEsik,1,0))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IF(OR($A603="",$B603&lt;&gt;"tutar_farki"),"",IF(ABS($C603-$D603)&lt;=toleransKurus,"KDV_ORAN",IF(ABS($C603-$E603*dbe_kdvOran)&lt;=toleransKurus,"MATRAH",IF($F603=1,"YUVARLAMA","TANIMSIZ"))))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IF($A604="","",IF($C604&lt;=dbe_yuvarlamaEsik,1,0))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IF(OR($A604="",$B604&lt;&gt;"tutar_farki"),"",IF(ABS($C604-$D604)&lt;=toleransKurus,"KDV_ORAN",IF(ABS($C604-$E604*dbe_kdvOran)&lt;=toleransKurus,"MATRAH",IF($F604=1,"YUVARLAMA","TANIMSIZ"))))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IF($A605="","",IF($C605&lt;=dbe_yuvarlamaEsik,1,0))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IF(OR($A605="",$B605&lt;&gt;"tutar_farki"),"",IF(ABS($C605-$D605)&lt;=toleransKurus,"KDV_ORAN",IF(ABS($C605-$E605*dbe_kdvOran)&lt;=toleransKurus,"MATRAH",IF($F605=1,"YUVARLAMA","TANIMSIZ"))))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IF($A606="","",IF($C606&lt;=dbe_yuvarlamaEsik,1,0))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IF(OR($A606="",$B606&lt;&gt;"tutar_farki"),"",IF(ABS($C606-$D606)&lt;=toleransKurus,"KDV_ORAN",IF(ABS($C606-$E606*dbe_kdvOran)&lt;=toleransKurus,"MATRAH",IF($F606=1,"YUVARLAMA","TANIMSIZ"))))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IF($A607="","",IF($C607&lt;=dbe_yuvarlamaEsik,1,0))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IF(OR($A607="",$B607&lt;&gt;"tutar_farki"),"",IF(ABS($C607-$D607)&lt;=toleransKurus,"KDV_ORAN",IF(ABS($C607-$E607*dbe_kdvOran)&lt;=toleransKurus,"MATRAH",IF($F607=1,"YUVARLAMA","TANIMSIZ"))))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IF($A608="","",IF($C608&lt;=dbe_yuvarlamaEsik,1,0))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IF(OR($A608="",$B608&lt;&gt;"tutar_farki"),"",IF(ABS($C608-$D608)&lt;=toleransKurus,"KDV_ORAN",IF(ABS($C608-$E608*dbe_kdvOran)&lt;=toleransKurus,"MATRAH",IF($F608=1,"YUVARLAMA","TANIMSIZ"))))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IF($A609="","",IF($C609&lt;=dbe_yuvarlamaEsik,1,0))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IF(OR($A609="",$B609&lt;&gt;"tutar_farki"),"",IF(ABS($C609-$D609)&lt;=toleransKurus,"KDV_ORAN",IF(ABS($C609-$E609*dbe_kdvOran)&lt;=toleransKurus,"MATRAH",IF($F609=1,"YUVARLAMA","TANIMSIZ"))))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IF($A610="","",IF($C610&lt;=dbe_yuvarlamaEsik,1,0))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IF(OR($A610="",$B610&lt;&gt;"tutar_farki"),"",IF(ABS($C610-$D610)&lt;=toleransKurus,"KDV_ORAN",IF(ABS($C610-$E610*dbe_kdvOran)&lt;=toleransKurus,"MATRAH",IF($F610=1,"YUVARLAMA","TANIMSIZ"))))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IF($A611="","",IF($C611&lt;=dbe_yuvarlamaEsik,1,0))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IF(OR($A611="",$B611&lt;&gt;"tutar_farki"),"",IF(ABS($C611-$D611)&lt;=toleransKurus,"KDV_ORAN",IF(ABS($C611-$E611*dbe_kdvOran)&lt;=toleransKurus,"MATRAH",IF($F611=1,"YUVARLAMA","TANIMSIZ"))))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IF($A612="","",IF($C612&lt;=dbe_yuvarlamaEsik,1,0))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IF(OR($A612="",$B612&lt;&gt;"tutar_farki"),"",IF(ABS($C612-$D612)&lt;=toleransKurus,"KDV_ORAN",IF(ABS($C612-$E612*dbe_kdvOran)&lt;=toleransKurus,"MATRAH",IF($F612=1,"YUVARLAMA","TANIMSIZ"))))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IF($A613="","",IF($C613&lt;=dbe_yuvarlamaEsik,1,0))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IF(OR($A613="",$B613&lt;&gt;"tutar_farki"),"",IF(ABS($C613-$D613)&lt;=toleransKurus,"KDV_ORAN",IF(ABS($C613-$E613*dbe_kdvOran)&lt;=toleransKurus,"MATRAH",IF($F613=1,"YUVARLAMA","TANIMSIZ"))))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IF($A614="","",IF($C614&lt;=dbe_yuvarlamaEsik,1,0))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IF(OR($A614="",$B614&lt;&gt;"tutar_farki"),"",IF(ABS($C614-$D614)&lt;=toleransKurus,"KDV_ORAN",IF(ABS($C614-$E614*dbe_kdvOran)&lt;=toleransKurus,"MATRAH",IF($F614=1,"YUVARLAMA","TANIMSIZ"))))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IF($A615="","",IF($C615&lt;=dbe_yuvarlamaEsik,1,0))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IF(OR($A615="",$B615&lt;&gt;"tutar_farki"),"",IF(ABS($C615-$D615)&lt;=toleransKurus,"KDV_ORAN",IF(ABS($C615-$E615*dbe_kdvOran)&lt;=toleransKurus,"MATRAH",IF($F615=1,"YUVARLAMA","TANIMSIZ"))))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IF($A616="","",IF($C616&lt;=dbe_yuvarlamaEsik,1,0))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IF(OR($A616="",$B616&lt;&gt;"tutar_farki"),"",IF(ABS($C616-$D616)&lt;=toleransKurus,"KDV_ORAN",IF(ABS($C616-$E616*dbe_kdvOran)&lt;=toleransKurus,"MATRAH",IF($F616=1,"YUVARLAMA","TANIMSIZ"))))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IF($A617="","",IF($C617&lt;=dbe_yuvarlamaEsik,1,0))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IF(OR($A617="",$B617&lt;&gt;"tutar_farki"),"",IF(ABS($C617-$D617)&lt;=toleransKurus,"KDV_ORAN",IF(ABS($C617-$E617*dbe_kdvOran)&lt;=toleransKurus,"MATRAH",IF($F617=1,"YUVARLAMA","TANIMSIZ"))))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IF($A618="","",IF($C618&lt;=dbe_yuvarlamaEsik,1,0))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IF(OR($A618="",$B618&lt;&gt;"tutar_farki"),"",IF(ABS($C618-$D618)&lt;=toleransKurus,"KDV_ORAN",IF(ABS($C618-$E618*dbe_kdvOran)&lt;=toleransKurus,"MATRAH",IF($F618=1,"YUVARLAMA","TANIMSIZ"))))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IF($A619="","",IF($C619&lt;=dbe_yuvarlamaEsik,1,0))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IF(OR($A619="",$B619&lt;&gt;"tutar_farki"),"",IF(ABS($C619-$D619)&lt;=toleransKurus,"KDV_ORAN",IF(ABS($C619-$E619*dbe_kdvOran)&lt;=toleransKurus,"MATRAH",IF($F619=1,"YUVARLAMA","TANIMSIZ"))))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IF($A620="","",IF($C620&lt;=dbe_yuvarlamaEsik,1,0))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IF(OR($A620="",$B620&lt;&gt;"tutar_farki"),"",IF(ABS($C620-$D620)&lt;=toleransKurus,"KDV_ORAN",IF(ABS($C620-$E620*dbe_kdvOran)&lt;=toleransKurus,"MATRAH",IF($F620=1,"YUVARLAMA","TANIMSIZ"))))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IF($A621="","",IF($C621&lt;=dbe_yuvarlamaEsik,1,0))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IF(OR($A621="",$B621&lt;&gt;"tutar_farki"),"",IF(ABS($C621-$D621)&lt;=toleransKurus,"KDV_ORAN",IF(ABS($C621-$E621*dbe_kdvOran)&lt;=toleransKurus,"MATRAH",IF($F621=1,"YUVARLAMA","TANIMSIZ"))))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IF($A622="","",IF($C622&lt;=dbe_yuvarlamaEsik,1,0))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IF(OR($A622="",$B622&lt;&gt;"tutar_farki"),"",IF(ABS($C622-$D622)&lt;=toleransKurus,"KDV_ORAN",IF(ABS($C622-$E622*dbe_kdvOran)&lt;=toleransKurus,"MATRAH",IF($F622=1,"YUVARLAMA","TANIMSIZ"))))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IF($A623="","",IF($C623&lt;=dbe_yuvarlamaEsik,1,0))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IF(OR($A623="",$B623&lt;&gt;"tutar_farki"),"",IF(ABS($C623-$D623)&lt;=toleransKurus,"KDV_ORAN",IF(ABS($C623-$E623*dbe_kdvOran)&lt;=toleransKurus,"MATRAH",IF($F623=1,"YUVARLAMA","TANIMSIZ"))))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IF($A624="","",IF($C624&lt;=dbe_yuvarlamaEsik,1,0))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IF(OR($A624="",$B624&lt;&gt;"tutar_farki"),"",IF(ABS($C624-$D624)&lt;=toleransKurus,"KDV_ORAN",IF(ABS($C624-$E624*dbe_kdvOran)&lt;=toleransKurus,"MATRAH",IF($F624=1,"YUVARLAMA","TANIMSIZ"))))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IF($A625="","",IF($C625&lt;=dbe_yuvarlamaEsik,1,0))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IF(OR($A625="",$B625&lt;&gt;"tutar_farki"),"",IF(ABS($C625-$D625)&lt;=toleransKurus,"KDV_ORAN",IF(ABS($C625-$E625*dbe_kdvOran)&lt;=toleransKurus,"MATRAH",IF($F625=1,"YUVARLAMA","TANIMSIZ"))))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IF($A626="","",IF($C626&lt;=dbe_yuvarlamaEsik,1,0))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IF(OR($A626="",$B626&lt;&gt;"tutar_farki"),"",IF(ABS($C626-$D626)&lt;=toleransKurus,"KDV_ORAN",IF(ABS($C626-$E626*dbe_kdvOran)&lt;=toleransKurus,"MATRAH",IF($F626=1,"YUVARLAMA","TANIMSIZ"))))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IF($A627="","",IF($C627&lt;=dbe_yuvarlamaEsik,1,0))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IF(OR($A627="",$B627&lt;&gt;"tutar_farki"),"",IF(ABS($C627-$D627)&lt;=toleransKurus,"KDV_ORAN",IF(ABS($C627-$E627*dbe_kdvOran)&lt;=toleransKurus,"MATRAH",IF($F627=1,"YUVARLAMA","TANIMSIZ"))))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IF($A628="","",IF($C628&lt;=dbe_yuvarlamaEsik,1,0))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IF(OR($A628="",$B628&lt;&gt;"tutar_farki"),"",IF(ABS($C628-$D628)&lt;=toleransKurus,"KDV_ORAN",IF(ABS($C628-$E628*dbe_kdvOran)&lt;=toleransKurus,"MATRAH",IF($F628=1,"YUVARLAMA","TANIMSIZ"))))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IF($A629="","",IF($C629&lt;=dbe_yuvarlamaEsik,1,0))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IF(OR($A629="",$B629&lt;&gt;"tutar_farki"),"",IF(ABS($C629-$D629)&lt;=toleransKurus,"KDV_ORAN",IF(ABS($C629-$E629*dbe_kdvOran)&lt;=toleransKurus,"MATRAH",IF($F629=1,"YUVARLAMA","TANIMSIZ"))))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IF($A630="","",IF($C630&lt;=dbe_yuvarlamaEsik,1,0))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IF(OR($A630="",$B630&lt;&gt;"tutar_farki"),"",IF(ABS($C630-$D630)&lt;=toleransKurus,"KDV_ORAN",IF(ABS($C630-$E630*dbe_kdvOran)&lt;=toleransKurus,"MATRAH",IF($F630=1,"YUVARLAMA","TANIMSIZ"))))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IF($A631="","",IF($C631&lt;=dbe_yuvarlamaEsik,1,0))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IF(OR($A631="",$B631&lt;&gt;"tutar_farki"),"",IF(ABS($C631-$D631)&lt;=toleransKurus,"KDV_ORAN",IF(ABS($C631-$E631*dbe_kdvOran)&lt;=toleransKurus,"MATRAH",IF($F631=1,"YUVARLAMA","TANIMSIZ"))))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IF($A632="","",IF($C632&lt;=dbe_yuvarlamaEsik,1,0))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IF(OR($A632="",$B632&lt;&gt;"tutar_farki"),"",IF(ABS($C632-$D632)&lt;=toleransKurus,"KDV_ORAN",IF(ABS($C632-$E632*dbe_kdvOran)&lt;=toleransKurus,"MATRAH",IF($F632=1,"YUVARLAMA","TANIMSIZ"))))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IF($A633="","",IF($C633&lt;=dbe_yuvarlamaEsik,1,0))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IF(OR($A633="",$B633&lt;&gt;"tutar_farki"),"",IF(ABS($C633-$D633)&lt;=toleransKurus,"KDV_ORAN",IF(ABS($C633-$E633*dbe_kdvOran)&lt;=toleransKurus,"MATRAH",IF($F633=1,"YUVARLAMA","TANIMSIZ"))))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IF($A634="","",IF($C634&lt;=dbe_yuvarlamaEsik,1,0))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IF(OR($A634="",$B634&lt;&gt;"tutar_farki"),"",IF(ABS($C634-$D634)&lt;=toleransKurus,"KDV_ORAN",IF(ABS($C634-$E634*dbe_kdvOran)&lt;=toleransKurus,"MATRAH",IF($F634=1,"YUVARLAMA","TANIMSIZ"))))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IF($A635="","",IF($C635&lt;=dbe_yuvarlamaEsik,1,0))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IF(OR($A635="",$B635&lt;&gt;"tutar_farki"),"",IF(ABS($C635-$D635)&lt;=toleransKurus,"KDV_ORAN",IF(ABS($C635-$E635*dbe_kdvOran)&lt;=toleransKurus,"MATRAH",IF($F635=1,"YUVARLAMA","TANIMSIZ"))))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IF($A636="","",IF($C636&lt;=dbe_yuvarlamaEsik,1,0))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IF(OR($A636="",$B636&lt;&gt;"tutar_farki"),"",IF(ABS($C636-$D636)&lt;=toleransKurus,"KDV_ORAN",IF(ABS($C636-$E636*dbe_kdvOran)&lt;=toleransKurus,"MATRAH",IF($F636=1,"YUVARLAMA","TANIMSIZ"))))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IF($A637="","",IF($C637&lt;=dbe_yuvarlamaEsik,1,0))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IF(OR($A637="",$B637&lt;&gt;"tutar_farki"),"",IF(ABS($C637-$D637)&lt;=toleransKurus,"KDV_ORAN",IF(ABS($C637-$E637*dbe_kdvOran)&lt;=toleransKurus,"MATRAH",IF($F637=1,"YUVARLAMA","TANIMSIZ"))))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IF($A638="","",IF($C638&lt;=dbe_yuvarlamaEsik,1,0))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IF(OR($A638="",$B638&lt;&gt;"tutar_farki"),"",IF(ABS($C638-$D638)&lt;=toleransKurus,"KDV_ORAN",IF(ABS($C638-$E638*dbe_kdvOran)&lt;=toleransKurus,"MATRAH",IF($F638=1,"YUVARLAMA","TANIMSIZ"))))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IF($A639="","",IF($C639&lt;=dbe_yuvarlamaEsik,1,0))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IF(OR($A639="",$B639&lt;&gt;"tutar_farki"),"",IF(ABS($C639-$D639)&lt;=toleransKurus,"KDV_ORAN",IF(ABS($C639-$E639*dbe_kdvOran)&lt;=toleransKurus,"MATRAH",IF($F639=1,"YUVARLAMA","TANIMSIZ"))))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IF($A640="","",IF($C640&lt;=dbe_yuvarlamaEsik,1,0))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IF(OR($A640="",$B640&lt;&gt;"tutar_farki"),"",IF(ABS($C640-$D640)&lt;=toleransKurus,"KDV_ORAN",IF(ABS($C640-$E640*dbe_kdvOran)&lt;=toleransKurus,"MATRAH",IF($F640=1,"YUVARLAMA","TANIMSIZ"))))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IF($A641="","",IF($C641&lt;=dbe_yuvarlamaEsik,1,0))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IF(OR($A641="",$B641&lt;&gt;"tutar_farki"),"",IF(ABS($C641-$D641)&lt;=toleransKurus,"KDV_ORAN",IF(ABS($C641-$E641*dbe_kdvOran)&lt;=toleransKurus,"MATRAH",IF($F641=1,"YUVARLAMA","TANIMSIZ"))))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IF($A642="","",IF($C642&lt;=dbe_yuvarlamaEsik,1,0))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IF(OR($A642="",$B642&lt;&gt;"tutar_farki"),"",IF(ABS($C642-$D642)&lt;=toleransKurus,"KDV_ORAN",IF(ABS($C642-$E642*dbe_kdvOran)&lt;=toleransKurus,"MATRAH",IF($F642=1,"YUVARLAMA","TANIMSIZ"))))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IF($A643="","",IF($C643&lt;=dbe_yuvarlamaEsik,1,0))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IF(OR($A643="",$B643&lt;&gt;"tutar_farki"),"",IF(ABS($C643-$D643)&lt;=toleransKurus,"KDV_ORAN",IF(ABS($C643-$E643*dbe_kdvOran)&lt;=toleransKurus,"MATRAH",IF($F643=1,"YUVARLAMA","TANIMSIZ"))))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IF($A644="","",IF($C644&lt;=dbe_yuvarlamaEsik,1,0))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IF(OR($A644="",$B644&lt;&gt;"tutar_farki"),"",IF(ABS($C644-$D644)&lt;=toleransKurus,"KDV_ORAN",IF(ABS($C644-$E644*dbe_kdvOran)&lt;=toleransKurus,"MATRAH",IF($F644=1,"YUVARLAMA","TANIMSIZ"))))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IF($A645="","",IF($C645&lt;=dbe_yuvarlamaEsik,1,0))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IF(OR($A645="",$B645&lt;&gt;"tutar_farki"),"",IF(ABS($C645-$D645)&lt;=toleransKurus,"KDV_ORAN",IF(ABS($C645-$E645*dbe_kdvOran)&lt;=toleransKurus,"MATRAH",IF($F645=1,"YUVARLAMA","TANIMSIZ"))))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IF($A646="","",IF($C646&lt;=dbe_yuvarlamaEsik,1,0))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IF(OR($A646="",$B646&lt;&gt;"tutar_farki"),"",IF(ABS($C646-$D646)&lt;=toleransKurus,"KDV_ORAN",IF(ABS($C646-$E646*dbe_kdvOran)&lt;=toleransKurus,"MATRAH",IF($F646=1,"YUVARLAMA","TANIMSIZ"))))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IF($A647="","",IF($C647&lt;=dbe_yuvarlamaEsik,1,0))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IF(OR($A647="",$B647&lt;&gt;"tutar_farki"),"",IF(ABS($C647-$D647)&lt;=toleransKurus,"KDV_ORAN",IF(ABS($C647-$E647*dbe_kdvOran)&lt;=toleransKurus,"MATRAH",IF($F647=1,"YUVARLAMA","TANIMSIZ"))))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IF($A648="","",IF($C648&lt;=dbe_yuvarlamaEsik,1,0))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IF(OR($A648="",$B648&lt;&gt;"tutar_farki"),"",IF(ABS($C648-$D648)&lt;=toleransKurus,"KDV_ORAN",IF(ABS($C648-$E648*dbe_kdvOran)&lt;=toleransKurus,"MATRAH",IF($F648=1,"YUVARLAMA","TANIMSIZ"))))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IF($A649="","",IF($C649&lt;=dbe_yuvarlamaEsik,1,0))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IF(OR($A649="",$B649&lt;&gt;"tutar_farki"),"",IF(ABS($C649-$D649)&lt;=toleransKurus,"KDV_ORAN",IF(ABS($C649-$E649*dbe_kdvOran)&lt;=toleransKurus,"MATRAH",IF($F649=1,"YUVARLAMA","TANIMSIZ"))))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IF($A650="","",IF($C650&lt;=dbe_yuvarlamaEsik,1,0))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IF(OR($A650="",$B650&lt;&gt;"tutar_farki"),"",IF(ABS($C650-$D650)&lt;=toleransKurus,"KDV_ORAN",IF(ABS($C650-$E650*dbe_kdvOran)&lt;=toleransKurus,"MATRAH",IF($F650=1,"YUVARLAMA","TANIMSIZ"))))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IF($A651="","",IF($C651&lt;=dbe_yuvarlamaEsik,1,0))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IF(OR($A651="",$B651&lt;&gt;"tutar_farki"),"",IF(ABS($C651-$D651)&lt;=toleransKurus,"KDV_ORAN",IF(ABS($C651-$E651*dbe_kdvOran)&lt;=toleransKurus,"MATRAH",IF($F651=1,"YUVARLAMA","TANIMSIZ"))))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IF($A652="","",IF($C652&lt;=dbe_yuvarlamaEsik,1,0))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IF(OR($A652="",$B652&lt;&gt;"tutar_farki"),"",IF(ABS($C652-$D652)&lt;=toleransKurus,"KDV_ORAN",IF(ABS($C652-$E652*dbe_kdvOran)&lt;=toleransKurus,"MATRAH",IF($F652=1,"YUVARLAMA","TANIMSIZ"))))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IF($A653="","",IF($C653&lt;=dbe_yuvarlamaEsik,1,0))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IF(OR($A653="",$B653&lt;&gt;"tutar_farki"),"",IF(ABS($C653-$D653)&lt;=toleransKurus,"KDV_ORAN",IF(ABS($C653-$E653*dbe_kdvOran)&lt;=toleransKurus,"MATRAH",IF($F653=1,"YUVARLAMA","TANIMSIZ"))))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IF($A654="","",IF($C654&lt;=dbe_yuvarlamaEsik,1,0))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IF(OR($A654="",$B654&lt;&gt;"tutar_farki"),"",IF(ABS($C654-$D654)&lt;=toleransKurus,"KDV_ORAN",IF(ABS($C654-$E654*dbe_kdvOran)&lt;=toleransKurus,"MATRAH",IF($F654=1,"YUVARLAMA","TANIMSIZ"))))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IF($A655="","",IF($C655&lt;=dbe_yuvarlamaEsik,1,0))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IF(OR($A655="",$B655&lt;&gt;"tutar_farki"),"",IF(ABS($C655-$D655)&lt;=toleransKurus,"KDV_ORAN",IF(ABS($C655-$E655*dbe_kdvOran)&lt;=toleransKurus,"MATRAH",IF($F655=1,"YUVARLAMA","TANIMSIZ"))))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IF($A656="","",IF($C656&lt;=dbe_yuvarlamaEsik,1,0))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IF(OR($A656="",$B656&lt;&gt;"tutar_farki"),"",IF(ABS($C656-$D656)&lt;=toleransKurus,"KDV_ORAN",IF(ABS($C656-$E656*dbe_kdvOran)&lt;=toleransKurus,"MATRAH",IF($F656=1,"YUVARLAMA","TANIMSIZ"))))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IF($A657="","",IF($C657&lt;=dbe_yuvarlamaEsik,1,0))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IF(OR($A657="",$B657&lt;&gt;"tutar_farki"),"",IF(ABS($C657-$D657)&lt;=toleransKurus,"KDV_ORAN",IF(ABS($C657-$E657*dbe_kdvOran)&lt;=toleransKurus,"MATRAH",IF($F657=1,"YUVARLAMA","TANIMSIZ"))))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IF($A658="","",IF($C658&lt;=dbe_yuvarlamaEsik,1,0))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IF(OR($A658="",$B658&lt;&gt;"tutar_farki"),"",IF(ABS($C658-$D658)&lt;=toleransKurus,"KDV_ORAN",IF(ABS($C658-$E658*dbe_kdvOran)&lt;=toleransKurus,"MATRAH",IF($F658=1,"YUVARLAMA","TANIMSIZ"))))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IF($A659="","",IF($C659&lt;=dbe_yuvarlamaEsik,1,0))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IF(OR($A659="",$B659&lt;&gt;"tutar_farki"),"",IF(ABS($C659-$D659)&lt;=toleransKurus,"KDV_ORAN",IF(ABS($C659-$E659*dbe_kdvOran)&lt;=toleransKurus,"MATRAH",IF($F659=1,"YUVARLAMA","TANIMSIZ"))))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IF($A660="","",IF($C660&lt;=dbe_yuvarlamaEsik,1,0))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IF(OR($A660="",$B660&lt;&gt;"tutar_farki"),"",IF(ABS($C660-$D660)&lt;=toleransKurus,"KDV_ORAN",IF(ABS($C660-$E660*dbe_kdvOran)&lt;=toleransKurus,"MATRAH",IF($F660=1,"YUVARLAMA","TANIMSIZ"))))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IF($A661="","",IF($C661&lt;=dbe_yuvarlamaEsik,1,0))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IF(OR($A661="",$B661&lt;&gt;"tutar_farki"),"",IF(ABS($C661-$D661)&lt;=toleransKurus,"KDV_ORAN",IF(ABS($C661-$E661*dbe_kdvOran)&lt;=toleransKurus,"MATRAH",IF($F661=1,"YUVARLAMA","TANIMSIZ"))))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IF($A662="","",IF($C662&lt;=dbe_yuvarlamaEsik,1,0))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IF(OR($A662="",$B662&lt;&gt;"tutar_farki"),"",IF(ABS($C662-$D662)&lt;=toleransKurus,"KDV_ORAN",IF(ABS($C662-$E662*dbe_kdvOran)&lt;=toleransKurus,"MATRAH",IF($F662=1,"YUVARLAMA","TANIMSIZ"))))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IF($A663="","",IF($C663&lt;=dbe_yuvarlamaEsik,1,0))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IF(OR($A663="",$B663&lt;&gt;"tutar_farki"),"",IF(ABS($C663-$D663)&lt;=toleransKurus,"KDV_ORAN",IF(ABS($C663-$E663*dbe_kdvOran)&lt;=toleransKurus,"MATRAH",IF($F663=1,"YUVARLAMA","TANIMSIZ"))))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IF($A664="","",IF($C664&lt;=dbe_yuvarlamaEsik,1,0))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IF(OR($A664="",$B664&lt;&gt;"tutar_farki"),"",IF(ABS($C664-$D664)&lt;=toleransKurus,"KDV_ORAN",IF(ABS($C664-$E664*dbe_kdvOran)&lt;=toleransKurus,"MATRAH",IF($F664=1,"YUVARLAMA","TANIMSIZ"))))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IF($A665="","",IF($C665&lt;=dbe_yuvarlamaEsik,1,0))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IF(OR($A665="",$B665&lt;&gt;"tutar_farki"),"",IF(ABS($C665-$D665)&lt;=toleransKurus,"KDV_ORAN",IF(ABS($C665-$E665*dbe_kdvOran)&lt;=toleransKurus,"MATRAH",IF($F665=1,"YUVARLAMA","TANIMSIZ"))))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IF($A666="","",IF($C666&lt;=dbe_yuvarlamaEsik,1,0))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IF(OR($A666="",$B666&lt;&gt;"tutar_farki"),"",IF(ABS($C666-$D666)&lt;=toleransKurus,"KDV_ORAN",IF(ABS($C666-$E666*dbe_kdvOran)&lt;=toleransKurus,"MATRAH",IF($F666=1,"YUVARLAMA","TANIMSIZ"))))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IF($A667="","",IF($C667&lt;=dbe_yuvarlamaEsik,1,0))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IF(OR($A667="",$B667&lt;&gt;"tutar_farki"),"",IF(ABS($C667-$D667)&lt;=toleransKurus,"KDV_ORAN",IF(ABS($C667-$E667*dbe_kdvOran)&lt;=toleransKurus,"MATRAH",IF($F667=1,"YUVARLAMA","TANIMSIZ"))))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IF($A668="","",IF($C668&lt;=dbe_yuvarlamaEsik,1,0))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IF(OR($A668="",$B668&lt;&gt;"tutar_farki"),"",IF(ABS($C668-$D668)&lt;=toleransKurus,"KDV_ORAN",IF(ABS($C668-$E668*dbe_kdvOran)&lt;=toleransKurus,"MATRAH",IF($F668=1,"YUVARLAMA","TANIMSIZ"))))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IF($A669="","",IF($C669&lt;=dbe_yuvarlamaEsik,1,0))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IF(OR($A669="",$B669&lt;&gt;"tutar_farki"),"",IF(ABS($C669-$D669)&lt;=toleransKurus,"KDV_ORAN",IF(ABS($C669-$E669*dbe_kdvOran)&lt;=toleransKurus,"MATRAH",IF($F669=1,"YUVARLAMA","TANIMSIZ"))))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IF($A670="","",IF($C670&lt;=dbe_yuvarlamaEsik,1,0))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IF(OR($A670="",$B670&lt;&gt;"tutar_farki"),"",IF(ABS($C670-$D670)&lt;=toleransKurus,"KDV_ORAN",IF(ABS($C670-$E670*dbe_kdvOran)&lt;=toleransKurus,"MATRAH",IF($F670=1,"YUVARLAMA","TANIMSIZ"))))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IF($A671="","",IF($C671&lt;=dbe_yuvarlamaEsik,1,0))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IF(OR($A671="",$B671&lt;&gt;"tutar_farki"),"",IF(ABS($C671-$D671)&lt;=toleransKurus,"KDV_ORAN",IF(ABS($C671-$E671*dbe_kdvOran)&lt;=toleransKurus,"MATRAH",IF($F671=1,"YUVARLAMA","TANIMSIZ"))))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IF($A672="","",IF($C672&lt;=dbe_yuvarlamaEsik,1,0))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IF(OR($A672="",$B672&lt;&gt;"tutar_farki"),"",IF(ABS($C672-$D672)&lt;=toleransKurus,"KDV_ORAN",IF(ABS($C672-$E672*dbe_kdvOran)&lt;=toleransKurus,"MATRAH",IF($F672=1,"YUVARLAMA","TANIMSIZ"))))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IF($A673="","",IF($C673&lt;=dbe_yuvarlamaEsik,1,0))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IF(OR($A673="",$B673&lt;&gt;"tutar_farki"),"",IF(ABS($C673-$D673)&lt;=toleransKurus,"KDV_ORAN",IF(ABS($C673-$E673*dbe_kdvOran)&lt;=toleransKurus,"MATRAH",IF($F673=1,"YUVARLAMA","TANIMSIZ"))))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IF($A674="","",IF($C674&lt;=dbe_yuvarlamaEsik,1,0))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IF(OR($A674="",$B674&lt;&gt;"tutar_farki"),"",IF(ABS($C674-$D674)&lt;=toleransKurus,"KDV_ORAN",IF(ABS($C674-$E674*dbe_kdvOran)&lt;=toleransKurus,"MATRAH",IF($F674=1,"YUVARLAMA","TANIMSIZ"))))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IF($A675="","",IF($C675&lt;=dbe_yuvarlamaEsik,1,0))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IF(OR($A675="",$B675&lt;&gt;"tutar_farki"),"",IF(ABS($C675-$D675)&lt;=toleransKurus,"KDV_ORAN",IF(ABS($C675-$E675*dbe_kdvOran)&lt;=toleransKurus,"MATRAH",IF($F675=1,"YUVARLAMA","TANIMSIZ"))))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IF($A676="","",IF($C676&lt;=dbe_yuvarlamaEsik,1,0))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IF(OR($A676="",$B676&lt;&gt;"tutar_farki"),"",IF(ABS($C676-$D676)&lt;=toleransKurus,"KDV_ORAN",IF(ABS($C676-$E676*dbe_kdvOran)&lt;=toleransKurus,"MATRAH",IF($F676=1,"YUVARLAMA","TANIMSIZ"))))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IF($A677="","",IF($C677&lt;=dbe_yuvarlamaEsik,1,0))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IF(OR($A677="",$B677&lt;&gt;"tutar_farki"),"",IF(ABS($C677-$D677)&lt;=toleransKurus,"KDV_ORAN",IF(ABS($C677-$E677*dbe_kdvOran)&lt;=toleransKurus,"MATRAH",IF($F677=1,"YUVARLAMA","TANIMSIZ"))))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IF($A678="","",IF($C678&lt;=dbe_yuvarlamaEsik,1,0))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IF(OR($A678="",$B678&lt;&gt;"tutar_farki"),"",IF(ABS($C678-$D678)&lt;=toleransKurus,"KDV_ORAN",IF(ABS($C678-$E678*dbe_kdvOran)&lt;=toleransKurus,"MATRAH",IF($F678=1,"YUVARLAMA","TANIMSIZ"))))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IF($A679="","",IF($C679&lt;=dbe_yuvarlamaEsik,1,0))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IF(OR($A679="",$B679&lt;&gt;"tutar_farki"),"",IF(ABS($C679-$D679)&lt;=toleransKurus,"KDV_ORAN",IF(ABS($C679-$E679*dbe_kdvOran)&lt;=toleransKurus,"MATRAH",IF($F679=1,"YUVARLAMA","TANIMSIZ"))))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IF($A680="","",IF($C680&lt;=dbe_yuvarlamaEsik,1,0))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IF(OR($A680="",$B680&lt;&gt;"tutar_farki"),"",IF(ABS($C680-$D680)&lt;=toleransKurus,"KDV_ORAN",IF(ABS($C680-$E680*dbe_kdvOran)&lt;=toleransKurus,"MATRAH",IF($F680=1,"YUVARLAMA","TANIMSIZ"))))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IF($A681="","",IF($C681&lt;=dbe_yuvarlamaEsik,1,0))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IF(OR($A681="",$B681&lt;&gt;"tutar_farki"),"",IF(ABS($C681-$D681)&lt;=toleransKurus,"KDV_ORAN",IF(ABS($C681-$E681*dbe_kdvOran)&lt;=toleransKurus,"MATRAH",IF($F681=1,"YUVARLAMA","TANIMSIZ"))))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IF($A682="","",IF($C682&lt;=dbe_yuvarlamaEsik,1,0))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IF(OR($A682="",$B682&lt;&gt;"tutar_farki"),"",IF(ABS($C682-$D682)&lt;=toleransKurus,"KDV_ORAN",IF(ABS($C682-$E682*dbe_kdvOran)&lt;=toleransKurus,"MATRAH",IF($F682=1,"YUVARLAMA","TANIMSIZ"))))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IF($A683="","",IF($C683&lt;=dbe_yuvarlamaEsik,1,0))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IF(OR($A683="",$B683&lt;&gt;"tutar_farki"),"",IF(ABS($C683-$D683)&lt;=toleransKurus,"KDV_ORAN",IF(ABS($C683-$E683*dbe_kdvOran)&lt;=toleransKurus,"MATRAH",IF($F683=1,"YUVARLAMA","TANIMSIZ"))))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IF($A684="","",IF($C684&lt;=dbe_yuvarlamaEsik,1,0))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IF(OR($A684="",$B684&lt;&gt;"tutar_farki"),"",IF(ABS($C684-$D684)&lt;=toleransKurus,"KDV_ORAN",IF(ABS($C684-$E684*dbe_kdvOran)&lt;=toleransKurus,"MATRAH",IF($F684=1,"YUVARLAMA","TANIMSIZ"))))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IF($A685="","",IF($C685&lt;=dbe_yuvarlamaEsik,1,0))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IF(OR($A685="",$B685&lt;&gt;"tutar_farki"),"",IF(ABS($C685-$D685)&lt;=toleransKurus,"KDV_ORAN",IF(ABS($C685-$E685*dbe_kdvOran)&lt;=toleransKurus,"MATRAH",IF($F685=1,"YUVARLAMA","TANIMSIZ"))))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IF($A686="","",IF($C686&lt;=dbe_yuvarlamaEsik,1,0))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IF(OR($A686="",$B686&lt;&gt;"tutar_farki"),"",IF(ABS($C686-$D686)&lt;=toleransKurus,"KDV_ORAN",IF(ABS($C686-$E686*dbe_kdvOran)&lt;=toleransKurus,"MATRAH",IF($F686=1,"YUVARLAMA","TANIMSIZ"))))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IF($A687="","",IF($C687&lt;=dbe_yuvarlamaEsik,1,0))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IF(OR($A687="",$B687&lt;&gt;"tutar_farki"),"",IF(ABS($C687-$D687)&lt;=toleransKurus,"KDV_ORAN",IF(ABS($C687-$E687*dbe_kdvOran)&lt;=toleransKurus,"MATRAH",IF($F687=1,"YUVARLAMA","TANIMSIZ"))))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IF($A688="","",IF($C688&lt;=dbe_yuvarlamaEsik,1,0))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IF(OR($A688="",$B688&lt;&gt;"tutar_farki"),"",IF(ABS($C688-$D688)&lt;=toleransKurus,"KDV_ORAN",IF(ABS($C688-$E688*dbe_kdvOran)&lt;=toleransKurus,"MATRAH",IF($F688=1,"YUVARLAMA","TANIMSIZ"))))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IF($A689="","",IF($C689&lt;=dbe_yuvarlamaEsik,1,0))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IF(OR($A689="",$B689&lt;&gt;"tutar_farki"),"",IF(ABS($C689-$D689)&lt;=toleransKurus,"KDV_ORAN",IF(ABS($C689-$E689*dbe_kdvOran)&lt;=toleransKurus,"MATRAH",IF($F689=1,"YUVARLAMA","TANIMSIZ"))))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IF($A690="","",IF($C690&lt;=dbe_yuvarlamaEsik,1,0))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IF(OR($A690="",$B690&lt;&gt;"tutar_farki"),"",IF(ABS($C690-$D690)&lt;=toleransKurus,"KDV_ORAN",IF(ABS($C690-$E690*dbe_kdvOran)&lt;=toleransKurus,"MATRAH",IF($F690=1,"YUVARLAMA","TANIMSIZ"))))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IF($A691="","",IF($C691&lt;=dbe_yuvarlamaEsik,1,0))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IF(OR($A691="",$B691&lt;&gt;"tutar_farki"),"",IF(ABS($C691-$D691)&lt;=toleransKurus,"KDV_ORAN",IF(ABS($C691-$E691*dbe_kdvOran)&lt;=toleransKurus,"MATRAH",IF($F691=1,"YUVARLAMA","TANIMSIZ"))))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IF($A692="","",IF($C692&lt;=dbe_yuvarlamaEsik,1,0))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IF(OR($A692="",$B692&lt;&gt;"tutar_farki"),"",IF(ABS($C692-$D692)&lt;=toleransKurus,"KDV_ORAN",IF(ABS($C692-$E692*dbe_kdvOran)&lt;=toleransKurus,"MATRAH",IF($F692=1,"YUVARLAMA","TANIMSIZ"))))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IF($A693="","",IF($C693&lt;=dbe_yuvarlamaEsik,1,0))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IF(OR($A693="",$B693&lt;&gt;"tutar_farki"),"",IF(ABS($C693-$D693)&lt;=toleransKurus,"KDV_ORAN",IF(ABS($C693-$E693*dbe_kdvOran)&lt;=toleransKurus,"MATRAH",IF($F693=1,"YUVARLAMA","TANIMSIZ"))))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IF($A694="","",IF($C694&lt;=dbe_yuvarlamaEsik,1,0))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IF(OR($A694="",$B694&lt;&gt;"tutar_farki"),"",IF(ABS($C694-$D694)&lt;=toleransKurus,"KDV_ORAN",IF(ABS($C694-$E694*dbe_kdvOran)&lt;=toleransKurus,"MATRAH",IF($F694=1,"YUVARLAMA","TANIMSIZ"))))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IF($A695="","",IF($C695&lt;=dbe_yuvarlamaEsik,1,0))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IF(OR($A695="",$B695&lt;&gt;"tutar_farki"),"",IF(ABS($C695-$D695)&lt;=toleransKurus,"KDV_ORAN",IF(ABS($C695-$E695*dbe_kdvOran)&lt;=toleransKurus,"MATRAH",IF($F695=1,"YUVARLAMA","TANIMSIZ"))))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IF($A696="","",IF($C696&lt;=dbe_yuvarlamaEsik,1,0))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IF(OR($A696="",$B696&lt;&gt;"tutar_farki"),"",IF(ABS($C696-$D696)&lt;=toleransKurus,"KDV_ORAN",IF(ABS($C696-$E696*dbe_kdvOran)&lt;=toleransKurus,"MATRAH",IF($F696=1,"YUVARLAMA","TANIMSIZ"))))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IF($A697="","",IF($C697&lt;=dbe_yuvarlamaEsik,1,0))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IF(OR($A697="",$B697&lt;&gt;"tutar_farki"),"",IF(ABS($C697-$D697)&lt;=toleransKurus,"KDV_ORAN",IF(ABS($C697-$E697*dbe_kdvOran)&lt;=toleransKurus,"MATRAH",IF($F697=1,"YUVARLAMA","TANIMSIZ"))))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IF($A698="","",IF($C698&lt;=dbe_yuvarlamaEsik,1,0))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IF(OR($A698="",$B698&lt;&gt;"tutar_farki"),"",IF(ABS($C698-$D698)&lt;=toleransKurus,"KDV_ORAN",IF(ABS($C698-$E698*dbe_kdvOran)&lt;=toleransKurus,"MATRAH",IF($F698=1,"YUVARLAMA","TANIMSIZ"))))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IF($A699="","",IF($C699&lt;=dbe_yuvarlamaEsik,1,0))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IF(OR($A699="",$B699&lt;&gt;"tutar_farki"),"",IF(ABS($C699-$D699)&lt;=toleransKurus,"KDV_ORAN",IF(ABS($C699-$E699*dbe_kdvOran)&lt;=toleransKurus,"MATRAH",IF($F699=1,"YUVARLAMA","TANIMSIZ"))))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IF($A700="","",IF($C700&lt;=dbe_yuvarlamaEsik,1,0))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IF(OR($A700="",$B700&lt;&gt;"tutar_farki"),"",IF(ABS($C700-$D700)&lt;=toleransKurus,"KDV_ORAN",IF(ABS($C700-$E700*dbe_kdvOran)&lt;=toleransKurus,"MATRAH",IF($F700=1,"YUVARLAMA","TANIMSIZ"))))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IF($A701="","",IF($C701&lt;=dbe_yuvarlamaEsik,1,0))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IF(OR($A701="",$B701&lt;&gt;"tutar_farki"),"",IF(ABS($C701-$D701)&lt;=toleransKurus,"KDV_ORAN",IF(ABS($C701-$E701*dbe_kdvOran)&lt;=toleransKurus,"MATRAH",IF($F701=1,"YUVARLAMA","TANIMSIZ"))))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IF($A702="","",IF($C702&lt;=dbe_yuvarlamaEsik,1,0))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IF(OR($A702="",$B702&lt;&gt;"tutar_farki"),"",IF(ABS($C702-$D702)&lt;=toleransKurus,"KDV_ORAN",IF(ABS($C702-$E702*dbe_kdvOran)&lt;=toleransKurus,"MATRAH",IF($F702=1,"YUVARLAMA","TANIMSIZ"))))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IF($A703="","",IF($C703&lt;=dbe_yuvarlamaEsik,1,0))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IF(OR($A703="",$B703&lt;&gt;"tutar_farki"),"",IF(ABS($C703-$D703)&lt;=toleransKurus,"KDV_ORAN",IF(ABS($C703-$E703*dbe_kdvOran)&lt;=toleransKurus,"MATRAH",IF($F703=1,"YUVARLAMA","TANIMSIZ"))))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IF($A704="","",IF($C704&lt;=dbe_yuvarlamaEsik,1,0))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IF(OR($A704="",$B704&lt;&gt;"tutar_farki"),"",IF(ABS($C704-$D704)&lt;=toleransKurus,"KDV_ORAN",IF(ABS($C704-$E704*dbe_kdvOran)&lt;=toleransKurus,"MATRAH",IF($F704=1,"YUVARLAMA","TANIMSIZ"))))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IF($A705="","",IF($C705&lt;=dbe_yuvarlamaEsik,1,0))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IF(OR($A705="",$B705&lt;&gt;"tutar_farki"),"",IF(ABS($C705-$D705)&lt;=toleransKurus,"KDV_ORAN",IF(ABS($C705-$E705*dbe_kdvOran)&lt;=toleransKurus,"MATRAH",IF($F705=1,"YUVARLAMA","TANIMSIZ"))))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IF($A706="","",IF($C706&lt;=dbe_yuvarlamaEsik,1,0))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IF(OR($A706="",$B706&lt;&gt;"tutar_farki"),"",IF(ABS($C706-$D706)&lt;=toleransKurus,"KDV_ORAN",IF(ABS($C706-$E706*dbe_kdvOran)&lt;=toleransKurus,"MATRAH",IF($F706=1,"YUVARLAMA","TANIMSIZ"))))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IF($A707="","",IF($C707&lt;=dbe_yuvarlamaEsik,1,0))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IF(OR($A707="",$B707&lt;&gt;"tutar_farki"),"",IF(ABS($C707-$D707)&lt;=toleransKurus,"KDV_ORAN",IF(ABS($C707-$E707*dbe_kdvOran)&lt;=toleransKurus,"MATRAH",IF($F707=1,"YUVARLAMA","TANIMSIZ"))))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IF($A708="","",IF($C708&lt;=dbe_yuvarlamaEsik,1,0))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IF(OR($A708="",$B708&lt;&gt;"tutar_farki"),"",IF(ABS($C708-$D708)&lt;=toleransKurus,"KDV_ORAN",IF(ABS($C708-$E708*dbe_kdvOran)&lt;=toleransKurus,"MATRAH",IF($F708=1,"YUVARLAMA","TANIMSIZ"))))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IF($A709="","",IF($C709&lt;=dbe_yuvarlamaEsik,1,0))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IF(OR($A709="",$B709&lt;&gt;"tutar_farki"),"",IF(ABS($C709-$D709)&lt;=toleransKurus,"KDV_ORAN",IF(ABS($C709-$E709*dbe_kdvOran)&lt;=toleransKurus,"MATRAH",IF($F709=1,"YUVARLAMA","TANIMSIZ"))))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IF($A710="","",IF($C710&lt;=dbe_yuvarlamaEsik,1,0))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IF(OR($A710="",$B710&lt;&gt;"tutar_farki"),"",IF(ABS($C710-$D710)&lt;=toleransKurus,"KDV_ORAN",IF(ABS($C710-$E710*dbe_kdvOran)&lt;=toleransKurus,"MATRAH",IF($F710=1,"YUVARLAMA","TANIMSIZ"))))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IF($A711="","",IF($C711&lt;=dbe_yuvarlamaEsik,1,0))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IF(OR($A711="",$B711&lt;&gt;"tutar_farki"),"",IF(ABS($C711-$D711)&lt;=toleransKurus,"KDV_ORAN",IF(ABS($C711-$E711*dbe_kdvOran)&lt;=toleransKurus,"MATRAH",IF($F711=1,"YUVARLAMA","TANIMSIZ"))))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IF($A712="","",IF($C712&lt;=dbe_yuvarlamaEsik,1,0))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IF(OR($A712="",$B712&lt;&gt;"tutar_farki"),"",IF(ABS($C712-$D712)&lt;=toleransKurus,"KDV_ORAN",IF(ABS($C712-$E712*dbe_kdvOran)&lt;=toleransKurus,"MATRAH",IF($F712=1,"YUVARLAMA","TANIMSIZ"))))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IF($A713="","",IF($C713&lt;=dbe_yuvarlamaEsik,1,0))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IF(OR($A713="",$B713&lt;&gt;"tutar_farki"),"",IF(ABS($C713-$D713)&lt;=toleransKurus,"KDV_ORAN",IF(ABS($C713-$E713*dbe_kdvOran)&lt;=toleransKurus,"MATRAH",IF($F713=1,"YUVARLAMA","TANIMSIZ"))))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IF($A714="","",IF($C714&lt;=dbe_yuvarlamaEsik,1,0))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IF(OR($A714="",$B714&lt;&gt;"tutar_farki"),"",IF(ABS($C714-$D714)&lt;=toleransKurus,"KDV_ORAN",IF(ABS($C714-$E714*dbe_kdvOran)&lt;=toleransKurus,"MATRAH",IF($F714=1,"YUVARLAMA","TANIMSIZ"))))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IF($A715="","",IF($C715&lt;=dbe_yuvarlamaEsik,1,0))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IF(OR($A715="",$B715&lt;&gt;"tutar_farki"),"",IF(ABS($C715-$D715)&lt;=toleransKurus,"KDV_ORAN",IF(ABS($C715-$E715*dbe_kdvOran)&lt;=toleransKurus,"MATRAH",IF($F715=1,"YUVARLAMA","TANIMSIZ"))))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IF($A716="","",IF($C716&lt;=dbe_yuvarlamaEsik,1,0))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IF(OR($A716="",$B716&lt;&gt;"tutar_farki"),"",IF(ABS($C716-$D716)&lt;=toleransKurus,"KDV_ORAN",IF(ABS($C716-$E716*dbe_kdvOran)&lt;=toleransKurus,"MATRAH",IF($F716=1,"YUVARLAMA","TANIMSIZ"))))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IF($A717="","",IF($C717&lt;=dbe_yuvarlamaEsik,1,0))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IF(OR($A717="",$B717&lt;&gt;"tutar_farki"),"",IF(ABS($C717-$D717)&lt;=toleransKurus,"KDV_ORAN",IF(ABS($C717-$E717*dbe_kdvOran)&lt;=toleransKurus,"MATRAH",IF($F717=1,"YUVARLAMA","TANIMSIZ"))))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IF($A718="","",IF($C718&lt;=dbe_yuvarlamaEsik,1,0))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IF(OR($A718="",$B718&lt;&gt;"tutar_farki"),"",IF(ABS($C718-$D718)&lt;=toleransKurus,"KDV_ORAN",IF(ABS($C718-$E718*dbe_kdvOran)&lt;=toleransKurus,"MATRAH",IF($F718=1,"YUVARLAMA","TANIMSIZ"))))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IF($A719="","",IF($C719&lt;=dbe_yuvarlamaEsik,1,0))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IF(OR($A719="",$B719&lt;&gt;"tutar_farki"),"",IF(ABS($C719-$D719)&lt;=toleransKurus,"KDV_ORAN",IF(ABS($C719-$E719*dbe_kdvOran)&lt;=toleransKurus,"MATRAH",IF($F719=1,"YUVARLAMA","TANIMSIZ"))))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IF($A720="","",IF($C720&lt;=dbe_yuvarlamaEsik,1,0))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IF(OR($A720="",$B720&lt;&gt;"tutar_farki"),"",IF(ABS($C720-$D720)&lt;=toleransKurus,"KDV_ORAN",IF(ABS($C720-$E720*dbe_kdvOran)&lt;=toleransKurus,"MATRAH",IF($F720=1,"YUVARLAMA","TANIMSIZ"))))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IF($A721="","",IF($C721&lt;=dbe_yuvarlamaEsik,1,0))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IF(OR($A721="",$B721&lt;&gt;"tutar_farki"),"",IF(ABS($C721-$D721)&lt;=toleransKurus,"KDV_ORAN",IF(ABS($C721-$E721*dbe_kdvOran)&lt;=toleransKurus,"MATRAH",IF($F721=1,"YUVARLAMA","TANIMSIZ"))))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IF($A722="","",IF($C722&lt;=dbe_yuvarlamaEsik,1,0))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IF(OR($A722="",$B722&lt;&gt;"tutar_farki"),"",IF(ABS($C722-$D722)&lt;=toleransKurus,"KDV_ORAN",IF(ABS($C722-$E722*dbe_kdvOran)&lt;=toleransKurus,"MATRAH",IF($F722=1,"YUVARLAMA","TANIMSIZ"))))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IF($A723="","",IF($C723&lt;=dbe_yuvarlamaEsik,1,0))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IF(OR($A723="",$B723&lt;&gt;"tutar_farki"),"",IF(ABS($C723-$D723)&lt;=toleransKurus,"KDV_ORAN",IF(ABS($C723-$E723*dbe_kdvOran)&lt;=toleransKurus,"MATRAH",IF($F723=1,"YUVARLAMA","TANIMSIZ"))))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IF($A724="","",IF($C724&lt;=dbe_yuvarlamaEsik,1,0))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IF(OR($A724="",$B724&lt;&gt;"tutar_farki"),"",IF(ABS($C724-$D724)&lt;=toleransKurus,"KDV_ORAN",IF(ABS($C724-$E724*dbe_kdvOran)&lt;=toleransKurus,"MATRAH",IF($F724=1,"YUVARLAMA","TANIMSIZ"))))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IF($A725="","",IF($C725&lt;=dbe_yuvarlamaEsik,1,0))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IF(OR($A725="",$B725&lt;&gt;"tutar_farki"),"",IF(ABS($C725-$D725)&lt;=toleransKurus,"KDV_ORAN",IF(ABS($C725-$E725*dbe_kdvOran)&lt;=toleransKurus,"MATRAH",IF($F725=1,"YUVARLAMA","TANIMSIZ"))))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IF($A726="","",IF($C726&lt;=dbe_yuvarlamaEsik,1,0))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IF(OR($A726="",$B726&lt;&gt;"tutar_farki"),"",IF(ABS($C726-$D726)&lt;=toleransKurus,"KDV_ORAN",IF(ABS($C726-$E726*dbe_kdvOran)&lt;=toleransKurus,"MATRAH",IF($F726=1,"YUVARLAMA","TANIMSIZ"))))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IF($A727="","",IF($C727&lt;=dbe_yuvarlamaEsik,1,0))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IF(OR($A727="",$B727&lt;&gt;"tutar_farki"),"",IF(ABS($C727-$D727)&lt;=toleransKurus,"KDV_ORAN",IF(ABS($C727-$E727*dbe_kdvOran)&lt;=toleransKurus,"MATRAH",IF($F727=1,"YUVARLAMA","TANIMSIZ"))))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IF($A728="","",IF($C728&lt;=dbe_yuvarlamaEsik,1,0))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IF(OR($A728="",$B728&lt;&gt;"tutar_farki"),"",IF(ABS($C728-$D728)&lt;=toleransKurus,"KDV_ORAN",IF(ABS($C728-$E728*dbe_kdvOran)&lt;=toleransKurus,"MATRAH",IF($F728=1,"YUVARLAMA","TANIMSIZ"))))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IF($A729="","",IF($C729&lt;=dbe_yuvarlamaEsik,1,0))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IF(OR($A729="",$B729&lt;&gt;"tutar_farki"),"",IF(ABS($C729-$D729)&lt;=toleransKurus,"KDV_ORAN",IF(ABS($C729-$E729*dbe_kdvOran)&lt;=toleransKurus,"MATRAH",IF($F729=1,"YUVARLAMA","TANIMSIZ"))))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IF($A730="","",IF($C730&lt;=dbe_yuvarlamaEsik,1,0))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IF(OR($A730="",$B730&lt;&gt;"tutar_farki"),"",IF(ABS($C730-$D730)&lt;=toleransKurus,"KDV_ORAN",IF(ABS($C730-$E730*dbe_kdvOran)&lt;=toleransKurus,"MATRAH",IF($F730=1,"YUVARLAMA","TANIMSIZ"))))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IF($A731="","",IF($C731&lt;=dbe_yuvarlamaEsik,1,0))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IF(OR($A731="",$B731&lt;&gt;"tutar_farki"),"",IF(ABS($C731-$D731)&lt;=toleransKurus,"KDV_ORAN",IF(ABS($C731-$E731*dbe_kdvOran)&lt;=toleransKurus,"MATRAH",IF($F731=1,"YUVARLAMA","TANIMSIZ"))))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IF($A732="","",IF($C732&lt;=dbe_yuvarlamaEsik,1,0))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IF(OR($A732="",$B732&lt;&gt;"tutar_farki"),"",IF(ABS($C732-$D732)&lt;=toleransKurus,"KDV_ORAN",IF(ABS($C732-$E732*dbe_kdvOran)&lt;=toleransKurus,"MATRAH",IF($F732=1,"YUVARLAMA","TANIMSIZ"))))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IF($A733="","",IF($C733&lt;=dbe_yuvarlamaEsik,1,0))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IF(OR($A733="",$B733&lt;&gt;"tutar_farki"),"",IF(ABS($C733-$D733)&lt;=toleransKurus,"KDV_ORAN",IF(ABS($C733-$E733*dbe_kdvOran)&lt;=toleransKurus,"MATRAH",IF($F733=1,"YUVARLAMA","TANIMSIZ"))))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IF($A734="","",IF($C734&lt;=dbe_yuvarlamaEsik,1,0))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IF(OR($A734="",$B734&lt;&gt;"tutar_farki"),"",IF(ABS($C734-$D734)&lt;=toleransKurus,"KDV_ORAN",IF(ABS($C734-$E734*dbe_kdvOran)&lt;=toleransKurus,"MATRAH",IF($F734=1,"YUVARLAMA","TANIMSIZ"))))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IF($A735="","",IF($C735&lt;=dbe_yuvarlamaEsik,1,0))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IF(OR($A735="",$B735&lt;&gt;"tutar_farki"),"",IF(ABS($C735-$D735)&lt;=toleransKurus,"KDV_ORAN",IF(ABS($C735-$E735*dbe_kdvOran)&lt;=toleransKurus,"MATRAH",IF($F735=1,"YUVARLAMA","TANIMSIZ"))))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IF($A736="","",IF($C736&lt;=dbe_yuvarlamaEsik,1,0))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IF(OR($A736="",$B736&lt;&gt;"tutar_farki"),"",IF(ABS($C736-$D736)&lt;=toleransKurus,"KDV_ORAN",IF(ABS($C736-$E736*dbe_kdvOran)&lt;=toleransKurus,"MATRAH",IF($F736=1,"YUVARLAMA","TANIMSIZ"))))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IF($A737="","",IF($C737&lt;=dbe_yuvarlamaEsik,1,0))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IF(OR($A737="",$B737&lt;&gt;"tutar_farki"),"",IF(ABS($C737-$D737)&lt;=toleransKurus,"KDV_ORAN",IF(ABS($C737-$E737*dbe_kdvOran)&lt;=toleransKurus,"MATRAH",IF($F737=1,"YUVARLAMA","TANIMSIZ"))))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IF($A738="","",IF($C738&lt;=dbe_yuvarlamaEsik,1,0))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IF(OR($A738="",$B738&lt;&gt;"tutar_farki"),"",IF(ABS($C738-$D738)&lt;=toleransKurus,"KDV_ORAN",IF(ABS($C738-$E738*dbe_kdvOran)&lt;=toleransKurus,"MATRAH",IF($F738=1,"YUVARLAMA","TANIMSIZ"))))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IF($A739="","",IF($C739&lt;=dbe_yuvarlamaEsik,1,0))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IF(OR($A739="",$B739&lt;&gt;"tutar_farki"),"",IF(ABS($C739-$D739)&lt;=toleransKurus,"KDV_ORAN",IF(ABS($C739-$E739*dbe_kdvOran)&lt;=toleransKurus,"MATRAH",IF($F739=1,"YUVARLAMA","TANIMSIZ"))))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IF($A740="","",IF($C740&lt;=dbe_yuvarlamaEsik,1,0))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IF(OR($A740="",$B740&lt;&gt;"tutar_farki"),"",IF(ABS($C740-$D740)&lt;=toleransKurus,"KDV_ORAN",IF(ABS($C740-$E740*dbe_kdvOran)&lt;=toleransKurus,"MATRAH",IF($F740=1,"YUVARLAMA","TANIMSIZ"))))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IF($A741="","",IF($C741&lt;=dbe_yuvarlamaEsik,1,0))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IF(OR($A741="",$B741&lt;&gt;"tutar_farki"),"",IF(ABS($C741-$D741)&lt;=toleransKurus,"KDV_ORAN",IF(ABS($C741-$E741*dbe_kdvOran)&lt;=toleransKurus,"MATRAH",IF($F741=1,"YUVARLAMA","TANIMSIZ"))))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IF($A742="","",IF($C742&lt;=dbe_yuvarlamaEsik,1,0))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IF(OR($A742="",$B742&lt;&gt;"tutar_farki"),"",IF(ABS($C742-$D742)&lt;=toleransKurus,"KDV_ORAN",IF(ABS($C742-$E742*dbe_kdvOran)&lt;=toleransKurus,"MATRAH",IF($F742=1,"YUVARLAMA","TANIMSIZ"))))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IF($A743="","",IF($C743&lt;=dbe_yuvarlamaEsik,1,0))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IF(OR($A743="",$B743&lt;&gt;"tutar_farki"),"",IF(ABS($C743-$D743)&lt;=toleransKurus,"KDV_ORAN",IF(ABS($C743-$E743*dbe_kdvOran)&lt;=toleransKurus,"MATRAH",IF($F743=1,"YUVARLAMA","TANIMSIZ"))))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IF($A744="","",IF($C744&lt;=dbe_yuvarlamaEsik,1,0))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IF(OR($A744="",$B744&lt;&gt;"tutar_farki"),"",IF(ABS($C744-$D744)&lt;=toleransKurus,"KDV_ORAN",IF(ABS($C744-$E744*dbe_kdvOran)&lt;=toleransKurus,"MATRAH",IF($F744=1,"YUVARLAMA","TANIMSIZ"))))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IF($A745="","",IF($C745&lt;=dbe_yuvarlamaEsik,1,0))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IF(OR($A745="",$B745&lt;&gt;"tutar_farki"),"",IF(ABS($C745-$D745)&lt;=toleransKurus,"KDV_ORAN",IF(ABS($C745-$E745*dbe_kdvOran)&lt;=toleransKurus,"MATRAH",IF($F745=1,"YUVARLAMA","TANIMSIZ"))))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IF($A746="","",IF($C746&lt;=dbe_yuvarlamaEsik,1,0))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IF(OR($A746="",$B746&lt;&gt;"tutar_farki"),"",IF(ABS($C746-$D746)&lt;=toleransKurus,"KDV_ORAN",IF(ABS($C746-$E746*dbe_kdvOran)&lt;=toleransKurus,"MATRAH",IF($F746=1,"YUVARLAMA","TANIMSIZ"))))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IF($A747="","",IF($C747&lt;=dbe_yuvarlamaEsik,1,0))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IF(OR($A747="",$B747&lt;&gt;"tutar_farki"),"",IF(ABS($C747-$D747)&lt;=toleransKurus,"KDV_ORAN",IF(ABS($C747-$E747*dbe_kdvOran)&lt;=toleransKurus,"MATRAH",IF($F747=1,"YUVARLAMA","TANIMSIZ"))))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IF($A748="","",IF($C748&lt;=dbe_yuvarlamaEsik,1,0))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IF(OR($A748="",$B748&lt;&gt;"tutar_farki"),"",IF(ABS($C748-$D748)&lt;=toleransKurus,"KDV_ORAN",IF(ABS($C748-$E748*dbe_kdvOran)&lt;=toleransKurus,"MATRAH",IF($F748=1,"YUVARLAMA","TANIMSIZ"))))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IF($A749="","",IF($C749&lt;=dbe_yuvarlamaEsik,1,0))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IF(OR($A749="",$B749&lt;&gt;"tutar_farki"),"",IF(ABS($C749-$D749)&lt;=toleransKurus,"KDV_ORAN",IF(ABS($C749-$E749*dbe_kdvOran)&lt;=toleransKurus,"MATRAH",IF($F749=1,"YUVARLAMA","TANIMSIZ"))))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IF($A750="","",IF($C750&lt;=dbe_yuvarlamaEsik,1,0))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IF(OR($A750="",$B750&lt;&gt;"tutar_farki"),"",IF(ABS($C750-$D750)&lt;=toleransKurus,"KDV_ORAN",IF(ABS($C750-$E750*dbe_kdvOran)&lt;=toleransKurus,"MATRAH",IF($F750=1,"YUVARLAMA","TANIMSIZ"))))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IF($A751="","",IF($C751&lt;=dbe_yuvarlamaEsik,1,0))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IF(OR($A751="",$B751&lt;&gt;"tutar_farki"),"",IF(ABS($C751-$D751)&lt;=toleransKurus,"KDV_ORAN",IF(ABS($C751-$E751*dbe_kdvOran)&lt;=toleransKurus,"MATRAH",IF($F751=1,"YUVARLAMA","TANIMSIZ"))))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IF($A752="","",IF($C752&lt;=dbe_yuvarlamaEsik,1,0))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IF(OR($A752="",$B752&lt;&gt;"tutar_farki"),"",IF(ABS($C752-$D752)&lt;=toleransKurus,"KDV_ORAN",IF(ABS($C752-$E752*dbe_kdvOran)&lt;=toleransKurus,"MATRAH",IF($F752=1,"YUVARLAMA","TANIMSIZ"))))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IF($A753="","",IF($C753&lt;=dbe_yuvarlamaEsik,1,0))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IF(OR($A753="",$B753&lt;&gt;"tutar_farki"),"",IF(ABS($C753-$D753)&lt;=toleransKurus,"KDV_ORAN",IF(ABS($C753-$E753*dbe_kdvOran)&lt;=toleransKurus,"MATRAH",IF($F753=1,"YUVARLAMA","TANIMSIZ"))))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IF($A754="","",IF($C754&lt;=dbe_yuvarlamaEsik,1,0))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IF(OR($A754="",$B754&lt;&gt;"tutar_farki"),"",IF(ABS($C754-$D754)&lt;=toleransKurus,"KDV_ORAN",IF(ABS($C754-$E754*dbe_kdvOran)&lt;=toleransKurus,"MATRAH",IF($F754=1,"YUVARLAMA","TANIMSIZ"))))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IF($A755="","",IF($C755&lt;=dbe_yuvarlamaEsik,1,0))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IF(OR($A755="",$B755&lt;&gt;"tutar_farki"),"",IF(ABS($C755-$D755)&lt;=toleransKurus,"KDV_ORAN",IF(ABS($C755-$E755*dbe_kdvOran)&lt;=toleransKurus,"MATRAH",IF($F755=1,"YUVARLAMA","TANIMSIZ"))))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IF($A756="","",IF($C756&lt;=dbe_yuvarlamaEsik,1,0))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IF(OR($A756="",$B756&lt;&gt;"tutar_farki"),"",IF(ABS($C756-$D756)&lt;=toleransKurus,"KDV_ORAN",IF(ABS($C756-$E756*dbe_kdvOran)&lt;=toleransKurus,"MATRAH",IF($F756=1,"YUVARLAMA","TANIMSIZ"))))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IF($A757="","",IF($C757&lt;=dbe_yuvarlamaEsik,1,0))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IF(OR($A757="",$B757&lt;&gt;"tutar_farki"),"",IF(ABS($C757-$D757)&lt;=toleransKurus,"KDV_ORAN",IF(ABS($C757-$E757*dbe_kdvOran)&lt;=toleransKurus,"MATRAH",IF($F757=1,"YUVARLAMA","TANIMSIZ"))))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IF($A758="","",IF($C758&lt;=dbe_yuvarlamaEsik,1,0))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IF(OR($A758="",$B758&lt;&gt;"tutar_farki"),"",IF(ABS($C758-$D758)&lt;=toleransKurus,"KDV_ORAN",IF(ABS($C758-$E758*dbe_kdvOran)&lt;=toleransKurus,"MATRAH",IF($F758=1,"YUVARLAMA","TANIMSIZ"))))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IF($A759="","",IF($C759&lt;=dbe_yuvarlamaEsik,1,0))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IF(OR($A759="",$B759&lt;&gt;"tutar_farki"),"",IF(ABS($C759-$D759)&lt;=toleransKurus,"KDV_ORAN",IF(ABS($C759-$E759*dbe_kdvOran)&lt;=toleransKurus,"MATRAH",IF($F759=1,"YUVARLAMA","TANIMSIZ"))))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IF($A760="","",IF($C760&lt;=dbe_yuvarlamaEsik,1,0))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IF(OR($A760="",$B760&lt;&gt;"tutar_farki"),"",IF(ABS($C760-$D760)&lt;=toleransKurus,"KDV_ORAN",IF(ABS($C760-$E760*dbe_kdvOran)&lt;=toleransKurus,"MATRAH",IF($F760=1,"YUVARLAMA","TANIMSIZ"))))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IF($A761="","",IF($C761&lt;=dbe_yuvarlamaEsik,1,0))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IF(OR($A761="",$B761&lt;&gt;"tutar_farki"),"",IF(ABS($C761-$D761)&lt;=toleransKurus,"KDV_ORAN",IF(ABS($C761-$E761*dbe_kdvOran)&lt;=toleransKurus,"MATRAH",IF($F761=1,"YUVARLAMA","TANIMSIZ"))))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IF($A762="","",IF($C762&lt;=dbe_yuvarlamaEsik,1,0))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IF(OR($A762="",$B762&lt;&gt;"tutar_farki"),"",IF(ABS($C762-$D762)&lt;=toleransKurus,"KDV_ORAN",IF(ABS($C762-$E762*dbe_kdvOran)&lt;=toleransKurus,"MATRAH",IF($F762=1,"YUVARLAMA","TANIMSIZ"))))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IF($A763="","",IF($C763&lt;=dbe_yuvarlamaEsik,1,0))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IF(OR($A763="",$B763&lt;&gt;"tutar_farki"),"",IF(ABS($C763-$D763)&lt;=toleransKurus,"KDV_ORAN",IF(ABS($C763-$E763*dbe_kdvOran)&lt;=toleransKurus,"MATRAH",IF($F763=1,"YUVARLAMA","TANIMSIZ"))))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IF($A764="","",IF($C764&lt;=dbe_yuvarlamaEsik,1,0))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IF(OR($A764="",$B764&lt;&gt;"tutar_farki"),"",IF(ABS($C764-$D764)&lt;=toleransKurus,"KDV_ORAN",IF(ABS($C764-$E764*dbe_kdvOran)&lt;=toleransKurus,"MATRAH",IF($F764=1,"YUVARLAMA","TANIMSIZ"))))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IF($A765="","",IF($C765&lt;=dbe_yuvarlamaEsik,1,0))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IF(OR($A765="",$B765&lt;&gt;"tutar_farki"),"",IF(ABS($C765-$D765)&lt;=toleransKurus,"KDV_ORAN",IF(ABS($C765-$E765*dbe_kdvOran)&lt;=toleransKurus,"MATRAH",IF($F765=1,"YUVARLAMA","TANIMSIZ"))))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IF($A766="","",IF($C766&lt;=dbe_yuvarlamaEsik,1,0))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IF(OR($A766="",$B766&lt;&gt;"tutar_farki"),"",IF(ABS($C766-$D766)&lt;=toleransKurus,"KDV_ORAN",IF(ABS($C766-$E766*dbe_kdvOran)&lt;=toleransKurus,"MATRAH",IF($F766=1,"YUVARLAMA","TANIMSIZ"))))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IF($A767="","",IF($C767&lt;=dbe_yuvarlamaEsik,1,0))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IF(OR($A767="",$B767&lt;&gt;"tutar_farki"),"",IF(ABS($C767-$D767)&lt;=toleransKurus,"KDV_ORAN",IF(ABS($C767-$E767*dbe_kdvOran)&lt;=toleransKurus,"MATRAH",IF($F767=1,"YUVARLAMA","TANIMSIZ"))))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IF($A768="","",IF($C768&lt;=dbe_yuvarlamaEsik,1,0))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IF(OR($A768="",$B768&lt;&gt;"tutar_farki"),"",IF(ABS($C768-$D768)&lt;=toleransKurus,"KDV_ORAN",IF(ABS($C768-$E768*dbe_kdvOran)&lt;=toleransKurus,"MATRAH",IF($F768=1,"YUVARLAMA","TANIMSIZ"))))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IF($A769="","",IF($C769&lt;=dbe_yuvarlamaEsik,1,0))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IF(OR($A769="",$B769&lt;&gt;"tutar_farki"),"",IF(ABS($C769-$D769)&lt;=toleransKurus,"KDV_ORAN",IF(ABS($C769-$E769*dbe_kdvOran)&lt;=toleransKurus,"MATRAH",IF($F769=1,"YUVARLAMA","TANIMSIZ"))))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IF($A770="","",IF($C770&lt;=dbe_yuvarlamaEsik,1,0))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IF(OR($A770="",$B770&lt;&gt;"tutar_farki"),"",IF(ABS($C770-$D770)&lt;=toleransKurus,"KDV_ORAN",IF(ABS($C770-$E770*dbe_kdvOran)&lt;=toleransKurus,"MATRAH",IF($F770=1,"YUVARLAMA","TANIMSIZ"))))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IF($A771="","",IF($C771&lt;=dbe_yuvarlamaEsik,1,0))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IF(OR($A771="",$B771&lt;&gt;"tutar_farki"),"",IF(ABS($C771-$D771)&lt;=toleransKurus,"KDV_ORAN",IF(ABS($C771-$E771*dbe_kdvOran)&lt;=toleransKurus,"MATRAH",IF($F771=1,"YUVARLAMA","TANIMSIZ"))))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IF($A772="","",IF($C772&lt;=dbe_yuvarlamaEsik,1,0))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IF(OR($A772="",$B772&lt;&gt;"tutar_farki"),"",IF(ABS($C772-$D772)&lt;=toleransKurus,"KDV_ORAN",IF(ABS($C772-$E772*dbe_kdvOran)&lt;=toleransKurus,"MATRAH",IF($F772=1,"YUVARLAMA","TANIMSIZ"))))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IF($A773="","",IF($C773&lt;=dbe_yuvarlamaEsik,1,0))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IF(OR($A773="",$B773&lt;&gt;"tutar_farki"),"",IF(ABS($C773-$D773)&lt;=toleransKurus,"KDV_ORAN",IF(ABS($C773-$E773*dbe_kdvOran)&lt;=toleransKurus,"MATRAH",IF($F773=1,"YUVARLAMA","TANIMSIZ"))))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IF($A774="","",IF($C774&lt;=dbe_yuvarlamaEsik,1,0))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IF(OR($A774="",$B774&lt;&gt;"tutar_farki"),"",IF(ABS($C774-$D774)&lt;=toleransKurus,"KDV_ORAN",IF(ABS($C774-$E774*dbe_kdvOran)&lt;=toleransKurus,"MATRAH",IF($F774=1,"YUVARLAMA","TANIMSIZ"))))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IF($A775="","",IF($C775&lt;=dbe_yuvarlamaEsik,1,0))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IF(OR($A775="",$B775&lt;&gt;"tutar_farki"),"",IF(ABS($C775-$D775)&lt;=toleransKurus,"KDV_ORAN",IF(ABS($C775-$E775*dbe_kdvOran)&lt;=toleransKurus,"MATRAH",IF($F775=1,"YUVARLAMA","TANIMSIZ"))))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IF($A776="","",IF($C776&lt;=dbe_yuvarlamaEsik,1,0))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IF(OR($A776="",$B776&lt;&gt;"tutar_farki"),"",IF(ABS($C776-$D776)&lt;=toleransKurus,"KDV_ORAN",IF(ABS($C776-$E776*dbe_kdvOran)&lt;=toleransKurus,"MATRAH",IF($F776=1,"YUVARLAMA","TANIMSIZ"))))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IF($A777="","",IF($C777&lt;=dbe_yuvarlamaEsik,1,0))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IF(OR($A777="",$B777&lt;&gt;"tutar_farki"),"",IF(ABS($C777-$D777)&lt;=toleransKurus,"KDV_ORAN",IF(ABS($C777-$E777*dbe_kdvOran)&lt;=toleransKurus,"MATRAH",IF($F777=1,"YUVARLAMA","TANIMSIZ"))))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IF($A778="","",IF($C778&lt;=dbe_yuvarlamaEsik,1,0))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IF(OR($A778="",$B778&lt;&gt;"tutar_farki"),"",IF(ABS($C778-$D778)&lt;=toleransKurus,"KDV_ORAN",IF(ABS($C778-$E778*dbe_kdvOran)&lt;=toleransKurus,"MATRAH",IF($F778=1,"YUVARLAMA","TANIMSIZ"))))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IF($A779="","",IF($C779&lt;=dbe_yuvarlamaEsik,1,0))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IF(OR($A779="",$B779&lt;&gt;"tutar_farki"),"",IF(ABS($C779-$D779)&lt;=toleransKurus,"KDV_ORAN",IF(ABS($C779-$E779*dbe_kdvOran)&lt;=toleransKurus,"MATRAH",IF($F779=1,"YUVARLAMA","TANIMSIZ"))))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IF($A780="","",IF($C780&lt;=dbe_yuvarlamaEsik,1,0))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IF(OR($A780="",$B780&lt;&gt;"tutar_farki"),"",IF(ABS($C780-$D780)&lt;=toleransKurus,"KDV_ORAN",IF(ABS($C780-$E780*dbe_kdvOran)&lt;=toleransKurus,"MATRAH",IF($F780=1,"YUVARLAMA","TANIMSIZ"))))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IF($A781="","",IF($C781&lt;=dbe_yuvarlamaEsik,1,0))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IF(OR($A781="",$B781&lt;&gt;"tutar_farki"),"",IF(ABS($C781-$D781)&lt;=toleransKurus,"KDV_ORAN",IF(ABS($C781-$E781*dbe_kdvOran)&lt;=toleransKurus,"MATRAH",IF($F781=1,"YUVARLAMA","TANIMSIZ"))))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IF($A782="","",IF($C782&lt;=dbe_yuvarlamaEsik,1,0))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IF(OR($A782="",$B782&lt;&gt;"tutar_farki"),"",IF(ABS($C782-$D782)&lt;=toleransKurus,"KDV_ORAN",IF(ABS($C782-$E782*dbe_kdvOran)&lt;=toleransKurus,"MATRAH",IF($F782=1,"YUVARLAMA","TANIMSIZ"))))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IF($A783="","",IF($C783&lt;=dbe_yuvarlamaEsik,1,0))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IF(OR($A783="",$B783&lt;&gt;"tutar_farki"),"",IF(ABS($C783-$D783)&lt;=toleransKurus,"KDV_ORAN",IF(ABS($C783-$E783*dbe_kdvOran)&lt;=toleransKurus,"MATRAH",IF($F783=1,"YUVARLAMA","TANIMSIZ"))))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IF($A784="","",IF($C784&lt;=dbe_yuvarlamaEsik,1,0))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IF(OR($A784="",$B784&lt;&gt;"tutar_farki"),"",IF(ABS($C784-$D784)&lt;=toleransKurus,"KDV_ORAN",IF(ABS($C784-$E784*dbe_kdvOran)&lt;=toleransKurus,"MATRAH",IF($F784=1,"YUVARLAMA","TANIMSIZ"))))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IF($A785="","",IF($C785&lt;=dbe_yuvarlamaEsik,1,0))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IF(OR($A785="",$B785&lt;&gt;"tutar_farki"),"",IF(ABS($C785-$D785)&lt;=toleransKurus,"KDV_ORAN",IF(ABS($C785-$E785*dbe_kdvOran)&lt;=toleransKurus,"MATRAH",IF($F785=1,"YUVARLAMA","TANIMSIZ"))))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IF($A786="","",IF($C786&lt;=dbe_yuvarlamaEsik,1,0))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IF(OR($A786="",$B786&lt;&gt;"tutar_farki"),"",IF(ABS($C786-$D786)&lt;=toleransKurus,"KDV_ORAN",IF(ABS($C786-$E786*dbe_kdvOran)&lt;=toleransKurus,"MATRAH",IF($F786=1,"YUVARLAMA","TANIMSIZ"))))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IF($A787="","",IF($C787&lt;=dbe_yuvarlamaEsik,1,0))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IF(OR($A787="",$B787&lt;&gt;"tutar_farki"),"",IF(ABS($C787-$D787)&lt;=toleransKurus,"KDV_ORAN",IF(ABS($C787-$E787*dbe_kdvOran)&lt;=toleransKurus,"MATRAH",IF($F787=1,"YUVARLAMA","TANIMSIZ"))))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IF($A788="","",IF($C788&lt;=dbe_yuvarlamaEsik,1,0))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IF(OR($A788="",$B788&lt;&gt;"tutar_farki"),"",IF(ABS($C788-$D788)&lt;=toleransKurus,"KDV_ORAN",IF(ABS($C788-$E788*dbe_kdvOran)&lt;=toleransKurus,"MATRAH",IF($F788=1,"YUVARLAMA","TANIMSIZ"))))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IF($A789="","",IF($C789&lt;=dbe_yuvarlamaEsik,1,0))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IF(OR($A789="",$B789&lt;&gt;"tutar_farki"),"",IF(ABS($C789-$D789)&lt;=toleransKurus,"KDV_ORAN",IF(ABS($C789-$E789*dbe_kdvOran)&lt;=toleransKurus,"MATRAH",IF($F789=1,"YUVARLAMA","TANIMSIZ"))))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IF($A790="","",IF($C790&lt;=dbe_yuvarlamaEsik,1,0))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IF(OR($A790="",$B790&lt;&gt;"tutar_farki"),"",IF(ABS($C790-$D790)&lt;=toleransKurus,"KDV_ORAN",IF(ABS($C790-$E790*dbe_kdvOran)&lt;=toleransKurus,"MATRAH",IF($F790=1,"YUVARLAMA","TANIMSIZ"))))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IF($A791="","",IF($C791&lt;=dbe_yuvarlamaEsik,1,0))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IF(OR($A791="",$B791&lt;&gt;"tutar_farki"),"",IF(ABS($C791-$D791)&lt;=toleransKurus,"KDV_ORAN",IF(ABS($C791-$E791*dbe_kdvOran)&lt;=toleransKurus,"MATRAH",IF($F791=1,"YUVARLAMA","TANIMSIZ"))))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IF($A792="","",IF($C792&lt;=dbe_yuvarlamaEsik,1,0))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IF(OR($A792="",$B792&lt;&gt;"tutar_farki"),"",IF(ABS($C792-$D792)&lt;=toleransKurus,"KDV_ORAN",IF(ABS($C792-$E792*dbe_kdvOran)&lt;=toleransKurus,"MATRAH",IF($F792=1,"YUVARLAMA","TANIMSIZ"))))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IF($A793="","",IF($C793&lt;=dbe_yuvarlamaEsik,1,0))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IF(OR($A793="",$B793&lt;&gt;"tutar_farki"),"",IF(ABS($C793-$D793)&lt;=toleransKurus,"KDV_ORAN",IF(ABS($C793-$E793*dbe_kdvOran)&lt;=toleransKurus,"MATRAH",IF($F793=1,"YUVARLAMA","TANIMSIZ"))))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IF($A794="","",IF($C794&lt;=dbe_yuvarlamaEsik,1,0))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IF(OR($A794="",$B794&lt;&gt;"tutar_farki"),"",IF(ABS($C794-$D794)&lt;=toleransKurus,"KDV_ORAN",IF(ABS($C794-$E794*dbe_kdvOran)&lt;=toleransKurus,"MATRAH",IF($F794=1,"YUVARLAMA","TANIMSIZ"))))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IF($A795="","",IF($C795&lt;=dbe_yuvarlamaEsik,1,0))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IF(OR($A795="",$B795&lt;&gt;"tutar_farki"),"",IF(ABS($C795-$D795)&lt;=toleransKurus,"KDV_ORAN",IF(ABS($C795-$E795*dbe_kdvOran)&lt;=toleransKurus,"MATRAH",IF($F795=1,"YUVARLAMA","TANIMSIZ"))))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IF($A796="","",IF($C796&lt;=dbe_yuvarlamaEsik,1,0))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IF(OR($A796="",$B796&lt;&gt;"tutar_farki"),"",IF(ABS($C796-$D796)&lt;=toleransKurus,"KDV_ORAN",IF(ABS($C796-$E796*dbe_kdvOran)&lt;=toleransKurus,"MATRAH",IF($F796=1,"YUVARLAMA","TANIMSIZ"))))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IF($A797="","",IF($C797&lt;=dbe_yuvarlamaEsik,1,0))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IF(OR($A797="",$B797&lt;&gt;"tutar_farki"),"",IF(ABS($C797-$D797)&lt;=toleransKurus,"KDV_ORAN",IF(ABS($C797-$E797*dbe_kdvOran)&lt;=toleransKurus,"MATRAH",IF($F797=1,"YUVARLAMA","TANIMSIZ"))))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IF($A798="","",IF($C798&lt;=dbe_yuvarlamaEsik,1,0))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IF(OR($A798="",$B798&lt;&gt;"tutar_farki"),"",IF(ABS($C798-$D798)&lt;=toleransKurus,"KDV_ORAN",IF(ABS($C798-$E798*dbe_kdvOran)&lt;=toleransKurus,"MATRAH",IF($F798=1,"YUVARLAMA","TANIMSIZ"))))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IF($A799="","",IF($C799&lt;=dbe_yuvarlamaEsik,1,0))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IF(OR($A799="",$B799&lt;&gt;"tutar_farki"),"",IF(ABS($C799-$D799)&lt;=toleransKurus,"KDV_ORAN",IF(ABS($C799-$E799*dbe_kdvOran)&lt;=toleransKurus,"MATRAH",IF($F799=1,"YUVARLAMA","TANIMSIZ"))))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IF($A800="","",IF($C800&lt;=dbe_yuvarlamaEsik,1,0))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IF(OR($A800="",$B800&lt;&gt;"tutar_farki"),"",IF(ABS($C800-$D800)&lt;=toleransKurus,"KDV_ORAN",IF(ABS($C800-$E800*dbe_kdvOran)&lt;=toleransKurus,"MATRAH",IF($F800=1,"YUVARLAMA","TANIMSIZ"))))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IF($A801="","",IF($C801&lt;=dbe_yuvarlamaEsik,1,0))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IF(OR($A801="",$B801&lt;&gt;"tutar_farki"),"",IF(ABS($C801-$D801)&lt;=toleransKurus,"KDV_ORAN",IF(ABS($C801-$E801*dbe_kdvOran)&lt;=toleransKurus,"MATRAH",IF($F801=1,"YUVARLAMA","TANIMSIZ"))))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IF($A802="","",IF($C802&lt;=dbe_yuvarlamaEsik,1,0))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IF(OR($A802="",$B802&lt;&gt;"tutar_farki"),"",IF(ABS($C802-$D802)&lt;=toleransKurus,"KDV_ORAN",IF(ABS($C802-$E802*dbe_kdvOran)&lt;=toleransKurus,"MATRAH",IF($F802=1,"YUVARLAMA","TANIMSIZ"))))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IF($A803="","",IF($C803&lt;=dbe_yuvarlamaEsik,1,0))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IF(OR($A803="",$B803&lt;&gt;"tutar_farki"),"",IF(ABS($C803-$D803)&lt;=toleransKurus,"KDV_ORAN",IF(ABS($C803-$E803*dbe_kdvOran)&lt;=toleransKurus,"MATRAH",IF($F803=1,"YUVARLAMA","TANIMSIZ"))))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IF($A804="","",IF($C804&lt;=dbe_yuvarlamaEsik,1,0))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IF(OR($A804="",$B804&lt;&gt;"tutar_farki"),"",IF(ABS($C804-$D804)&lt;=toleransKurus,"KDV_ORAN",IF(ABS($C804-$E804*dbe_kdvOran)&lt;=toleransKurus,"MATRAH",IF($F804=1,"YUVARLAMA","TANIMSIZ"))))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IF($A805="","",IF($C805&lt;=dbe_yuvarlamaEsik,1,0))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IF(OR($A805="",$B805&lt;&gt;"tutar_farki"),"",IF(ABS($C805-$D805)&lt;=toleransKurus,"KDV_ORAN",IF(ABS($C805-$E805*dbe_kdvOran)&lt;=toleransKurus,"MATRAH",IF($F805=1,"YUVARLAMA","TANIMSIZ"))))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IF($A806="","",IF($C806&lt;=dbe_yuvarlamaEsik,1,0))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IF(OR($A806="",$B806&lt;&gt;"tutar_farki"),"",IF(ABS($C806-$D806)&lt;=toleransKurus,"KDV_ORAN",IF(ABS($C806-$E806*dbe_kdvOran)&lt;=toleransKurus,"MATRAH",IF($F806=1,"YUVARLAMA","TANIMSIZ"))))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IF($A807="","",IF($C807&lt;=dbe_yuvarlamaEsik,1,0))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IF(OR($A807="",$B807&lt;&gt;"tutar_farki"),"",IF(ABS($C807-$D807)&lt;=toleransKurus,"KDV_ORAN",IF(ABS($C807-$E807*dbe_kdvOran)&lt;=toleransKurus,"MATRAH",IF($F807=1,"YUVARLAMA","TANIMSIZ"))))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IF($A808="","",IF($C808&lt;=dbe_yuvarlamaEsik,1,0))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IF(OR($A808="",$B808&lt;&gt;"tutar_farki"),"",IF(ABS($C808-$D808)&lt;=toleransKurus,"KDV_ORAN",IF(ABS($C808-$E808*dbe_kdvOran)&lt;=toleransKurus,"MATRAH",IF($F808=1,"YUVARLAMA","TANIMSIZ"))))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IF($A809="","",IF($C809&lt;=dbe_yuvarlamaEsik,1,0))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IF(OR($A809="",$B809&lt;&gt;"tutar_farki"),"",IF(ABS($C809-$D809)&lt;=toleransKurus,"KDV_ORAN",IF(ABS($C809-$E809*dbe_kdvOran)&lt;=toleransKurus,"MATRAH",IF($F809=1,"YUVARLAMA","TANIMSIZ"))))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IF($A810="","",IF($C810&lt;=dbe_yuvarlamaEsik,1,0))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IF(OR($A810="",$B810&lt;&gt;"tutar_farki"),"",IF(ABS($C810-$D810)&lt;=toleransKurus,"KDV_ORAN",IF(ABS($C810-$E810*dbe_kdvOran)&lt;=toleransKurus,"MATRAH",IF($F810=1,"YUVARLAMA","TANIMSIZ"))))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IF($A811="","",IF($C811&lt;=dbe_yuvarlamaEsik,1,0))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IF(OR($A811="",$B811&lt;&gt;"tutar_farki"),"",IF(ABS($C811-$D811)&lt;=toleransKurus,"KDV_ORAN",IF(ABS($C811-$E811*dbe_kdvOran)&lt;=toleransKurus,"MATRAH",IF($F811=1,"YUVARLAMA","TANIMSIZ"))))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IF($A812="","",IF($C812&lt;=dbe_yuvarlamaEsik,1,0))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IF(OR($A812="",$B812&lt;&gt;"tutar_farki"),"",IF(ABS($C812-$D812)&lt;=toleransKurus,"KDV_ORAN",IF(ABS($C812-$E812*dbe_kdvOran)&lt;=toleransKurus,"MATRAH",IF($F812=1,"YUVARLAMA","TANIMSIZ"))))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IF($A813="","",IF($C813&lt;=dbe_yuvarlamaEsik,1,0))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IF(OR($A813="",$B813&lt;&gt;"tutar_farki"),"",IF(ABS($C813-$D813)&lt;=toleransKurus,"KDV_ORAN",IF(ABS($C813-$E813*dbe_kdvOran)&lt;=toleransKurus,"MATRAH",IF($F813=1,"YUVARLAMA","TANIMSIZ"))))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IF($A814="","",IF($C814&lt;=dbe_yuvarlamaEsik,1,0))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IF(OR($A814="",$B814&lt;&gt;"tutar_farki"),"",IF(ABS($C814-$D814)&lt;=toleransKurus,"KDV_ORAN",IF(ABS($C814-$E814*dbe_kdvOran)&lt;=toleransKurus,"MATRAH",IF($F814=1,"YUVARLAMA","TANIMSIZ"))))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IF($A815="","",IF($C815&lt;=dbe_yuvarlamaEsik,1,0))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IF(OR($A815="",$B815&lt;&gt;"tutar_farki"),"",IF(ABS($C815-$D815)&lt;=toleransKurus,"KDV_ORAN",IF(ABS($C815-$E815*dbe_kdvOran)&lt;=toleransKurus,"MATRAH",IF($F815=1,"YUVARLAMA","TANIMSIZ"))))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IF($A816="","",IF($C816&lt;=dbe_yuvarlamaEsik,1,0))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IF(OR($A816="",$B816&lt;&gt;"tutar_farki"),"",IF(ABS($C816-$D816)&lt;=toleransKurus,"KDV_ORAN",IF(ABS($C816-$E816*dbe_kdvOran)&lt;=toleransKurus,"MATRAH",IF($F816=1,"YUVARLAMA","TANIMSIZ"))))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IF($A817="","",IF($C817&lt;=dbe_yuvarlamaEsik,1,0))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IF(OR($A817="",$B817&lt;&gt;"tutar_farki"),"",IF(ABS($C817-$D817)&lt;=toleransKurus,"KDV_ORAN",IF(ABS($C817-$E817*dbe_kdvOran)&lt;=toleransKurus,"MATRAH",IF($F817=1,"YUVARLAMA","TANIMSIZ"))))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IF($A818="","",IF($C818&lt;=dbe_yuvarlamaEsik,1,0))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IF(OR($A818="",$B818&lt;&gt;"tutar_farki"),"",IF(ABS($C818-$D818)&lt;=toleransKurus,"KDV_ORAN",IF(ABS($C818-$E818*dbe_kdvOran)&lt;=toleransKurus,"MATRAH",IF($F818=1,"YUVARLAMA","TANIMSIZ"))))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IF($A819="","",IF($C819&lt;=dbe_yuvarlamaEsik,1,0))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IF(OR($A819="",$B819&lt;&gt;"tutar_farki"),"",IF(ABS($C819-$D819)&lt;=toleransKurus,"KDV_ORAN",IF(ABS($C819-$E819*dbe_kdvOran)&lt;=toleransKurus,"MATRAH",IF($F819=1,"YUVARLAMA","TANIMSIZ"))))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IF($A820="","",IF($C820&lt;=dbe_yuvarlamaEsik,1,0))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IF(OR($A820="",$B820&lt;&gt;"tutar_farki"),"",IF(ABS($C820-$D820)&lt;=toleransKurus,"KDV_ORAN",IF(ABS($C820-$E820*dbe_kdvOran)&lt;=toleransKurus,"MATRAH",IF($F820=1,"YUVARLAMA","TANIMSIZ"))))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IF($A821="","",IF($C821&lt;=dbe_yuvarlamaEsik,1,0))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IF(OR($A821="",$B821&lt;&gt;"tutar_farki"),"",IF(ABS($C821-$D821)&lt;=toleransKurus,"KDV_ORAN",IF(ABS($C821-$E821*dbe_kdvOran)&lt;=toleransKurus,"MATRAH",IF($F821=1,"YUVARLAMA","TANIMSIZ"))))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IF($A822="","",IF($C822&lt;=dbe_yuvarlamaEsik,1,0))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IF(OR($A822="",$B822&lt;&gt;"tutar_farki"),"",IF(ABS($C822-$D822)&lt;=toleransKurus,"KDV_ORAN",IF(ABS($C822-$E822*dbe_kdvOran)&lt;=toleransKurus,"MATRAH",IF($F822=1,"YUVARLAMA","TANIMSIZ"))))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IF($A823="","",IF($C823&lt;=dbe_yuvarlamaEsik,1,0))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IF(OR($A823="",$B823&lt;&gt;"tutar_farki"),"",IF(ABS($C823-$D823)&lt;=toleransKurus,"KDV_ORAN",IF(ABS($C823-$E823*dbe_kdvOran)&lt;=toleransKurus,"MATRAH",IF($F823=1,"YUVARLAMA","TANIMSIZ"))))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IF($A824="","",IF($C824&lt;=dbe_yuvarlamaEsik,1,0))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IF(OR($A824="",$B824&lt;&gt;"tutar_farki"),"",IF(ABS($C824-$D824)&lt;=toleransKurus,"KDV_ORAN",IF(ABS($C824-$E824*dbe_kdvOran)&lt;=toleransKurus,"MATRAH",IF($F824=1,"YUVARLAMA","TANIMSIZ"))))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IF($A825="","",IF($C825&lt;=dbe_yuvarlamaEsik,1,0))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IF(OR($A825="",$B825&lt;&gt;"tutar_farki"),"",IF(ABS($C825-$D825)&lt;=toleransKurus,"KDV_ORAN",IF(ABS($C825-$E825*dbe_kdvOran)&lt;=toleransKurus,"MATRAH",IF($F825=1,"YUVARLAMA","TANIMSIZ"))))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IF($A826="","",IF($C826&lt;=dbe_yuvarlamaEsik,1,0))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IF(OR($A826="",$B826&lt;&gt;"tutar_farki"),"",IF(ABS($C826-$D826)&lt;=toleransKurus,"KDV_ORAN",IF(ABS($C826-$E826*dbe_kdvOran)&lt;=toleransKurus,"MATRAH",IF($F826=1,"YUVARLAMA","TANIMSIZ"))))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IF($A827="","",IF($C827&lt;=dbe_yuvarlamaEsik,1,0))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IF(OR($A827="",$B827&lt;&gt;"tutar_farki"),"",IF(ABS($C827-$D827)&lt;=toleransKurus,"KDV_ORAN",IF(ABS($C827-$E827*dbe_kdvOran)&lt;=toleransKurus,"MATRAH",IF($F827=1,"YUVARLAMA","TANIMSIZ"))))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IF($A828="","",IF($C828&lt;=dbe_yuvarlamaEsik,1,0))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IF(OR($A828="",$B828&lt;&gt;"tutar_farki"),"",IF(ABS($C828-$D828)&lt;=toleransKurus,"KDV_ORAN",IF(ABS($C828-$E828*dbe_kdvOran)&lt;=toleransKurus,"MATRAH",IF($F828=1,"YUVARLAMA","TANIMSIZ"))))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IF($A829="","",IF($C829&lt;=dbe_yuvarlamaEsik,1,0))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IF(OR($A829="",$B829&lt;&gt;"tutar_farki"),"",IF(ABS($C829-$D829)&lt;=toleransKurus,"KDV_ORAN",IF(ABS($C829-$E829*dbe_kdvOran)&lt;=toleransKurus,"MATRAH",IF($F829=1,"YUVARLAMA","TANIMSIZ"))))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IF($A830="","",IF($C830&lt;=dbe_yuvarlamaEsik,1,0))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IF(OR($A830="",$B830&lt;&gt;"tutar_farki"),"",IF(ABS($C830-$D830)&lt;=toleransKurus,"KDV_ORAN",IF(ABS($C830-$E830*dbe_kdvOran)&lt;=toleransKurus,"MATRAH",IF($F830=1,"YUVARLAMA","TANIMSIZ"))))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IF($A831="","",IF($C831&lt;=dbe_yuvarlamaEsik,1,0))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IF(OR($A831="",$B831&lt;&gt;"tutar_farki"),"",IF(ABS($C831-$D831)&lt;=toleransKurus,"KDV_ORAN",IF(ABS($C831-$E831*dbe_kdvOran)&lt;=toleransKurus,"MATRAH",IF($F831=1,"YUVARLAMA","TANIMSIZ"))))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IF($A832="","",IF($C832&lt;=dbe_yuvarlamaEsik,1,0))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IF(OR($A832="",$B832&lt;&gt;"tutar_farki"),"",IF(ABS($C832-$D832)&lt;=toleransKurus,"KDV_ORAN",IF(ABS($C832-$E832*dbe_kdvOran)&lt;=toleransKurus,"MATRAH",IF($F832=1,"YUVARLAMA","TANIMSIZ"))))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IF($A833="","",IF($C833&lt;=dbe_yuvarlamaEsik,1,0))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IF(OR($A833="",$B833&lt;&gt;"tutar_farki"),"",IF(ABS($C833-$D833)&lt;=toleransKurus,"KDV_ORAN",IF(ABS($C833-$E833*dbe_kdvOran)&lt;=toleransKurus,"MATRAH",IF($F833=1,"YUVARLAMA","TANIMSIZ"))))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IF($A834="","",IF($C834&lt;=dbe_yuvarlamaEsik,1,0))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IF(OR($A834="",$B834&lt;&gt;"tutar_farki"),"",IF(ABS($C834-$D834)&lt;=toleransKurus,"KDV_ORAN",IF(ABS($C834-$E834*dbe_kdvOran)&lt;=toleransKurus,"MATRAH",IF($F834=1,"YUVARLAMA","TANIMSIZ"))))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IF($A835="","",IF($C835&lt;=dbe_yuvarlamaEsik,1,0))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IF(OR($A835="",$B835&lt;&gt;"tutar_farki"),"",IF(ABS($C835-$D835)&lt;=toleransKurus,"KDV_ORAN",IF(ABS($C835-$E835*dbe_kdvOran)&lt;=toleransKurus,"MATRAH",IF($F835=1,"YUVARLAMA","TANIMSIZ"))))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IF($A836="","",IF($C836&lt;=dbe_yuvarlamaEsik,1,0))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IF(OR($A836="",$B836&lt;&gt;"tutar_farki"),"",IF(ABS($C836-$D836)&lt;=toleransKurus,"KDV_ORAN",IF(ABS($C836-$E836*dbe_kdvOran)&lt;=toleransKurus,"MATRAH",IF($F836=1,"YUVARLAMA","TANIMSIZ"))))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IF($A837="","",IF($C837&lt;=dbe_yuvarlamaEsik,1,0))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IF(OR($A837="",$B837&lt;&gt;"tutar_farki"),"",IF(ABS($C837-$D837)&lt;=toleransKurus,"KDV_ORAN",IF(ABS($C837-$E837*dbe_kdvOran)&lt;=toleransKurus,"MATRAH",IF($F837=1,"YUVARLAMA","TANIMSIZ"))))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IF($A838="","",IF($C838&lt;=dbe_yuvarlamaEsik,1,0))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IF(OR($A838="",$B838&lt;&gt;"tutar_farki"),"",IF(ABS($C838-$D838)&lt;=toleransKurus,"KDV_ORAN",IF(ABS($C838-$E838*dbe_kdvOran)&lt;=toleransKurus,"MATRAH",IF($F838=1,"YUVARLAMA","TANIMSIZ"))))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IF($A839="","",IF($C839&lt;=dbe_yuvarlamaEsik,1,0))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IF(OR($A839="",$B839&lt;&gt;"tutar_farki"),"",IF(ABS($C839-$D839)&lt;=toleransKurus,"KDV_ORAN",IF(ABS($C839-$E839*dbe_kdvOran)&lt;=toleransKurus,"MATRAH",IF($F839=1,"YUVARLAMA","TANIMSIZ"))))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IF($A840="","",IF($C840&lt;=dbe_yuvarlamaEsik,1,0))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IF(OR($A840="",$B840&lt;&gt;"tutar_farki"),"",IF(ABS($C840-$D840)&lt;=toleransKurus,"KDV_ORAN",IF(ABS($C840-$E840*dbe_kdvOran)&lt;=toleransKurus,"MATRAH",IF($F840=1,"YUVARLAMA","TANIMSIZ"))))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IF($A841="","",IF($C841&lt;=dbe_yuvarlamaEsik,1,0))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IF(OR($A841="",$B841&lt;&gt;"tutar_farki"),"",IF(ABS($C841-$D841)&lt;=toleransKurus,"KDV_ORAN",IF(ABS($C841-$E841*dbe_kdvOran)&lt;=toleransKurus,"MATRAH",IF($F841=1,"YUVARLAMA","TANIMSIZ"))))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IF($A842="","",IF($C842&lt;=dbe_yuvarlamaEsik,1,0))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IF(OR($A842="",$B842&lt;&gt;"tutar_farki"),"",IF(ABS($C842-$D842)&lt;=toleransKurus,"KDV_ORAN",IF(ABS($C842-$E842*dbe_kdvOran)&lt;=toleransKurus,"MATRAH",IF($F842=1,"YUVARLAMA","TANIMSIZ"))))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IF($A843="","",IF($C843&lt;=dbe_yuvarlamaEsik,1,0))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IF(OR($A843="",$B843&lt;&gt;"tutar_farki"),"",IF(ABS($C843-$D843)&lt;=toleransKurus,"KDV_ORAN",IF(ABS($C843-$E843*dbe_kdvOran)&lt;=toleransKurus,"MATRAH",IF($F843=1,"YUVARLAMA","TANIMSIZ"))))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IF($A844="","",IF($C844&lt;=dbe_yuvarlamaEsik,1,0))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IF(OR($A844="",$B844&lt;&gt;"tutar_farki"),"",IF(ABS($C844-$D844)&lt;=toleransKurus,"KDV_ORAN",IF(ABS($C844-$E844*dbe_kdvOran)&lt;=toleransKurus,"MATRAH",IF($F844=1,"YUVARLAMA","TANIMSIZ"))))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IF($A845="","",IF($C845&lt;=dbe_yuvarlamaEsik,1,0))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IF(OR($A845="",$B845&lt;&gt;"tutar_farki"),"",IF(ABS($C845-$D845)&lt;=toleransKurus,"KDV_ORAN",IF(ABS($C845-$E845*dbe_kdvOran)&lt;=toleransKurus,"MATRAH",IF($F845=1,"YUVARLAMA","TANIMSIZ"))))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IF($A846="","",IF($C846&lt;=dbe_yuvarlamaEsik,1,0))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IF(OR($A846="",$B846&lt;&gt;"tutar_farki"),"",IF(ABS($C846-$D846)&lt;=toleransKurus,"KDV_ORAN",IF(ABS($C846-$E846*dbe_kdvOran)&lt;=toleransKurus,"MATRAH",IF($F846=1,"YUVARLAMA","TANIMSIZ"))))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IF($A847="","",IF($C847&lt;=dbe_yuvarlamaEsik,1,0))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IF(OR($A847="",$B847&lt;&gt;"tutar_farki"),"",IF(ABS($C847-$D847)&lt;=toleransKurus,"KDV_ORAN",IF(ABS($C847-$E847*dbe_kdvOran)&lt;=toleransKurus,"MATRAH",IF($F847=1,"YUVARLAMA","TANIMSIZ"))))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IF($A848="","",IF($C848&lt;=dbe_yuvarlamaEsik,1,0))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IF(OR($A848="",$B848&lt;&gt;"tutar_farki"),"",IF(ABS($C848-$D848)&lt;=toleransKurus,"KDV_ORAN",IF(ABS($C848-$E848*dbe_kdvOran)&lt;=toleransKurus,"MATRAH",IF($F848=1,"YUVARLAMA","TANIMSIZ"))))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IF($A849="","",IF($C849&lt;=dbe_yuvarlamaEsik,1,0))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IF(OR($A849="",$B849&lt;&gt;"tutar_farki"),"",IF(ABS($C849-$D849)&lt;=toleransKurus,"KDV_ORAN",IF(ABS($C849-$E849*dbe_kdvOran)&lt;=toleransKurus,"MATRAH",IF($F849=1,"YUVARLAMA","TANIMSIZ"))))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IF($A850="","",IF($C850&lt;=dbe_yuvarlamaEsik,1,0))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IF(OR($A850="",$B850&lt;&gt;"tutar_farki"),"",IF(ABS($C850-$D850)&lt;=toleransKurus,"KDV_ORAN",IF(ABS($C850-$E850*dbe_kdvOran)&lt;=toleransKurus,"MATRAH",IF($F850=1,"YUVARLAMA","TANIMSIZ"))))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IF($A851="","",IF($C851&lt;=dbe_yuvarlamaEsik,1,0))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IF(OR($A851="",$B851&lt;&gt;"tutar_farki"),"",IF(ABS($C851-$D851)&lt;=toleransKurus,"KDV_ORAN",IF(ABS($C851-$E851*dbe_kdvOran)&lt;=toleransKurus,"MATRAH",IF($F851=1,"YUVARLAMA","TANIMSIZ"))))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IF($A852="","",IF($C852&lt;=dbe_yuvarlamaEsik,1,0))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IF(OR($A852="",$B852&lt;&gt;"tutar_farki"),"",IF(ABS($C852-$D852)&lt;=toleransKurus,"KDV_ORAN",IF(ABS($C852-$E852*dbe_kdvOran)&lt;=toleransKurus,"MATRAH",IF($F852=1,"YUVARLAMA","TANIMSIZ"))))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IF($A853="","",IF($C853&lt;=dbe_yuvarlamaEsik,1,0))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IF(OR($A853="",$B853&lt;&gt;"tutar_farki"),"",IF(ABS($C853-$D853)&lt;=toleransKurus,"KDV_ORAN",IF(ABS($C853-$E853*dbe_kdvOran)&lt;=toleransKurus,"MATRAH",IF($F853=1,"YUVARLAMA","TANIMSIZ"))))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IF($A854="","",IF($C854&lt;=dbe_yuvarlamaEsik,1,0))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IF(OR($A854="",$B854&lt;&gt;"tutar_farki"),"",IF(ABS($C854-$D854)&lt;=toleransKurus,"KDV_ORAN",IF(ABS($C854-$E854*dbe_kdvOran)&lt;=toleransKurus,"MATRAH",IF($F854=1,"YUVARLAMA","TANIMSIZ"))))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IF($A855="","",IF($C855&lt;=dbe_yuvarlamaEsik,1,0))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IF(OR($A855="",$B855&lt;&gt;"tutar_farki"),"",IF(ABS($C855-$D855)&lt;=toleransKurus,"KDV_ORAN",IF(ABS($C855-$E855*dbe_kdvOran)&lt;=toleransKurus,"MATRAH",IF($F855=1,"YUVARLAMA","TANIMSIZ"))))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IF($A856="","",IF($C856&lt;=dbe_yuvarlamaEsik,1,0))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IF(OR($A856="",$B856&lt;&gt;"tutar_farki"),"",IF(ABS($C856-$D856)&lt;=toleransKurus,"KDV_ORAN",IF(ABS($C856-$E856*dbe_kdvOran)&lt;=toleransKurus,"MATRAH",IF($F856=1,"YUVARLAMA","TANIMSIZ"))))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IF($A857="","",IF($C857&lt;=dbe_yuvarlamaEsik,1,0))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IF(OR($A857="",$B857&lt;&gt;"tutar_farki"),"",IF(ABS($C857-$D857)&lt;=toleransKurus,"KDV_ORAN",IF(ABS($C857-$E857*dbe_kdvOran)&lt;=toleransKurus,"MATRAH",IF($F857=1,"YUVARLAMA","TANIMSIZ"))))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IF($A858="","",IF($C858&lt;=dbe_yuvarlamaEsik,1,0))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IF(OR($A858="",$B858&lt;&gt;"tutar_farki"),"",IF(ABS($C858-$D858)&lt;=toleransKurus,"KDV_ORAN",IF(ABS($C858-$E858*dbe_kdvOran)&lt;=toleransKurus,"MATRAH",IF($F858=1,"YUVARLAMA","TANIMSIZ"))))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IF($A859="","",IF($C859&lt;=dbe_yuvarlamaEsik,1,0))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IF(OR($A859="",$B859&lt;&gt;"tutar_farki"),"",IF(ABS($C859-$D859)&lt;=toleransKurus,"KDV_ORAN",IF(ABS($C859-$E859*dbe_kdvOran)&lt;=toleransKurus,"MATRAH",IF($F859=1,"YUVARLAMA","TANIMSIZ"))))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IF($A860="","",IF($C860&lt;=dbe_yuvarlamaEsik,1,0))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IF(OR($A860="",$B860&lt;&gt;"tutar_farki"),"",IF(ABS($C860-$D860)&lt;=toleransKurus,"KDV_ORAN",IF(ABS($C860-$E860*dbe_kdvOran)&lt;=toleransKurus,"MATRAH",IF($F860=1,"YUVARLAMA","TANIMSIZ"))))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IF($A861="","",IF($C861&lt;=dbe_yuvarlamaEsik,1,0))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IF(OR($A861="",$B861&lt;&gt;"tutar_farki"),"",IF(ABS($C861-$D861)&lt;=toleransKurus,"KDV_ORAN",IF(ABS($C861-$E861*dbe_kdvOran)&lt;=toleransKurus,"MATRAH",IF($F861=1,"YUVARLAMA","TANIMSIZ"))))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IF($A862="","",IF($C862&lt;=dbe_yuvarlamaEsik,1,0))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IF(OR($A862="",$B862&lt;&gt;"tutar_farki"),"",IF(ABS($C862-$D862)&lt;=toleransKurus,"KDV_ORAN",IF(ABS($C862-$E862*dbe_kdvOran)&lt;=toleransKurus,"MATRAH",IF($F862=1,"YUVARLAMA","TANIMSIZ"))))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IF($A863="","",IF($C863&lt;=dbe_yuvarlamaEsik,1,0))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IF(OR($A863="",$B863&lt;&gt;"tutar_farki"),"",IF(ABS($C863-$D863)&lt;=toleransKurus,"KDV_ORAN",IF(ABS($C863-$E863*dbe_kdvOran)&lt;=toleransKurus,"MATRAH",IF($F863=1,"YUVARLAMA","TANIMSIZ"))))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IF($A864="","",IF($C864&lt;=dbe_yuvarlamaEsik,1,0))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IF(OR($A864="",$B864&lt;&gt;"tutar_farki"),"",IF(ABS($C864-$D864)&lt;=toleransKurus,"KDV_ORAN",IF(ABS($C864-$E864*dbe_kdvOran)&lt;=toleransKurus,"MATRAH",IF($F864=1,"YUVARLAMA","TANIMSIZ"))))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IF($A865="","",IF($C865&lt;=dbe_yuvarlamaEsik,1,0))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IF(OR($A865="",$B865&lt;&gt;"tutar_farki"),"",IF(ABS($C865-$D865)&lt;=toleransKurus,"KDV_ORAN",IF(ABS($C865-$E865*dbe_kdvOran)&lt;=toleransKurus,"MATRAH",IF($F865=1,"YUVARLAMA","TANIMSIZ"))))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IF($A866="","",IF($C866&lt;=dbe_yuvarlamaEsik,1,0))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IF(OR($A866="",$B866&lt;&gt;"tutar_farki"),"",IF(ABS($C866-$D866)&lt;=toleransKurus,"KDV_ORAN",IF(ABS($C866-$E866*dbe_kdvOran)&lt;=toleransKurus,"MATRAH",IF($F866=1,"YUVARLAMA","TANIMSIZ"))))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IF($A867="","",IF($C867&lt;=dbe_yuvarlamaEsik,1,0))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IF(OR($A867="",$B867&lt;&gt;"tutar_farki"),"",IF(ABS($C867-$D867)&lt;=toleransKurus,"KDV_ORAN",IF(ABS($C867-$E867*dbe_kdvOran)&lt;=toleransKurus,"MATRAH",IF($F867=1,"YUVARLAMA","TANIMSIZ"))))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IF($A868="","",IF($C868&lt;=dbe_yuvarlamaEsik,1,0))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IF(OR($A868="",$B868&lt;&gt;"tutar_farki"),"",IF(ABS($C868-$D868)&lt;=toleransKurus,"KDV_ORAN",IF(ABS($C868-$E868*dbe_kdvOran)&lt;=toleransKurus,"MATRAH",IF($F868=1,"YUVARLAMA","TANIMSIZ"))))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IF($A869="","",IF($C869&lt;=dbe_yuvarlamaEsik,1,0))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IF(OR($A869="",$B869&lt;&gt;"tutar_farki"),"",IF(ABS($C869-$D869)&lt;=toleransKurus,"KDV_ORAN",IF(ABS($C869-$E869*dbe_kdvOran)&lt;=toleransKurus,"MATRAH",IF($F869=1,"YUVARLAMA","TANIMSIZ"))))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IF($A870="","",IF($C870&lt;=dbe_yuvarlamaEsik,1,0))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IF(OR($A870="",$B870&lt;&gt;"tutar_farki"),"",IF(ABS($C870-$D870)&lt;=toleransKurus,"KDV_ORAN",IF(ABS($C870-$E870*dbe_kdvOran)&lt;=toleransKurus,"MATRAH",IF($F870=1,"YUVARLAMA","TANIMSIZ"))))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IF($A871="","",IF($C871&lt;=dbe_yuvarlamaEsik,1,0))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IF(OR($A871="",$B871&lt;&gt;"tutar_farki"),"",IF(ABS($C871-$D871)&lt;=toleransKurus,"KDV_ORAN",IF(ABS($C871-$E871*dbe_kdvOran)&lt;=toleransKurus,"MATRAH",IF($F871=1,"YUVARLAMA","TANIMSIZ"))))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IF($A872="","",IF($C872&lt;=dbe_yuvarlamaEsik,1,0))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IF(OR($A872="",$B872&lt;&gt;"tutar_farki"),"",IF(ABS($C872-$D872)&lt;=toleransKurus,"KDV_ORAN",IF(ABS($C872-$E872*dbe_kdvOran)&lt;=toleransKurus,"MATRAH",IF($F872=1,"YUVARLAMA","TANIMSIZ"))))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IF($A873="","",IF($C873&lt;=dbe_yuvarlamaEsik,1,0))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IF(OR($A873="",$B873&lt;&gt;"tutar_farki"),"",IF(ABS($C873-$D873)&lt;=toleransKurus,"KDV_ORAN",IF(ABS($C873-$E873*dbe_kdvOran)&lt;=toleransKurus,"MATRAH",IF($F873=1,"YUVARLAMA","TANIMSIZ"))))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IF($A874="","",IF($C874&lt;=dbe_yuvarlamaEsik,1,0))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IF(OR($A874="",$B874&lt;&gt;"tutar_farki"),"",IF(ABS($C874-$D874)&lt;=toleransKurus,"KDV_ORAN",IF(ABS($C874-$E874*dbe_kdvOran)&lt;=toleransKurus,"MATRAH",IF($F874=1,"YUVARLAMA","TANIMSIZ"))))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IF($A875="","",IF($C875&lt;=dbe_yuvarlamaEsik,1,0))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IF(OR($A875="",$B875&lt;&gt;"tutar_farki"),"",IF(ABS($C875-$D875)&lt;=toleransKurus,"KDV_ORAN",IF(ABS($C875-$E875*dbe_kdvOran)&lt;=toleransKurus,"MATRAH",IF($F875=1,"YUVARLAMA","TANIMSIZ"))))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IF($A876="","",IF($C876&lt;=dbe_yuvarlamaEsik,1,0))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IF(OR($A876="",$B876&lt;&gt;"tutar_farki"),"",IF(ABS($C876-$D876)&lt;=toleransKurus,"KDV_ORAN",IF(ABS($C876-$E876*dbe_kdvOran)&lt;=toleransKurus,"MATRAH",IF($F876=1,"YUVARLAMA","TANIMSIZ"))))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IF($A877="","",IF($C877&lt;=dbe_yuvarlamaEsik,1,0))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IF(OR($A877="",$B877&lt;&gt;"tutar_farki"),"",IF(ABS($C877-$D877)&lt;=toleransKurus,"KDV_ORAN",IF(ABS($C877-$E877*dbe_kdvOran)&lt;=toleransKurus,"MATRAH",IF($F877=1,"YUVARLAMA","TANIMSIZ"))))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IF($A878="","",IF($C878&lt;=dbe_yuvarlamaEsik,1,0))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IF(OR($A878="",$B878&lt;&gt;"tutar_farki"),"",IF(ABS($C878-$D878)&lt;=toleransKurus,"KDV_ORAN",IF(ABS($C878-$E878*dbe_kdvOran)&lt;=toleransKurus,"MATRAH",IF($F878=1,"YUVARLAMA","TANIMSIZ"))))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IF($A879="","",IF($C879&lt;=dbe_yuvarlamaEsik,1,0))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IF(OR($A879="",$B879&lt;&gt;"tutar_farki"),"",IF(ABS($C879-$D879)&lt;=toleransKurus,"KDV_ORAN",IF(ABS($C879-$E879*dbe_kdvOran)&lt;=toleransKurus,"MATRAH",IF($F879=1,"YUVARLAMA","TANIMSIZ"))))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IF($A880="","",IF($C880&lt;=dbe_yuvarlamaEsik,1,0))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IF(OR($A880="",$B880&lt;&gt;"tutar_farki"),"",IF(ABS($C880-$D880)&lt;=toleransKurus,"KDV_ORAN",IF(ABS($C880-$E880*dbe_kdvOran)&lt;=toleransKurus,"MATRAH",IF($F880=1,"YUVARLAMA","TANIMSIZ"))))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IF($A881="","",IF($C881&lt;=dbe_yuvarlamaEsik,1,0))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IF(OR($A881="",$B881&lt;&gt;"tutar_farki"),"",IF(ABS($C881-$D881)&lt;=toleransKurus,"KDV_ORAN",IF(ABS($C881-$E881*dbe_kdvOran)&lt;=toleransKurus,"MATRAH",IF($F881=1,"YUVARLAMA","TANIMSIZ"))))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IF($A882="","",IF($C882&lt;=dbe_yuvarlamaEsik,1,0))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IF(OR($A882="",$B882&lt;&gt;"tutar_farki"),"",IF(ABS($C882-$D882)&lt;=toleransKurus,"KDV_ORAN",IF(ABS($C882-$E882*dbe_kdvOran)&lt;=toleransKurus,"MATRAH",IF($F882=1,"YUVARLAMA","TANIMSIZ"))))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IF($A883="","",IF($C883&lt;=dbe_yuvarlamaEsik,1,0))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IF(OR($A883="",$B883&lt;&gt;"tutar_farki"),"",IF(ABS($C883-$D883)&lt;=toleransKurus,"KDV_ORAN",IF(ABS($C883-$E883*dbe_kdvOran)&lt;=toleransKurus,"MATRAH",IF($F883=1,"YUVARLAMA","TANIMSIZ"))))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IF($A884="","",IF($C884&lt;=dbe_yuvarlamaEsik,1,0))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IF(OR($A884="",$B884&lt;&gt;"tutar_farki"),"",IF(ABS($C884-$D884)&lt;=toleransKurus,"KDV_ORAN",IF(ABS($C884-$E884*dbe_kdvOran)&lt;=toleransKurus,"MATRAH",IF($F884=1,"YUVARLAMA","TANIMSIZ"))))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IF($A885="","",IF($C885&lt;=dbe_yuvarlamaEsik,1,0))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IF(OR($A885="",$B885&lt;&gt;"tutar_farki"),"",IF(ABS($C885-$D885)&lt;=toleransKurus,"KDV_ORAN",IF(ABS($C885-$E885*dbe_kdvOran)&lt;=toleransKurus,"MATRAH",IF($F885=1,"YUVARLAMA","TANIMSIZ"))))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IF($A886="","",IF($C886&lt;=dbe_yuvarlamaEsik,1,0))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IF(OR($A886="",$B886&lt;&gt;"tutar_farki"),"",IF(ABS($C886-$D886)&lt;=toleransKurus,"KDV_ORAN",IF(ABS($C886-$E886*dbe_kdvOran)&lt;=toleransKurus,"MATRAH",IF($F886=1,"YUVARLAMA","TANIMSIZ"))))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IF($A887="","",IF($C887&lt;=dbe_yuvarlamaEsik,1,0))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IF(OR($A887="",$B887&lt;&gt;"tutar_farki"),"",IF(ABS($C887-$D887)&lt;=toleransKurus,"KDV_ORAN",IF(ABS($C887-$E887*dbe_kdvOran)&lt;=toleransKurus,"MATRAH",IF($F887=1,"YUVARLAMA","TANIMSIZ"))))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IF($A888="","",IF($C888&lt;=dbe_yuvarlamaEsik,1,0))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IF(OR($A888="",$B888&lt;&gt;"tutar_farki"),"",IF(ABS($C888-$D888)&lt;=toleransKurus,"KDV_ORAN",IF(ABS($C888-$E888*dbe_kdvOran)&lt;=toleransKurus,"MATRAH",IF($F888=1,"YUVARLAMA","TANIMSIZ"))))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IF($A889="","",IF($C889&lt;=dbe_yuvarlamaEsik,1,0))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IF(OR($A889="",$B889&lt;&gt;"tutar_farki"),"",IF(ABS($C889-$D889)&lt;=toleransKurus,"KDV_ORAN",IF(ABS($C889-$E889*dbe_kdvOran)&lt;=toleransKurus,"MATRAH",IF($F889=1,"YUVARLAMA","TANIMSIZ"))))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IF($A890="","",IF($C890&lt;=dbe_yuvarlamaEsik,1,0))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IF(OR($A890="",$B890&lt;&gt;"tutar_farki"),"",IF(ABS($C890-$D890)&lt;=toleransKurus,"KDV_ORAN",IF(ABS($C890-$E890*dbe_kdvOran)&lt;=toleransKurus,"MATRAH",IF($F890=1,"YUVARLAMA","TANIMSIZ"))))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IF($A891="","",IF($C891&lt;=dbe_yuvarlamaEsik,1,0))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IF(OR($A891="",$B891&lt;&gt;"tutar_farki"),"",IF(ABS($C891-$D891)&lt;=toleransKurus,"KDV_ORAN",IF(ABS($C891-$E891*dbe_kdvOran)&lt;=toleransKurus,"MATRAH",IF($F891=1,"YUVARLAMA","TANIMSIZ"))))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IF($A892="","",IF($C892&lt;=dbe_yuvarlamaEsik,1,0))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IF(OR($A892="",$B892&lt;&gt;"tutar_farki"),"",IF(ABS($C892-$D892)&lt;=toleransKurus,"KDV_ORAN",IF(ABS($C892-$E892*dbe_kdvOran)&lt;=toleransKurus,"MATRAH",IF($F892=1,"YUVARLAMA","TANIMSIZ"))))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IF($A893="","",IF($C893&lt;=dbe_yuvarlamaEsik,1,0))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IF(OR($A893="",$B893&lt;&gt;"tutar_farki"),"",IF(ABS($C893-$D893)&lt;=toleransKurus,"KDV_ORAN",IF(ABS($C893-$E893*dbe_kdvOran)&lt;=toleransKurus,"MATRAH",IF($F893=1,"YUVARLAMA","TANIMSIZ"))))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IF($A894="","",IF($C894&lt;=dbe_yuvarlamaEsik,1,0))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IF(OR($A894="",$B894&lt;&gt;"tutar_farki"),"",IF(ABS($C894-$D894)&lt;=toleransKurus,"KDV_ORAN",IF(ABS($C894-$E894*dbe_kdvOran)&lt;=toleransKurus,"MATRAH",IF($F894=1,"YUVARLAMA","TANIMSIZ"))))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IF($A895="","",IF($C895&lt;=dbe_yuvarlamaEsik,1,0))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IF(OR($A895="",$B895&lt;&gt;"tutar_farki"),"",IF(ABS($C895-$D895)&lt;=toleransKurus,"KDV_ORAN",IF(ABS($C895-$E895*dbe_kdvOran)&lt;=toleransKurus,"MATRAH",IF($F895=1,"YUVARLAMA","TANIMSIZ"))))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IF($A896="","",IF($C896&lt;=dbe_yuvarlamaEsik,1,0))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IF(OR($A896="",$B896&lt;&gt;"tutar_farki"),"",IF(ABS($C896-$D896)&lt;=toleransKurus,"KDV_ORAN",IF(ABS($C896-$E896*dbe_kdvOran)&lt;=toleransKurus,"MATRAH",IF($F896=1,"YUVARLAMA","TANIMSIZ"))))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IF($A897="","",IF($C897&lt;=dbe_yuvarlamaEsik,1,0))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IF(OR($A897="",$B897&lt;&gt;"tutar_farki"),"",IF(ABS($C897-$D897)&lt;=toleransKurus,"KDV_ORAN",IF(ABS($C897-$E897*dbe_kdvOran)&lt;=toleransKurus,"MATRAH",IF($F897=1,"YUVARLAMA","TANIMSIZ"))))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IF($A898="","",IF($C898&lt;=dbe_yuvarlamaEsik,1,0))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IF(OR($A898="",$B898&lt;&gt;"tutar_farki"),"",IF(ABS($C898-$D898)&lt;=toleransKurus,"KDV_ORAN",IF(ABS($C898-$E898*dbe_kdvOran)&lt;=toleransKurus,"MATRAH",IF($F898=1,"YUVARLAMA","TANIMSIZ"))))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IF($A899="","",IF($C899&lt;=dbe_yuvarlamaEsik,1,0))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IF(OR($A899="",$B899&lt;&gt;"tutar_farki"),"",IF(ABS($C899-$D899)&lt;=toleransKurus,"KDV_ORAN",IF(ABS($C899-$E899*dbe_kdvOran)&lt;=toleransKurus,"MATRAH",IF($F899=1,"YUVARLAMA","TANIMSIZ"))))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IF($A900="","",IF($C900&lt;=dbe_yuvarlamaEsik,1,0))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IF(OR($A900="",$B900&lt;&gt;"tutar_farki"),"",IF(ABS($C900-$D900)&lt;=toleransKurus,"KDV_ORAN",IF(ABS($C900-$E900*dbe_kdvOran)&lt;=toleransKurus,"MATRAH",IF($F900=1,"YUVARLAMA","TANIMSIZ"))))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IF($A901="","",IF($C901&lt;=dbe_yuvarlamaEsik,1,0))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IF(OR($A901="",$B901&lt;&gt;"tutar_farki"),"",IF(ABS($C901-$D901)&lt;=toleransKurus,"KDV_ORAN",IF(ABS($C901-$E901*dbe_kdvOran)&lt;=toleransKurus,"MATRAH",IF($F901=1,"YUVARLAMA","TANIMSIZ"))))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IF($A902="","",IF($C902&lt;=dbe_yuvarlamaEsik,1,0))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IF(OR($A902="",$B902&lt;&gt;"tutar_farki"),"",IF(ABS($C902-$D902)&lt;=toleransKurus,"KDV_ORAN",IF(ABS($C902-$E902*dbe_kdvOran)&lt;=toleransKurus,"MATRAH",IF($F902=1,"YUVARLAMA","TANIMSIZ"))))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IF($A903="","",IF($C903&lt;=dbe_yuvarlamaEsik,1,0))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IF(OR($A903="",$B903&lt;&gt;"tutar_farki"),"",IF(ABS($C903-$D903)&lt;=toleransKurus,"KDV_ORAN",IF(ABS($C903-$E903*dbe_kdvOran)&lt;=toleransKurus,"MATRAH",IF($F903=1,"YUVARLAMA","TANIMSIZ"))))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IF($A904="","",IF($C904&lt;=dbe_yuvarlamaEsik,1,0))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IF(OR($A904="",$B904&lt;&gt;"tutar_farki"),"",IF(ABS($C904-$D904)&lt;=toleransKurus,"KDV_ORAN",IF(ABS($C904-$E904*dbe_kdvOran)&lt;=toleransKurus,"MATRAH",IF($F904=1,"YUVARLAMA","TANIMSIZ"))))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IF($A905="","",IF($C905&lt;=dbe_yuvarlamaEsik,1,0))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IF(OR($A905="",$B905&lt;&gt;"tutar_farki"),"",IF(ABS($C905-$D905)&lt;=toleransKurus,"KDV_ORAN",IF(ABS($C905-$E905*dbe_kdvOran)&lt;=toleransKurus,"MATRAH",IF($F905=1,"YUVARLAMA","TANIMSIZ"))))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IF($A906="","",IF($C906&lt;=dbe_yuvarlamaEsik,1,0))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IF(OR($A906="",$B906&lt;&gt;"tutar_farki"),"",IF(ABS($C906-$D906)&lt;=toleransKurus,"KDV_ORAN",IF(ABS($C906-$E906*dbe_kdvOran)&lt;=toleransKurus,"MATRAH",IF($F906=1,"YUVARLAMA","TANIMSIZ"))))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IF($A907="","",IF($C907&lt;=dbe_yuvarlamaEsik,1,0))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IF(OR($A907="",$B907&lt;&gt;"tutar_farki"),"",IF(ABS($C907-$D907)&lt;=toleransKurus,"KDV_ORAN",IF(ABS($C907-$E907*dbe_kdvOran)&lt;=toleransKurus,"MATRAH",IF($F907=1,"YUVARLAMA","TANIMSIZ"))))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IF($A908="","",IF($C908&lt;=dbe_yuvarlamaEsik,1,0))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IF(OR($A908="",$B908&lt;&gt;"tutar_farki"),"",IF(ABS($C908-$D908)&lt;=toleransKurus,"KDV_ORAN",IF(ABS($C908-$E908*dbe_kdvOran)&lt;=toleransKurus,"MATRAH",IF($F908=1,"YUVARLAMA","TANIMSIZ"))))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IF($A909="","",IF($C909&lt;=dbe_yuvarlamaEsik,1,0))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IF(OR($A909="",$B909&lt;&gt;"tutar_farki"),"",IF(ABS($C909-$D909)&lt;=toleransKurus,"KDV_ORAN",IF(ABS($C909-$E909*dbe_kdvOran)&lt;=toleransKurus,"MATRAH",IF($F909=1,"YUVARLAMA","TANIMSIZ"))))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IF($A910="","",IF($C910&lt;=dbe_yuvarlamaEsik,1,0))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IF(OR($A910="",$B910&lt;&gt;"tutar_farki"),"",IF(ABS($C910-$D910)&lt;=toleransKurus,"KDV_ORAN",IF(ABS($C910-$E910*dbe_kdvOran)&lt;=toleransKurus,"MATRAH",IF($F910=1,"YUVARLAMA","TANIMSIZ"))))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IF($A911="","",IF($C911&lt;=dbe_yuvarlamaEsik,1,0))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IF(OR($A911="",$B911&lt;&gt;"tutar_farki"),"",IF(ABS($C911-$D911)&lt;=toleransKurus,"KDV_ORAN",IF(ABS($C911-$E911*dbe_kdvOran)&lt;=toleransKurus,"MATRAH",IF($F911=1,"YUVARLAMA","TANIMSIZ"))))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IF($A912="","",IF($C912&lt;=dbe_yuvarlamaEsik,1,0))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IF(OR($A912="",$B912&lt;&gt;"tutar_farki"),"",IF(ABS($C912-$D912)&lt;=toleransKurus,"KDV_ORAN",IF(ABS($C912-$E912*dbe_kdvOran)&lt;=toleransKurus,"MATRAH",IF($F912=1,"YUVARLAMA","TANIMSIZ"))))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IF($A913="","",IF($C913&lt;=dbe_yuvarlamaEsik,1,0))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IF(OR($A913="",$B913&lt;&gt;"tutar_farki"),"",IF(ABS($C913-$D913)&lt;=toleransKurus,"KDV_ORAN",IF(ABS($C913-$E913*dbe_kdvOran)&lt;=toleransKurus,"MATRAH",IF($F913=1,"YUVARLAMA","TANIMSIZ"))))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IF($A914="","",IF($C914&lt;=dbe_yuvarlamaEsik,1,0))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IF(OR($A914="",$B914&lt;&gt;"tutar_farki"),"",IF(ABS($C914-$D914)&lt;=toleransKurus,"KDV_ORAN",IF(ABS($C914-$E914*dbe_kdvOran)&lt;=toleransKurus,"MATRAH",IF($F914=1,"YUVARLAMA","TANIMSIZ"))))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IF($A915="","",IF($C915&lt;=dbe_yuvarlamaEsik,1,0))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IF(OR($A915="",$B915&lt;&gt;"tutar_farki"),"",IF(ABS($C915-$D915)&lt;=toleransKurus,"KDV_ORAN",IF(ABS($C915-$E915*dbe_kdvOran)&lt;=toleransKurus,"MATRAH",IF($F915=1,"YUVARLAMA","TANIMSIZ"))))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IF($A916="","",IF($C916&lt;=dbe_yuvarlamaEsik,1,0))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IF(OR($A916="",$B916&lt;&gt;"tutar_farki"),"",IF(ABS($C916-$D916)&lt;=toleransKurus,"KDV_ORAN",IF(ABS($C916-$E916*dbe_kdvOran)&lt;=toleransKurus,"MATRAH",IF($F916=1,"YUVARLAMA","TANIMSIZ"))))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IF($A917="","",IF($C917&lt;=dbe_yuvarlamaEsik,1,0))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IF(OR($A917="",$B917&lt;&gt;"tutar_farki"),"",IF(ABS($C917-$D917)&lt;=toleransKurus,"KDV_ORAN",IF(ABS($C917-$E917*dbe_kdvOran)&lt;=toleransKurus,"MATRAH",IF($F917=1,"YUVARLAMA","TANIMSIZ"))))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IF($A918="","",IF($C918&lt;=dbe_yuvarlamaEsik,1,0))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IF(OR($A918="",$B918&lt;&gt;"tutar_farki"),"",IF(ABS($C918-$D918)&lt;=toleransKurus,"KDV_ORAN",IF(ABS($C918-$E918*dbe_kdvOran)&lt;=toleransKurus,"MATRAH",IF($F918=1,"YUVARLAMA","TANIMSIZ"))))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IF($A919="","",IF($C919&lt;=dbe_yuvarlamaEsik,1,0))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IF(OR($A919="",$B919&lt;&gt;"tutar_farki"),"",IF(ABS($C919-$D919)&lt;=toleransKurus,"KDV_ORAN",IF(ABS($C919-$E919*dbe_kdvOran)&lt;=toleransKurus,"MATRAH",IF($F919=1,"YUVARLAMA","TANIMSIZ"))))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IF($A920="","",IF($C920&lt;=dbe_yuvarlamaEsik,1,0))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IF(OR($A920="",$B920&lt;&gt;"tutar_farki"),"",IF(ABS($C920-$D920)&lt;=toleransKurus,"KDV_ORAN",IF(ABS($C920-$E920*dbe_kdvOran)&lt;=toleransKurus,"MATRAH",IF($F920=1,"YUVARLAMA","TANIMSIZ"))))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IF($A921="","",IF($C921&lt;=dbe_yuvarlamaEsik,1,0))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IF(OR($A921="",$B921&lt;&gt;"tutar_farki"),"",IF(ABS($C921-$D921)&lt;=toleransKurus,"KDV_ORAN",IF(ABS($C921-$E921*dbe_kdvOran)&lt;=toleransKurus,"MATRAH",IF($F921=1,"YUVARLAMA","TANIMSIZ"))))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IF($A922="","",IF($C922&lt;=dbe_yuvarlamaEsik,1,0))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IF(OR($A922="",$B922&lt;&gt;"tutar_farki"),"",IF(ABS($C922-$D922)&lt;=toleransKurus,"KDV_ORAN",IF(ABS($C922-$E922*dbe_kdvOran)&lt;=toleransKurus,"MATRAH",IF($F922=1,"YUVARLAMA","TANIMSIZ"))))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IF($A923="","",IF($C923&lt;=dbe_yuvarlamaEsik,1,0))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IF(OR($A923="",$B923&lt;&gt;"tutar_farki"),"",IF(ABS($C923-$D923)&lt;=toleransKurus,"KDV_ORAN",IF(ABS($C923-$E923*dbe_kdvOran)&lt;=toleransKurus,"MATRAH",IF($F923=1,"YUVARLAMA","TANIMSIZ"))))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IF($A924="","",IF($C924&lt;=dbe_yuvarlamaEsik,1,0))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IF(OR($A924="",$B924&lt;&gt;"tutar_farki"),"",IF(ABS($C924-$D924)&lt;=toleransKurus,"KDV_ORAN",IF(ABS($C924-$E924*dbe_kdvOran)&lt;=toleransKurus,"MATRAH",IF($F924=1,"YUVARLAMA","TANIMSIZ"))))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IF($A925="","",IF($C925&lt;=dbe_yuvarlamaEsik,1,0))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IF(OR($A925="",$B925&lt;&gt;"tutar_farki"),"",IF(ABS($C925-$D925)&lt;=toleransKurus,"KDV_ORAN",IF(ABS($C925-$E925*dbe_kdvOran)&lt;=toleransKurus,"MATRAH",IF($F925=1,"YUVARLAMA","TANIMSIZ"))))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IF($A926="","",IF($C926&lt;=dbe_yuvarlamaEsik,1,0))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IF(OR($A926="",$B926&lt;&gt;"tutar_farki"),"",IF(ABS($C926-$D926)&lt;=toleransKurus,"KDV_ORAN",IF(ABS($C926-$E926*dbe_kdvOran)&lt;=toleransKurus,"MATRAH",IF($F926=1,"YUVARLAMA","TANIMSIZ"))))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IF($A927="","",IF($C927&lt;=dbe_yuvarlamaEsik,1,0))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IF(OR($A927="",$B927&lt;&gt;"tutar_farki"),"",IF(ABS($C927-$D927)&lt;=toleransKurus,"KDV_ORAN",IF(ABS($C927-$E927*dbe_kdvOran)&lt;=toleransKurus,"MATRAH",IF($F927=1,"YUVARLAMA","TANIMSIZ"))))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IF($A928="","",IF($C928&lt;=dbe_yuvarlamaEsik,1,0))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IF(OR($A928="",$B928&lt;&gt;"tutar_farki"),"",IF(ABS($C928-$D928)&lt;=toleransKurus,"KDV_ORAN",IF(ABS($C928-$E928*dbe_kdvOran)&lt;=toleransKurus,"MATRAH",IF($F928=1,"YUVARLAMA","TANIMSIZ"))))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IF($A929="","",IF($C929&lt;=dbe_yuvarlamaEsik,1,0))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IF(OR($A929="",$B929&lt;&gt;"tutar_farki"),"",IF(ABS($C929-$D929)&lt;=toleransKurus,"KDV_ORAN",IF(ABS($C929-$E929*dbe_kdvOran)&lt;=toleransKurus,"MATRAH",IF($F929=1,"YUVARLAMA","TANIMSIZ"))))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IF($A930="","",IF($C930&lt;=dbe_yuvarlamaEsik,1,0))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IF(OR($A930="",$B930&lt;&gt;"tutar_farki"),"",IF(ABS($C930-$D930)&lt;=toleransKurus,"KDV_ORAN",IF(ABS($C930-$E930*dbe_kdvOran)&lt;=toleransKurus,"MATRAH",IF($F930=1,"YUVARLAMA","TANIMSIZ"))))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IF($A931="","",IF($C931&lt;=dbe_yuvarlamaEsik,1,0))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IF(OR($A931="",$B931&lt;&gt;"tutar_farki"),"",IF(ABS($C931-$D931)&lt;=toleransKurus,"KDV_ORAN",IF(ABS($C931-$E931*dbe_kdvOran)&lt;=toleransKurus,"MATRAH",IF($F931=1,"YUVARLAMA","TANIMSIZ"))))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IF($A932="","",IF($C932&lt;=dbe_yuvarlamaEsik,1,0))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IF(OR($A932="",$B932&lt;&gt;"tutar_farki"),"",IF(ABS($C932-$D932)&lt;=toleransKurus,"KDV_ORAN",IF(ABS($C932-$E932*dbe_kdvOran)&lt;=toleransKurus,"MATRAH",IF($F932=1,"YUVARLAMA","TANIMSIZ"))))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IF($A933="","",IF($C933&lt;=dbe_yuvarlamaEsik,1,0))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IF(OR($A933="",$B933&lt;&gt;"tutar_farki"),"",IF(ABS($C933-$D933)&lt;=toleransKurus,"KDV_ORAN",IF(ABS($C933-$E933*dbe_kdvOran)&lt;=toleransKurus,"MATRAH",IF($F933=1,"YUVARLAMA","TANIMSIZ"))))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IF($A934="","",IF($C934&lt;=dbe_yuvarlamaEsik,1,0))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IF(OR($A934="",$B934&lt;&gt;"tutar_farki"),"",IF(ABS($C934-$D934)&lt;=toleransKurus,"KDV_ORAN",IF(ABS($C934-$E934*dbe_kdvOran)&lt;=toleransKurus,"MATRAH",IF($F934=1,"YUVARLAMA","TANIMSIZ"))))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IF($A935="","",IF($C935&lt;=dbe_yuvarlamaEsik,1,0))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IF(OR($A935="",$B935&lt;&gt;"tutar_farki"),"",IF(ABS($C935-$D935)&lt;=toleransKurus,"KDV_ORAN",IF(ABS($C935-$E935*dbe_kdvOran)&lt;=toleransKurus,"MATRAH",IF($F935=1,"YUVARLAMA","TANIMSIZ"))))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IF($A936="","",IF($C936&lt;=dbe_yuvarlamaEsik,1,0))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IF(OR($A936="",$B936&lt;&gt;"tutar_farki"),"",IF(ABS($C936-$D936)&lt;=toleransKurus,"KDV_ORAN",IF(ABS($C936-$E936*dbe_kdvOran)&lt;=toleransKurus,"MATRAH",IF($F936=1,"YUVARLAMA","TANIMSIZ"))))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IF($A937="","",IF($C937&lt;=dbe_yuvarlamaEsik,1,0))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IF(OR($A937="",$B937&lt;&gt;"tutar_farki"),"",IF(ABS($C937-$D937)&lt;=toleransKurus,"KDV_ORAN",IF(ABS($C937-$E937*dbe_kdvOran)&lt;=toleransKurus,"MATRAH",IF($F937=1,"YUVARLAMA","TANIMSIZ"))))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IF($A938="","",IF($C938&lt;=dbe_yuvarlamaEsik,1,0))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IF(OR($A938="",$B938&lt;&gt;"tutar_farki"),"",IF(ABS($C938-$D938)&lt;=toleransKurus,"KDV_ORAN",IF(ABS($C938-$E938*dbe_kdvOran)&lt;=toleransKurus,"MATRAH",IF($F938=1,"YUVARLAMA","TANIMSIZ"))))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IF($A939="","",IF($C939&lt;=dbe_yuvarlamaEsik,1,0))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IF(OR($A939="",$B939&lt;&gt;"tutar_farki"),"",IF(ABS($C939-$D939)&lt;=toleransKurus,"KDV_ORAN",IF(ABS($C939-$E939*dbe_kdvOran)&lt;=toleransKurus,"MATRAH",IF($F939=1,"YUVARLAMA","TANIMSIZ"))))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IF($A940="","",IF($C940&lt;=dbe_yuvarlamaEsik,1,0))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IF(OR($A940="",$B940&lt;&gt;"tutar_farki"),"",IF(ABS($C940-$D940)&lt;=toleransKurus,"KDV_ORAN",IF(ABS($C940-$E940*dbe_kdvOran)&lt;=toleransKurus,"MATRAH",IF($F940=1,"YUVARLAMA","TANIMSIZ"))))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IF($A941="","",IF($C941&lt;=dbe_yuvarlamaEsik,1,0))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IF(OR($A941="",$B941&lt;&gt;"tutar_farki"),"",IF(ABS($C941-$D941)&lt;=toleransKurus,"KDV_ORAN",IF(ABS($C941-$E941*dbe_kdvOran)&lt;=toleransKurus,"MATRAH",IF($F941=1,"YUVARLAMA","TANIMSIZ"))))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IF($A942="","",IF($C942&lt;=dbe_yuvarlamaEsik,1,0))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IF(OR($A942="",$B942&lt;&gt;"tutar_farki"),"",IF(ABS($C942-$D942)&lt;=toleransKurus,"KDV_ORAN",IF(ABS($C942-$E942*dbe_kdvOran)&lt;=toleransKurus,"MATRAH",IF($F942=1,"YUVARLAMA","TANIMSIZ"))))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IF($A943="","",IF($C943&lt;=dbe_yuvarlamaEsik,1,0))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IF(OR($A943="",$B943&lt;&gt;"tutar_farki"),"",IF(ABS($C943-$D943)&lt;=toleransKurus,"KDV_ORAN",IF(ABS($C943-$E943*dbe_kdvOran)&lt;=toleransKurus,"MATRAH",IF($F943=1,"YUVARLAMA","TANIMSIZ"))))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IF($A944="","",IF($C944&lt;=dbe_yuvarlamaEsik,1,0))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IF(OR($A944="",$B944&lt;&gt;"tutar_farki"),"",IF(ABS($C944-$D944)&lt;=toleransKurus,"KDV_ORAN",IF(ABS($C944-$E944*dbe_kdvOran)&lt;=toleransKurus,"MATRAH",IF($F944=1,"YUVARLAMA","TANIMSIZ"))))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IF($A945="","",IF($C945&lt;=dbe_yuvarlamaEsik,1,0))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IF(OR($A945="",$B945&lt;&gt;"tutar_farki"),"",IF(ABS($C945-$D945)&lt;=toleransKurus,"KDV_ORAN",IF(ABS($C945-$E945*dbe_kdvOran)&lt;=toleransKurus,"MATRAH",IF($F945=1,"YUVARLAMA","TANIMSIZ"))))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IF($A946="","",IF($C946&lt;=dbe_yuvarlamaEsik,1,0))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IF(OR($A946="",$B946&lt;&gt;"tutar_farki"),"",IF(ABS($C946-$D946)&lt;=toleransKurus,"KDV_ORAN",IF(ABS($C946-$E946*dbe_kdvOran)&lt;=toleransKurus,"MATRAH",IF($F946=1,"YUVARLAMA","TANIMSIZ"))))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IF($A947="","",IF($C947&lt;=dbe_yuvarlamaEsik,1,0))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IF(OR($A947="",$B947&lt;&gt;"tutar_farki"),"",IF(ABS($C947-$D947)&lt;=toleransKurus,"KDV_ORAN",IF(ABS($C947-$E947*dbe_kdvOran)&lt;=toleransKurus,"MATRAH",IF($F947=1,"YUVARLAMA","TANIMSIZ"))))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IF($A948="","",IF($C948&lt;=dbe_yuvarlamaEsik,1,0))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IF(OR($A948="",$B948&lt;&gt;"tutar_farki"),"",IF(ABS($C948-$D948)&lt;=toleransKurus,"KDV_ORAN",IF(ABS($C948-$E948*dbe_kdvOran)&lt;=toleransKurus,"MATRAH",IF($F948=1,"YUVARLAMA","TANIMSIZ"))))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IF($A949="","",IF($C949&lt;=dbe_yuvarlamaEsik,1,0))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IF(OR($A949="",$B949&lt;&gt;"tutar_farki"),"",IF(ABS($C949-$D949)&lt;=toleransKurus,"KDV_ORAN",IF(ABS($C949-$E949*dbe_kdvOran)&lt;=toleransKurus,"MATRAH",IF($F949=1,"YUVARLAMA","TANIMSIZ"))))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IF($A950="","",IF($C950&lt;=dbe_yuvarlamaEsik,1,0))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IF(OR($A950="",$B950&lt;&gt;"tutar_farki"),"",IF(ABS($C950-$D950)&lt;=toleransKurus,"KDV_ORAN",IF(ABS($C950-$E950*dbe_kdvOran)&lt;=toleransKurus,"MATRAH",IF($F950=1,"YUVARLAMA","TANIMSIZ"))))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IF($A951="","",IF($C951&lt;=dbe_yuvarlamaEsik,1,0))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IF(OR($A951="",$B951&lt;&gt;"tutar_farki"),"",IF(ABS($C951-$D951)&lt;=toleransKurus,"KDV_ORAN",IF(ABS($C951-$E951*dbe_kdvOran)&lt;=toleransKurus,"MATRAH",IF($F951=1,"YUVARLAMA","TANIMSIZ"))))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IF($A952="","",IF($C952&lt;=dbe_yuvarlamaEsik,1,0))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IF(OR($A952="",$B952&lt;&gt;"tutar_farki"),"",IF(ABS($C952-$D952)&lt;=toleransKurus,"KDV_ORAN",IF(ABS($C952-$E952*dbe_kdvOran)&lt;=toleransKurus,"MATRAH",IF($F952=1,"YUVARLAMA","TANIMSIZ"))))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IF($A953="","",IF($C953&lt;=dbe_yuvarlamaEsik,1,0))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IF(OR($A953="",$B953&lt;&gt;"tutar_farki"),"",IF(ABS($C953-$D953)&lt;=toleransKurus,"KDV_ORAN",IF(ABS($C953-$E953*dbe_kdvOran)&lt;=toleransKurus,"MATRAH",IF($F953=1,"YUVARLAMA","TANIMSIZ"))))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IF($A954="","",IF($C954&lt;=dbe_yuvarlamaEsik,1,0))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IF(OR($A954="",$B954&lt;&gt;"tutar_farki"),"",IF(ABS($C954-$D954)&lt;=toleransKurus,"KDV_ORAN",IF(ABS($C954-$E954*dbe_kdvOran)&lt;=toleransKurus,"MATRAH",IF($F954=1,"YUVARLAMA","TANIMSIZ"))))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IF($A955="","",IF($C955&lt;=dbe_yuvarlamaEsik,1,0))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IF(OR($A955="",$B955&lt;&gt;"tutar_farki"),"",IF(ABS($C955-$D955)&lt;=toleransKurus,"KDV_ORAN",IF(ABS($C955-$E955*dbe_kdvOran)&lt;=toleransKurus,"MATRAH",IF($F955=1,"YUVARLAMA","TANIMSIZ"))))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IF($A956="","",IF($C956&lt;=dbe_yuvarlamaEsik,1,0))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IF(OR($A956="",$B956&lt;&gt;"tutar_farki"),"",IF(ABS($C956-$D956)&lt;=toleransKurus,"KDV_ORAN",IF(ABS($C956-$E956*dbe_kdvOran)&lt;=toleransKurus,"MATRAH",IF($F956=1,"YUVARLAMA","TANIMSIZ"))))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IF($A957="","",IF($C957&lt;=dbe_yuvarlamaEsik,1,0))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IF(OR($A957="",$B957&lt;&gt;"tutar_farki"),"",IF(ABS($C957-$D957)&lt;=toleransKurus,"KDV_ORAN",IF(ABS($C957-$E957*dbe_kdvOran)&lt;=toleransKurus,"MATRAH",IF($F957=1,"YUVARLAMA","TANIMSIZ"))))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IF($A958="","",IF($C958&lt;=dbe_yuvarlamaEsik,1,0))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IF(OR($A958="",$B958&lt;&gt;"tutar_farki"),"",IF(ABS($C958-$D958)&lt;=toleransKurus,"KDV_ORAN",IF(ABS($C958-$E958*dbe_kdvOran)&lt;=toleransKurus,"MATRAH",IF($F958=1,"YUVARLAMA","TANIMSIZ"))))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IF($A959="","",IF($C959&lt;=dbe_yuvarlamaEsik,1,0))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IF(OR($A959="",$B959&lt;&gt;"tutar_farki"),"",IF(ABS($C959-$D959)&lt;=toleransKurus,"KDV_ORAN",IF(ABS($C959-$E959*dbe_kdvOran)&lt;=toleransKurus,"MATRAH",IF($F959=1,"YUVARLAMA","TANIMSIZ"))))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IF($A960="","",IF($C960&lt;=dbe_yuvarlamaEsik,1,0))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IF(OR($A960="",$B960&lt;&gt;"tutar_farki"),"",IF(ABS($C960-$D960)&lt;=toleransKurus,"KDV_ORAN",IF(ABS($C960-$E960*dbe_kdvOran)&lt;=toleransKurus,"MATRAH",IF($F960=1,"YUVARLAMA","TANIMSIZ"))))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IF($A961="","",IF($C961&lt;=dbe_yuvarlamaEsik,1,0))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IF(OR($A961="",$B961&lt;&gt;"tutar_farki"),"",IF(ABS($C961-$D961)&lt;=toleransKurus,"KDV_ORAN",IF(ABS($C961-$E961*dbe_kdvOran)&lt;=toleransKurus,"MATRAH",IF($F961=1,"YUVARLAMA","TANIMSIZ"))))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IF($A962="","",IF($C962&lt;=dbe_yuvarlamaEsik,1,0))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IF(OR($A962="",$B962&lt;&gt;"tutar_farki"),"",IF(ABS($C962-$D962)&lt;=toleransKurus,"KDV_ORAN",IF(ABS($C962-$E962*dbe_kdvOran)&lt;=toleransKurus,"MATRAH",IF($F962=1,"YUVARLAMA","TANIMSIZ"))))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IF($A963="","",IF($C963&lt;=dbe_yuvarlamaEsik,1,0))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IF(OR($A963="",$B963&lt;&gt;"tutar_farki"),"",IF(ABS($C963-$D963)&lt;=toleransKurus,"KDV_ORAN",IF(ABS($C963-$E963*dbe_kdvOran)&lt;=toleransKurus,"MATRAH",IF($F963=1,"YUVARLAMA","TANIMSIZ"))))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IF($A964="","",IF($C964&lt;=dbe_yuvarlamaEsik,1,0))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IF(OR($A964="",$B964&lt;&gt;"tutar_farki"),"",IF(ABS($C964-$D964)&lt;=toleransKurus,"KDV_ORAN",IF(ABS($C964-$E964*dbe_kdvOran)&lt;=toleransKurus,"MATRAH",IF($F964=1,"YUVARLAMA","TANIMSIZ"))))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IF($A965="","",IF($C965&lt;=dbe_yuvarlamaEsik,1,0))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IF(OR($A965="",$B965&lt;&gt;"tutar_farki"),"",IF(ABS($C965-$D965)&lt;=toleransKurus,"KDV_ORAN",IF(ABS($C965-$E965*dbe_kdvOran)&lt;=toleransKurus,"MATRAH",IF($F965=1,"YUVARLAMA","TANIMSIZ"))))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IF($A966="","",IF($C966&lt;=dbe_yuvarlamaEsik,1,0))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IF(OR($A966="",$B966&lt;&gt;"tutar_farki"),"",IF(ABS($C966-$D966)&lt;=toleransKurus,"KDV_ORAN",IF(ABS($C966-$E966*dbe_kdvOran)&lt;=toleransKurus,"MATRAH",IF($F966=1,"YUVARLAMA","TANIMSIZ"))))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IF($A967="","",IF($C967&lt;=dbe_yuvarlamaEsik,1,0))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IF(OR($A967="",$B967&lt;&gt;"tutar_farki"),"",IF(ABS($C967-$D967)&lt;=toleransKurus,"KDV_ORAN",IF(ABS($C967-$E967*dbe_kdvOran)&lt;=toleransKurus,"MATRAH",IF($F967=1,"YUVARLAMA","TANIMSIZ"))))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IF($A968="","",IF($C968&lt;=dbe_yuvarlamaEsik,1,0))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IF(OR($A968="",$B968&lt;&gt;"tutar_farki"),"",IF(ABS($C968-$D968)&lt;=toleransKurus,"KDV_ORAN",IF(ABS($C968-$E968*dbe_kdvOran)&lt;=toleransKurus,"MATRAH",IF($F968=1,"YUVARLAMA","TANIMSIZ"))))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IF($A969="","",IF($C969&lt;=dbe_yuvarlamaEsik,1,0))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IF(OR($A969="",$B969&lt;&gt;"tutar_farki"),"",IF(ABS($C969-$D969)&lt;=toleransKurus,"KDV_ORAN",IF(ABS($C969-$E969*dbe_kdvOran)&lt;=toleransKurus,"MATRAH",IF($F969=1,"YUVARLAMA","TANIMSIZ"))))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IF($A970="","",IF($C970&lt;=dbe_yuvarlamaEsik,1,0))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IF(OR($A970="",$B970&lt;&gt;"tutar_farki"),"",IF(ABS($C970-$D970)&lt;=toleransKurus,"KDV_ORAN",IF(ABS($C970-$E970*dbe_kdvOran)&lt;=toleransKurus,"MATRAH",IF($F970=1,"YUVARLAMA","TANIMSIZ"))))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IF($A971="","",IF($C971&lt;=dbe_yuvarlamaEsik,1,0))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IF(OR($A971="",$B971&lt;&gt;"tutar_farki"),"",IF(ABS($C971-$D971)&lt;=toleransKurus,"KDV_ORAN",IF(ABS($C971-$E971*dbe_kdvOran)&lt;=toleransKurus,"MATRAH",IF($F971=1,"YUVARLAMA","TANIMSIZ"))))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IF($A972="","",IF($C972&lt;=dbe_yuvarlamaEsik,1,0))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IF(OR($A972="",$B972&lt;&gt;"tutar_farki"),"",IF(ABS($C972-$D972)&lt;=toleransKurus,"KDV_ORAN",IF(ABS($C972-$E972*dbe_kdvOran)&lt;=toleransKurus,"MATRAH",IF($F972=1,"YUVARLAMA","TANIMSIZ"))))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IF($A973="","",IF($C973&lt;=dbe_yuvarlamaEsik,1,0))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IF(OR($A973="",$B973&lt;&gt;"tutar_farki"),"",IF(ABS($C973-$D973)&lt;=toleransKurus,"KDV_ORAN",IF(ABS($C973-$E973*dbe_kdvOran)&lt;=toleransKurus,"MATRAH",IF($F973=1,"YUVARLAMA","TANIMSIZ"))))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IF($A974="","",IF($C974&lt;=dbe_yuvarlamaEsik,1,0))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IF(OR($A974="",$B974&lt;&gt;"tutar_farki"),"",IF(ABS($C974-$D974)&lt;=toleransKurus,"KDV_ORAN",IF(ABS($C974-$E974*dbe_kdvOran)&lt;=toleransKurus,"MATRAH",IF($F974=1,"YUVARLAMA","TANIMSIZ"))))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IF($A975="","",IF($C975&lt;=dbe_yuvarlamaEsik,1,0))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IF(OR($A975="",$B975&lt;&gt;"tutar_farki"),"",IF(ABS($C975-$D975)&lt;=toleransKurus,"KDV_ORAN",IF(ABS($C975-$E975*dbe_kdvOran)&lt;=toleransKurus,"MATRAH",IF($F975=1,"YUVARLAMA","TANIMSIZ"))))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IF($A976="","",IF($C976&lt;=dbe_yuvarlamaEsik,1,0))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IF(OR($A976="",$B976&lt;&gt;"tutar_farki"),"",IF(ABS($C976-$D976)&lt;=toleransKurus,"KDV_ORAN",IF(ABS($C976-$E976*dbe_kdvOran)&lt;=toleransKurus,"MATRAH",IF($F976=1,"YUVARLAMA","TANIMSIZ"))))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IF($A977="","",IF($C977&lt;=dbe_yuvarlamaEsik,1,0))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IF(OR($A977="",$B977&lt;&gt;"tutar_farki"),"",IF(ABS($C977-$D977)&lt;=toleransKurus,"KDV_ORAN",IF(ABS($C977-$E977*dbe_kdvOran)&lt;=toleransKurus,"MATRAH",IF($F977=1,"YUVARLAMA","TANIMSIZ"))))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IF($A978="","",IF($C978&lt;=dbe_yuvarlamaEsik,1,0))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IF(OR($A978="",$B978&lt;&gt;"tutar_farki"),"",IF(ABS($C978-$D978)&lt;=toleransKurus,"KDV_ORAN",IF(ABS($C978-$E978*dbe_kdvOran)&lt;=toleransKurus,"MATRAH",IF($F978=1,"YUVARLAMA","TANIMSIZ"))))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IF($A979="","",IF($C979&lt;=dbe_yuvarlamaEsik,1,0))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IF(OR($A979="",$B979&lt;&gt;"tutar_farki"),"",IF(ABS($C979-$D979)&lt;=toleransKurus,"KDV_ORAN",IF(ABS($C979-$E979*dbe_kdvOran)&lt;=toleransKurus,"MATRAH",IF($F979=1,"YUVARLAMA","TANIMSIZ"))))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IF($A980="","",IF($C980&lt;=dbe_yuvarlamaEsik,1,0))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IF(OR($A980="",$B980&lt;&gt;"tutar_farki"),"",IF(ABS($C980-$D980)&lt;=toleransKurus,"KDV_ORAN",IF(ABS($C980-$E980*dbe_kdvOran)&lt;=toleransKurus,"MATRAH",IF($F980=1,"YUVARLAMA","TANIMSIZ"))))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IF($A981="","",IF($C981&lt;=dbe_yuvarlamaEsik,1,0))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IF(OR($A981="",$B981&lt;&gt;"tutar_farki"),"",IF(ABS($C981-$D981)&lt;=toleransKurus,"KDV_ORAN",IF(ABS($C981-$E981*dbe_kdvOran)&lt;=toleransKurus,"MATRAH",IF($F981=1,"YUVARLAMA","TANIMSIZ"))))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IF($A982="","",IF($C982&lt;=dbe_yuvarlamaEsik,1,0))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IF(OR($A982="",$B982&lt;&gt;"tutar_farki"),"",IF(ABS($C982-$D982)&lt;=toleransKurus,"KDV_ORAN",IF(ABS($C982-$E982*dbe_kdvOran)&lt;=toleransKurus,"MATRAH",IF($F982=1,"YUVARLAMA","TANIMSIZ"))))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IF($A983="","",IF($C983&lt;=dbe_yuvarlamaEsik,1,0))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IF(OR($A983="",$B983&lt;&gt;"tutar_farki"),"",IF(ABS($C983-$D983)&lt;=toleransKurus,"KDV_ORAN",IF(ABS($C983-$E983*dbe_kdvOran)&lt;=toleransKurus,"MATRAH",IF($F983=1,"YUVARLAMA","TANIMSIZ"))))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IF($A984="","",IF($C984&lt;=dbe_yuvarlamaEsik,1,0))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IF(OR($A984="",$B984&lt;&gt;"tutar_farki"),"",IF(ABS($C984-$D984)&lt;=toleransKurus,"KDV_ORAN",IF(ABS($C984-$E984*dbe_kdvOran)&lt;=toleransKurus,"MATRAH",IF($F984=1,"YUVARLAMA","TANIMSIZ"))))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IF($A985="","",IF($C985&lt;=dbe_yuvarlamaEsik,1,0))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IF(OR($A985="",$B985&lt;&gt;"tutar_farki"),"",IF(ABS($C985-$D985)&lt;=toleransKurus,"KDV_ORAN",IF(ABS($C985-$E985*dbe_kdvOran)&lt;=toleransKurus,"MATRAH",IF($F985=1,"YUVARLAMA","TANIMSIZ"))))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IF($A986="","",IF($C986&lt;=dbe_yuvarlamaEsik,1,0))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IF(OR($A986="",$B986&lt;&gt;"tutar_farki"),"",IF(ABS($C986-$D986)&lt;=toleransKurus,"KDV_ORAN",IF(ABS($C986-$E986*dbe_kdvOran)&lt;=toleransKurus,"MATRAH",IF($F986=1,"YUVARLAMA","TANIMSIZ"))))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IF($A987="","",IF($C987&lt;=dbe_yuvarlamaEsik,1,0))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IF(OR($A987="",$B987&lt;&gt;"tutar_farki"),"",IF(ABS($C987-$D987)&lt;=toleransKurus,"KDV_ORAN",IF(ABS($C987-$E987*dbe_kdvOran)&lt;=toleransKurus,"MATRAH",IF($F987=1,"YUVARLAMA","TANIMSIZ"))))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IF($A988="","",IF($C988&lt;=dbe_yuvarlamaEsik,1,0))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IF(OR($A988="",$B988&lt;&gt;"tutar_farki"),"",IF(ABS($C988-$D988)&lt;=toleransKurus,"KDV_ORAN",IF(ABS($C988-$E988*dbe_kdvOran)&lt;=toleransKurus,"MATRAH",IF($F988=1,"YUVARLAMA","TANIMSIZ"))))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IF($A989="","",IF($C989&lt;=dbe_yuvarlamaEsik,1,0))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IF(OR($A989="",$B989&lt;&gt;"tutar_farki"),"",IF(ABS($C989-$D989)&lt;=toleransKurus,"KDV_ORAN",IF(ABS($C989-$E989*dbe_kdvOran)&lt;=toleransKurus,"MATRAH",IF($F989=1,"YUVARLAMA","TANIMSIZ"))))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IF($A990="","",IF($C990&lt;=dbe_yuvarlamaEsik,1,0))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IF(OR($A990="",$B990&lt;&gt;"tutar_farki"),"",IF(ABS($C990-$D990)&lt;=toleransKurus,"KDV_ORAN",IF(ABS($C990-$E990*dbe_kdvOran)&lt;=toleransKurus,"MATRAH",IF($F990=1,"YUVARLAMA","TANIMSIZ"))))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IF($A991="","",IF($C991&lt;=dbe_yuvarlamaEsik,1,0))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IF(OR($A991="",$B991&lt;&gt;"tutar_farki"),"",IF(ABS($C991-$D991)&lt;=toleransKurus,"KDV_ORAN",IF(ABS($C991-$E991*dbe_kdvOran)&lt;=toleransKurus,"MATRAH",IF($F991=1,"YUVARLAMA","TANIMSIZ"))))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IF($A992="","",IF($C992&lt;=dbe_yuvarlamaEsik,1,0))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IF(OR($A992="",$B992&lt;&gt;"tutar_farki"),"",IF(ABS($C992-$D992)&lt;=toleransKurus,"KDV_ORAN",IF(ABS($C992-$E992*dbe_kdvOran)&lt;=toleransKurus,"MATRAH",IF($F992=1,"YUVARLAMA","TANIMSIZ"))))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IF($A993="","",IF($C993&lt;=dbe_yuvarlamaEsik,1,0))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IF(OR($A993="",$B993&lt;&gt;"tutar_farki"),"",IF(ABS($C993-$D993)&lt;=toleransKurus,"KDV_ORAN",IF(ABS($C993-$E993*dbe_kdvOran)&lt;=toleransKurus,"MATRAH",IF($F993=1,"YUVARLAMA","TANIMSIZ"))))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IF($A994="","",IF($C994&lt;=dbe_yuvarlamaEsik,1,0))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IF(OR($A994="",$B994&lt;&gt;"tutar_farki"),"",IF(ABS($C994-$D994)&lt;=toleransKurus,"KDV_ORAN",IF(ABS($C994-$E994*dbe_kdvOran)&lt;=toleransKurus,"MATRAH",IF($F994=1,"YUVARLAMA","TANIMSIZ"))))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IF($A995="","",IF($C995&lt;=dbe_yuvarlamaEsik,1,0))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IF(OR($A995="",$B995&lt;&gt;"tutar_farki"),"",IF(ABS($C995-$D995)&lt;=toleransKurus,"KDV_ORAN",IF(ABS($C995-$E995*dbe_kdvOran)&lt;=toleransKurus,"MATRAH",IF($F995=1,"YUVARLAMA","TANIMSIZ"))))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IF($A996="","",IF($C996&lt;=dbe_yuvarlamaEsik,1,0))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IF(OR($A996="",$B996&lt;&gt;"tutar_farki"),"",IF(ABS($C996-$D996)&lt;=toleransKurus,"KDV_ORAN",IF(ABS($C996-$E996*dbe_kdvOran)&lt;=toleransKurus,"MATRAH",IF($F996=1,"YUVARLAMA","TANIMSIZ"))))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IF($A997="","",IF($C997&lt;=dbe_yuvarlamaEsik,1,0))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IF(OR($A997="",$B997&lt;&gt;"tutar_farki"),"",IF(ABS($C997-$D997)&lt;=toleransKurus,"KDV_ORAN",IF(ABS($C997-$E997*dbe_kdvOran)&lt;=toleransKurus,"MATRAH",IF($F997=1,"YUVARLAMA","TANIMSIZ"))))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IF($A998="","",IF($C998&lt;=dbe_yuvarlamaEsik,1,0))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IF(OR($A998="",$B998&lt;&gt;"tutar_farki"),"",IF(ABS($C998-$D998)&lt;=toleransKurus,"KDV_ORAN",IF(ABS($C998-$E998*dbe_kdvOran)&lt;=toleransKurus,"MATRAH",IF($F998=1,"YUVARLAMA","TANIMSIZ"))))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IF($A999="","",IF($C999&lt;=dbe_yuvarlamaEsik,1,0))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IF(OR($A999="",$B999&lt;&gt;"tutar_farki"),"",IF(ABS($C999-$D999)&lt;=toleransKurus,"KDV_ORAN",IF(ABS($C999-$E999*dbe_kdvOran)&lt;=toleransKurus,"MATRAH",IF($F999=1,"YUVARLAMA","TANIMSIZ"))))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IF($A1000="","",IF($C1000&lt;=dbe_yuvarlamaEsik,1,0))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IF(OR($A1000="",$B1000&lt;&gt;"tutar_farki"),"",IF(ABS($C1000-$D1000)&lt;=toleransKurus,"KDV_ORAN",IF(ABS($C1000-$E1000*dbe_kdvOran)&lt;=toleransKurus,"MATRAH",IF($F1000=1,"YUVARLAMA","TANIMSIZ"))))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IF($A1001="","",IF($C1001&lt;=dbe_yuvarlamaEsik,1,0))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IF(OR($A1001="",$B1001&lt;&gt;"tutar_farki"),"",IF(ABS($C1001-$D1001)&lt;=toleransKurus,"KDV_ORAN",IF(ABS($C1001-$E1001*dbe_kdvOran)&lt;=toleransKurus,"MATRAH",IF($F1001=1,"YUVARLAMA","TANIMSIZ"))))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IF($A1002="","",IF($C1002&lt;=dbe_yuvarlamaEsik,1,0))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IF(OR($A1002="",$B1002&lt;&gt;"tutar_farki"),"",IF(ABS($C1002-$D1002)&lt;=toleransKurus,"KDV_ORAN",IF(ABS($C1002-$E1002*dbe_kdvOran)&lt;=toleransKurus,"MATRAH",IF($F1002=1,"YUVARLAMA","TANIMSIZ"))))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IF($A1003="","",IF($C1003&lt;=dbe_yuvarlamaEsik,1,0))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IF(OR($A1003="",$B1003&lt;&gt;"tutar_farki"),"",IF(ABS($C1003-$D1003)&lt;=toleransKurus,"KDV_ORAN",IF(ABS($C1003-$E1003*dbe_kdvOran)&lt;=toleransKurus,"MATRAH",IF($F1003=1,"YUVARLAMA","TANIMSIZ"))))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IF($A1004="","",IF($C1004&lt;=dbe_yuvarlamaEsik,1,0))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IF(OR($A1004="",$B1004&lt;&gt;"tutar_farki"),"",IF(ABS($C1004-$D1004)&lt;=toleransKurus,"KDV_ORAN",IF(ABS($C1004-$E1004*dbe_kdvOran)&lt;=toleransKurus,"MATRAH",IF($F1004=1,"YUVARLAMA","TANIMSIZ"))))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IF($A1005="","",IF($C1005&lt;=dbe_yuvarlamaEsik,1,0))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IF(OR($A1005="",$B1005&lt;&gt;"tutar_farki"),"",IF(ABS($C1005-$D1005)&lt;=toleransKurus,"KDV_ORAN",IF(ABS($C1005-$E1005*dbe_kdvOran)&lt;=toleransKurus,"MATRAH",IF($F1005=1,"YUVARLAMA","TANIMSIZ"))))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IF($A1006="","",IF($C1006&lt;=dbe_yuvarlamaEsik,1,0))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IF(OR($A1006="",$B1006&lt;&gt;"tutar_farki"),"",IF(ABS($C1006-$D1006)&lt;=toleransKurus,"KDV_ORAN",IF(ABS($C1006-$E1006*dbe_kdvOran)&lt;=toleransKurus,"MATRAH",IF($F1006=1,"YUVARLAMA","TANIMSIZ"))))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IF($A1007="","",IF($C1007&lt;=dbe_yuvarlamaEsik,1,0))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IF(OR($A1007="",$B1007&lt;&gt;"tutar_farki"),"",IF(ABS($C1007-$D1007)&lt;=toleransKurus,"KDV_ORAN",IF(ABS($C1007-$E1007*dbe_kdvOran)&lt;=toleransKurus,"MATRAH",IF($F1007=1,"YUVARLAMA","TANIMSIZ"))))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IF($A1008="","",IF($C1008&lt;=dbe_yuvarlamaEsik,1,0))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IF(OR($A1008="",$B1008&lt;&gt;"tutar_farki"),"",IF(ABS($C1008-$D1008)&lt;=toleransKurus,"KDV_ORAN",IF(ABS($C1008-$E1008*dbe_kdvOran)&lt;=toleransKurus,"MATRAH",IF($F1008=1,"YUVARLAMA","TANIMSIZ"))))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IF($A1009="","",IF($C1009&lt;=dbe_yuvarlamaEsik,1,0))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IF(OR($A1009="",$B1009&lt;&gt;"tutar_farki"),"",IF(ABS($C1009-$D1009)&lt;=toleransKurus,"KDV_ORAN",IF(ABS($C1009-$E1009*dbe_kdvOran)&lt;=toleransKurus,"MATRAH",IF($F1009=1,"YUVARLAMA","TANIMSIZ"))))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IF($A1010="","",IF($C1010&lt;=dbe_yuvarlamaEsik,1,0))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IF(OR($A1010="",$B1010&lt;&gt;"tutar_farki"),"",IF(ABS($C1010-$D1010)&lt;=toleransKurus,"KDV_ORAN",IF(ABS($C1010-$E1010*dbe_kdvOran)&lt;=toleransKurus,"MATRAH",IF($F1010=1,"YUVARLAMA","TANIMSIZ"))))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IF($A1011="","",IF($C1011&lt;=dbe_yuvarlamaEsik,1,0))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IF(OR($A1011="",$B1011&lt;&gt;"tutar_farki"),"",IF(ABS($C1011-$D1011)&lt;=toleransKurus,"KDV_ORAN",IF(ABS($C1011-$E1011*dbe_kdvOran)&lt;=toleransKurus,"MATRAH",IF($F1011=1,"YUVARLAMA","TANIMSIZ"))))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IF($A1012="","",IF($C1012&lt;=dbe_yuvarlamaEsik,1,0))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IF(OR($A1012="",$B1012&lt;&gt;"tutar_farki"),"",IF(ABS($C1012-$D1012)&lt;=toleransKurus,"KDV_ORAN",IF(ABS($C1012-$E1012*dbe_kdvOran)&lt;=toleransKurus,"MATRAH",IF($F1012=1,"YUVARLAMA","TANIMSIZ"))))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IF($A1013="","",IF($C1013&lt;=dbe_yuvarlamaEsik,1,0))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IF(OR($A1013="",$B1013&lt;&gt;"tutar_farki"),"",IF(ABS($C1013-$D1013)&lt;=toleransKurus,"KDV_ORAN",IF(ABS($C1013-$E1013*dbe_kdvOran)&lt;=toleransKurus,"MATRAH",IF($F1013=1,"YUVARLAMA","TANIMSIZ"))))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IF($A1014="","",IF($C1014&lt;=dbe_yuvarlamaEsik,1,0))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IF(OR($A1014="",$B1014&lt;&gt;"tutar_farki"),"",IF(ABS($C1014-$D1014)&lt;=toleransKurus,"KDV_ORAN",IF(ABS($C1014-$E1014*dbe_kdvOran)&lt;=toleransKurus,"MATRAH",IF($F1014=1,"YUVARLAMA","TANIMSIZ"))))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IF($A1015="","",IF($C1015&lt;=dbe_yuvarlamaEsik,1,0))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IF(OR($A1015="",$B1015&lt;&gt;"tutar_farki"),"",IF(ABS($C1015-$D1015)&lt;=toleransKurus,"KDV_ORAN",IF(ABS($C1015-$E1015*dbe_kdvOran)&lt;=toleransKurus,"MATRAH",IF($F1015=1,"YUVARLAMA","TANIMSIZ"))))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Defter Beyan e-Arşiv Aktarım Düzenleyici</t>
        </is>
      </c>
    </row>
    <row r="3">
      <c r="A3" s="26" t="inlineStr">
        <is>
          <t>Karar Destek Paneli</t>
        </is>
      </c>
      <c r="C3" s="22" t="inlineStr">
        <is>
          <t>Rapor Tarihi</t>
        </is>
      </c>
      <c r="D3" s="71">
        <f>raporTarihi</f>
        <v/>
      </c>
    </row>
    <row r="4">
      <c r="A4" s="5" t="inlineStr">
        <is>
          <t>KARAR</t>
        </is>
      </c>
      <c r="B4" s="28">
        <f>dbe_kararKapi</f>
        <v/>
      </c>
    </row>
    <row r="6">
      <c r="A6" s="29" t="inlineStr">
        <is>
          <t>Eşleşme Oranı</t>
        </is>
      </c>
      <c r="B6" s="72">
        <f>dbe_eslesmeOrani</f>
        <v/>
      </c>
      <c r="D6" s="17" t="inlineStr">
        <is>
          <t>Modül Yorumları</t>
        </is>
      </c>
    </row>
    <row r="7">
      <c r="A7" s="29" t="inlineStr">
        <is>
          <t>e-Arşiv Toplam (A)</t>
        </is>
      </c>
      <c r="B7" s="73">
        <f>IFERROR(SUM(tblVeriA[Toplam]),0)</f>
        <v/>
      </c>
      <c r="D7" s="8">
        <f>dbe_modulT1Yorum</f>
        <v/>
      </c>
    </row>
    <row r="8">
      <c r="A8" s="29" t="inlineStr">
        <is>
          <t>DBS Toplam (B)</t>
        </is>
      </c>
      <c r="B8" s="73">
        <f>IFERROR(SUM(tblVeriB[Tutar]),0)</f>
        <v/>
      </c>
      <c r="D8" s="8">
        <f>dbe_modulT2Yorum</f>
        <v/>
      </c>
    </row>
    <row r="9">
      <c r="A9" s="29" t="inlineStr">
        <is>
          <t>Mutabakat Farkı</t>
        </is>
      </c>
      <c r="B9" s="73">
        <f>dbe_mutabakatFarki</f>
        <v/>
      </c>
      <c r="D9" s="8">
        <f>dbe_modulO1Yorum</f>
        <v/>
      </c>
    </row>
    <row r="10">
      <c r="A10" s="29" t="inlineStr">
        <is>
          <t>Eşleşti Adet</t>
        </is>
      </c>
      <c r="B10" s="32">
        <f>COUNTIF(tblEslesme[Kova],"eslesti")</f>
        <v/>
      </c>
      <c r="D10" s="8">
        <f>dbe_modulO2Yorum</f>
        <v/>
      </c>
    </row>
    <row r="11">
      <c r="A11" s="29" t="inlineStr">
        <is>
          <t>Tolerans İçinde</t>
        </is>
      </c>
      <c r="B11" s="32">
        <f>COUNTIF(tblEslesme[Kova],"tolerans_icinde")</f>
        <v/>
      </c>
      <c r="D11" s="8">
        <f>dbe_modulO3Yorum</f>
        <v/>
      </c>
    </row>
    <row r="12">
      <c r="A12" s="29" t="inlineStr">
        <is>
          <t>Tutar Farkı Adet</t>
        </is>
      </c>
      <c r="B12" s="32">
        <f>COUNTIF(tblEslesme[Kova],"tutar_farki")</f>
        <v/>
      </c>
      <c r="D12" s="8">
        <f>dbe_modulO6Yorum</f>
        <v/>
      </c>
    </row>
    <row r="13">
      <c r="A13" s="29" t="inlineStr">
        <is>
          <t>Eşleşmedi Adet</t>
        </is>
      </c>
      <c r="B13" s="32">
        <f>COUNTIF(tblEslesme[Kova],"eslesmedi")</f>
        <v/>
      </c>
      <c r="D13" s="8">
        <f>dbe_modulO8Yorum</f>
        <v/>
      </c>
    </row>
    <row r="14">
      <c r="A14" s="29" t="inlineStr">
        <is>
          <t>Kova Bütünlük</t>
        </is>
      </c>
      <c r="B14" s="33">
        <f>dbe_kovaButunluk</f>
        <v/>
      </c>
      <c r="D14" s="8">
        <f>dbe_modulI1Yorum</f>
        <v/>
      </c>
    </row>
    <row r="15">
      <c r="A15" s="29" t="inlineStr">
        <is>
          <t>Anomali Sayısı</t>
        </is>
      </c>
      <c r="B15" s="32">
        <f>dbe_modulO1</f>
        <v/>
      </c>
      <c r="D15" s="8">
        <f>dbe_modulI2Yorum</f>
        <v/>
      </c>
    </row>
    <row r="16">
      <c r="A16" s="29" t="inlineStr">
        <is>
          <t>Hata Sayısı</t>
        </is>
      </c>
      <c r="B16" s="32">
        <f>dbe_modulT2</f>
        <v/>
      </c>
    </row>
    <row r="17">
      <c r="A17" s="29" t="inlineStr">
        <is>
          <t>Fark P90</t>
        </is>
      </c>
      <c r="B17" s="73">
        <f>dbe_modulI2</f>
        <v/>
      </c>
    </row>
    <row r="18">
      <c r="A18" s="29" t="inlineStr">
        <is>
          <t>Tahmin Aralık</t>
        </is>
      </c>
      <c r="B18" s="73">
        <f>dbe_modulI1</f>
        <v/>
      </c>
    </row>
    <row r="19">
      <c r="A19" s="29" t="inlineStr">
        <is>
          <t>Hata Yoğunluğu</t>
        </is>
      </c>
      <c r="B19" s="72">
        <f>dbe_modulO6</f>
        <v/>
      </c>
    </row>
    <row r="20">
      <c r="A20" s="29" t="inlineStr">
        <is>
          <t>Veri Kalite</t>
        </is>
      </c>
      <c r="B20" s="32">
        <f>dbe_modulO8</f>
        <v/>
      </c>
    </row>
    <row r="21">
      <c r="A21" s="29" t="inlineStr">
        <is>
          <t>Duplike Uyarı</t>
        </is>
      </c>
      <c r="B21" s="32">
        <f>COUNTIF(tblAnahtarA[Duplike],"EVET")</f>
        <v/>
      </c>
    </row>
    <row r="23">
      <c r="A23" s="17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19" t="n">
        <v>28</v>
      </c>
      <c r="D25" s="7" t="inlineStr">
        <is>
          <t>KDV oran</t>
        </is>
      </c>
      <c r="E25" s="19" t="n">
        <v>2</v>
      </c>
      <c r="G25" s="19" t="n">
        <v>1</v>
      </c>
      <c r="H25" s="74" t="n">
        <v>40</v>
      </c>
      <c r="J25" s="7" t="inlineStr">
        <is>
          <t>Tolerans sıkı</t>
        </is>
      </c>
      <c r="K25" s="74" t="n">
        <v>120</v>
      </c>
    </row>
    <row r="26">
      <c r="A26" s="7" t="inlineStr">
        <is>
          <t>Tolerans</t>
        </is>
      </c>
      <c r="B26" s="19" t="n">
        <v>3</v>
      </c>
      <c r="D26" s="7" t="inlineStr">
        <is>
          <t>Matrah</t>
        </is>
      </c>
      <c r="E26" s="19" t="n">
        <v>1</v>
      </c>
      <c r="G26" s="19" t="n">
        <v>2</v>
      </c>
      <c r="H26" s="74" t="n">
        <v>48.5</v>
      </c>
      <c r="J26" s="7" t="inlineStr">
        <is>
          <t>KDV +1pp</t>
        </is>
      </c>
      <c r="K26" s="74" t="n">
        <v>95</v>
      </c>
    </row>
    <row r="27">
      <c r="A27" s="7" t="inlineStr">
        <is>
          <t>Tutar farkı</t>
        </is>
      </c>
      <c r="B27" s="19" t="n">
        <v>5</v>
      </c>
      <c r="D27" s="7" t="inlineStr">
        <is>
          <t>Yuvarlama</t>
        </is>
      </c>
      <c r="E27" s="19" t="n">
        <v>1</v>
      </c>
      <c r="G27" s="19" t="n">
        <v>3</v>
      </c>
      <c r="H27" s="74" t="n">
        <v>57</v>
      </c>
      <c r="J27" s="7" t="inlineStr">
        <is>
          <t>Matrah sapma</t>
        </is>
      </c>
      <c r="K27" s="74" t="n">
        <v>80</v>
      </c>
    </row>
    <row r="28">
      <c r="A28" s="7" t="inlineStr">
        <is>
          <t>Eşleşmedi</t>
        </is>
      </c>
      <c r="B28" s="19" t="n">
        <v>4</v>
      </c>
      <c r="D28" s="7" t="inlineStr">
        <is>
          <t>VKN</t>
        </is>
      </c>
      <c r="E28" s="19" t="n">
        <v>0</v>
      </c>
      <c r="G28" s="19" t="n">
        <v>4</v>
      </c>
      <c r="H28" s="74" t="n">
        <v>65.5</v>
      </c>
      <c r="J28" s="7" t="inlineStr">
        <is>
          <t>Yuvarlama</t>
        </is>
      </c>
      <c r="K28" s="74" t="n">
        <v>45</v>
      </c>
    </row>
    <row r="29">
      <c r="D29" s="7" t="inlineStr">
        <is>
          <t>Tarih</t>
        </is>
      </c>
      <c r="E29" s="19" t="n">
        <v>0</v>
      </c>
      <c r="G29" s="19" t="n">
        <v>5</v>
      </c>
      <c r="H29" s="74" t="n">
        <v>74</v>
      </c>
      <c r="J29" s="7" t="inlineStr">
        <is>
          <t>UUID eksik</t>
        </is>
      </c>
      <c r="K29" s="74" t="n">
        <v>200</v>
      </c>
    </row>
    <row r="30">
      <c r="D30" s="7" t="inlineStr">
        <is>
          <t>Tanımsız</t>
        </is>
      </c>
      <c r="E30" s="19" t="n">
        <v>1</v>
      </c>
      <c r="G30" s="19" t="n">
        <v>6</v>
      </c>
      <c r="H30" s="74" t="n">
        <v>82.5</v>
      </c>
    </row>
    <row r="31">
      <c r="G31" s="19" t="n">
        <v>7</v>
      </c>
      <c r="H31" s="74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&amp;LDefter Beyan e-Arşiv Aktarım Düzenleyici | 1.0.0&amp;CExcelArşiv&amp;RSayfa &amp;P / &amp;N</oddFooter>
    <evenHeader/>
    <evenFooter>&amp;LDefter Beyan e-Arşiv Aktarım Düzenleyici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942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Defter Beyan e-Arşiv Aktarım Düzenleyici</t>
        </is>
      </c>
    </row>
    <row r="2">
      <c r="I2" s="22" t="inlineStr">
        <is>
          <t>Şablon</t>
        </is>
      </c>
      <c r="J2" s="35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IF($B6&lt;&gt;"tutar_farki","",IF(ABS($C6)&gt;dbe_esikFark,"YUKSEK","NORMAL"))</f>
        <v/>
      </c>
      <c r="F6" s="16">
        <f>IF($B6&lt;&gt;"tutar_farki","","Belge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IF($B7&lt;&gt;"tutar_farki","",IF(ABS($C7)&gt;dbe_esikFark,"YUKSEK","NORMAL"))</f>
        <v/>
      </c>
      <c r="F7" s="16">
        <f>IF($B7&lt;&gt;"tutar_farki","","Belge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IF($B8&lt;&gt;"tutar_farki","",IF(ABS($C8)&gt;dbe_esikFark,"YUKSEK","NORMAL"))</f>
        <v/>
      </c>
      <c r="F8" s="16">
        <f>IF($B8&lt;&gt;"tutar_farki","","Belge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IF($B9&lt;&gt;"tutar_farki","",IF(ABS($C9)&gt;dbe_esikFark,"YUKSEK","NORMAL"))</f>
        <v/>
      </c>
      <c r="F9" s="16">
        <f>IF($B9&lt;&gt;"tutar_farki","","Belge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IF($B10&lt;&gt;"tutar_farki","",IF(ABS($C10)&gt;dbe_esikFark,"YUKSEK","NORMAL"))</f>
        <v/>
      </c>
      <c r="F10" s="16">
        <f>IF($B10&lt;&gt;"tutar_farki","","Belge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IF($B11&lt;&gt;"tutar_farki","",IF(ABS($C11)&gt;dbe_esikFark,"YUKSEK","NORMAL"))</f>
        <v/>
      </c>
      <c r="F11" s="16">
        <f>IF($B11&lt;&gt;"tutar_farki","","Belge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IF($B12&lt;&gt;"tutar_farki","",IF(ABS($C12)&gt;dbe_esikFark,"YUKSEK","NORMAL"))</f>
        <v/>
      </c>
      <c r="F12" s="16">
        <f>IF($B12&lt;&gt;"tutar_farki","","Belge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IF($B13&lt;&gt;"tutar_farki","",IF(ABS($C13)&gt;dbe_esikFark,"YUKSEK","NORMAL"))</f>
        <v/>
      </c>
      <c r="F13" s="16">
        <f>IF($B13&lt;&gt;"tutar_farki","","Belge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IF($B14&lt;&gt;"tutar_farki","",IF(ABS($C14)&gt;dbe_esikFark,"YUKSEK","NORMAL"))</f>
        <v/>
      </c>
      <c r="F14" s="16">
        <f>IF($B14&lt;&gt;"tutar_farki","","Belge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IF($B15&lt;&gt;"tutar_farki","",IF(ABS($C15)&gt;dbe_esikFark,"YUKSEK","NORMAL"))</f>
        <v/>
      </c>
      <c r="F15" s="16">
        <f>IF($B15&lt;&gt;"tutar_farki","","Belge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IF($B16&lt;&gt;"tutar_farki","",IF(ABS($C16)&gt;dbe_esikFark,"YUKSEK","NORMAL"))</f>
        <v/>
      </c>
      <c r="F16" s="16">
        <f>IF($B16&lt;&gt;"tutar_farki","","Belge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IF($B17&lt;&gt;"tutar_farki","",IF(ABS($C17)&gt;dbe_esikFark,"YUKSEK","NORMAL"))</f>
        <v/>
      </c>
      <c r="F17" s="16">
        <f>IF($B17&lt;&gt;"tutar_farki","","Belge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IF($B18&lt;&gt;"tutar_farki","",IF(ABS($C18)&gt;dbe_esikFark,"YUKSEK","NORMAL"))</f>
        <v/>
      </c>
      <c r="F18" s="16">
        <f>IF($B18&lt;&gt;"tutar_farki","","Belge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IF($B19&lt;&gt;"tutar_farki","",IF(ABS($C19)&gt;dbe_esikFark,"YUKSEK","NORMAL"))</f>
        <v/>
      </c>
      <c r="F19" s="16">
        <f>IF($B19&lt;&gt;"tutar_farki","","Belge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IF($B20&lt;&gt;"tutar_farki","",IF(ABS($C20)&gt;dbe_esikFark,"YUKSEK","NORMAL"))</f>
        <v/>
      </c>
      <c r="F20" s="16">
        <f>IF($B20&lt;&gt;"tutar_farki","","Belge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IF($B21&lt;&gt;"tutar_farki","",IF(ABS($C21)&gt;dbe_esikFark,"YUKSEK","NORMAL"))</f>
        <v/>
      </c>
      <c r="F21" s="16">
        <f>IF($B21&lt;&gt;"tutar_farki","","Belge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IF($B22&lt;&gt;"tutar_farki","",IF(ABS($C22)&gt;dbe_esikFark,"YUKSEK","NORMAL"))</f>
        <v/>
      </c>
      <c r="F22" s="16">
        <f>IF($B22&lt;&gt;"tutar_farki","","Belge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IF($B23&lt;&gt;"tutar_farki","",IF(ABS($C23)&gt;dbe_esikFark,"YUKSEK","NORMAL"))</f>
        <v/>
      </c>
      <c r="F23" s="16">
        <f>IF($B23&lt;&gt;"tutar_farki","","Belge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IF($B24&lt;&gt;"tutar_farki","",IF(ABS($C24)&gt;dbe_esikFark,"YUKSEK","NORMAL"))</f>
        <v/>
      </c>
      <c r="F24" s="16">
        <f>IF($B24&lt;&gt;"tutar_farki","","Belge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IF($B25&lt;&gt;"tutar_farki","",IF(ABS($C25)&gt;dbe_esikFark,"YUKSEK","NORMAL"))</f>
        <v/>
      </c>
      <c r="F25" s="16">
        <f>IF($B25&lt;&gt;"tutar_farki","","Belge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IF($B26&lt;&gt;"tutar_farki","",IF(ABS($C26)&gt;dbe_esikFark,"YUKSEK","NORMAL"))</f>
        <v/>
      </c>
      <c r="F26" s="16">
        <f>IF($B26&lt;&gt;"tutar_farki","","Belge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IF($B27&lt;&gt;"tutar_farki","",IF(ABS($C27)&gt;dbe_esikFark,"YUKSEK","NORMAL"))</f>
        <v/>
      </c>
      <c r="F27" s="16">
        <f>IF($B27&lt;&gt;"tutar_farki","","Belge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IF($B28&lt;&gt;"tutar_farki","",IF(ABS($C28)&gt;dbe_esikFark,"YUKSEK","NORMAL"))</f>
        <v/>
      </c>
      <c r="F28" s="16">
        <f>IF($B28&lt;&gt;"tutar_farki","","Belge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IF($B29&lt;&gt;"tutar_farki","",IF(ABS($C29)&gt;dbe_esikFark,"YUKSEK","NORMAL"))</f>
        <v/>
      </c>
      <c r="F29" s="16">
        <f>IF($B29&lt;&gt;"tutar_farki","","Belge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IF($B30&lt;&gt;"tutar_farki","",IF(ABS($C30)&gt;dbe_esikFark,"YUKSEK","NORMAL"))</f>
        <v/>
      </c>
      <c r="F30" s="16">
        <f>IF($B30&lt;&gt;"tutar_farki","","Belge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IF($B31&lt;&gt;"tutar_farki","",IF(ABS($C31)&gt;dbe_esikFark,"YUKSEK","NORMAL"))</f>
        <v/>
      </c>
      <c r="F31" s="16">
        <f>IF($B31&lt;&gt;"tutar_farki","","Belge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IF($B32&lt;&gt;"tutar_farki","",IF(ABS($C32)&gt;dbe_esikFark,"YUKSEK","NORMAL"))</f>
        <v/>
      </c>
      <c r="F32" s="16">
        <f>IF($B32&lt;&gt;"tutar_farki","","Belge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IF($B33&lt;&gt;"tutar_farki","",IF(ABS($C33)&gt;dbe_esikFark,"YUKSEK","NORMAL"))</f>
        <v/>
      </c>
      <c r="F33" s="16">
        <f>IF($B33&lt;&gt;"tutar_farki","","Belge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IF($B34&lt;&gt;"tutar_farki","",IF(ABS($C34)&gt;dbe_esikFark,"YUKSEK","NORMAL"))</f>
        <v/>
      </c>
      <c r="F34" s="16">
        <f>IF($B34&lt;&gt;"tutar_farki","","Belge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IF($B35&lt;&gt;"tutar_farki","",IF(ABS($C35)&gt;dbe_esikFark,"YUKSEK","NORMAL"))</f>
        <v/>
      </c>
      <c r="F35" s="16">
        <f>IF($B35&lt;&gt;"tutar_farki","","Belge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IF($B36&lt;&gt;"tutar_farki","",IF(ABS($C36)&gt;dbe_esikFark,"YUKSEK","NORMAL"))</f>
        <v/>
      </c>
      <c r="F36" s="16">
        <f>IF($B36&lt;&gt;"tutar_farki","","Belge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IF($B37&lt;&gt;"tutar_farki","",IF(ABS($C37)&gt;dbe_esikFark,"YUKSEK","NORMAL"))</f>
        <v/>
      </c>
      <c r="F37" s="16">
        <f>IF($B37&lt;&gt;"tutar_farki","","Belge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IF($B38&lt;&gt;"tutar_farki","",IF(ABS($C38)&gt;dbe_esikFark,"YUKSEK","NORMAL"))</f>
        <v/>
      </c>
      <c r="F38" s="16">
        <f>IF($B38&lt;&gt;"tutar_farki","","Belge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IF($B39&lt;&gt;"tutar_farki","",IF(ABS($C39)&gt;dbe_esikFark,"YUKSEK","NORMAL"))</f>
        <v/>
      </c>
      <c r="F39" s="16">
        <f>IF($B39&lt;&gt;"tutar_farki","","Belge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IF($B40&lt;&gt;"tutar_farki","",IF(ABS($C40)&gt;dbe_esikFark,"YUKSEK","NORMAL"))</f>
        <v/>
      </c>
      <c r="F40" s="16">
        <f>IF($B40&lt;&gt;"tutar_farki","","Belge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IF($B41&lt;&gt;"tutar_farki","",IF(ABS($C41)&gt;dbe_esikFark,"YUKSEK","NORMAL"))</f>
        <v/>
      </c>
      <c r="F41" s="16">
        <f>IF($B41&lt;&gt;"tutar_farki","","Belge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IF($B42&lt;&gt;"tutar_farki","",IF(ABS($C42)&gt;dbe_esikFark,"YUKSEK","NORMAL"))</f>
        <v/>
      </c>
      <c r="F42" s="16">
        <f>IF($B42&lt;&gt;"tutar_farki","","Belge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IF($B43&lt;&gt;"tutar_farki","",IF(ABS($C43)&gt;dbe_esikFark,"YUKSEK","NORMAL"))</f>
        <v/>
      </c>
      <c r="F43" s="16">
        <f>IF($B43&lt;&gt;"tutar_farki","","Belge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IF($B44&lt;&gt;"tutar_farki","",IF(ABS($C44)&gt;dbe_esikFark,"YUKSEK","NORMAL"))</f>
        <v/>
      </c>
      <c r="F44" s="16">
        <f>IF($B44&lt;&gt;"tutar_farki","","Belge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IF($B45&lt;&gt;"tutar_farki","",IF(ABS($C45)&gt;dbe_esikFark,"YUKSEK","NORMAL"))</f>
        <v/>
      </c>
      <c r="F45" s="16">
        <f>IF($B45&lt;&gt;"tutar_farki","","Belge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IF($B46&lt;&gt;"tutar_farki","",IF(ABS($C46)&gt;dbe_esikFark,"YUKSEK","NORMAL"))</f>
        <v/>
      </c>
      <c r="F46" s="16">
        <f>IF($B46&lt;&gt;"tutar_farki","","Belge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IF($B47&lt;&gt;"tutar_farki","",IF(ABS($C47)&gt;dbe_esikFark,"YUKSEK","NORMAL"))</f>
        <v/>
      </c>
      <c r="F47" s="16">
        <f>IF($B47&lt;&gt;"tutar_farki","","Belge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IF($B48&lt;&gt;"tutar_farki","",IF(ABS($C48)&gt;dbe_esikFark,"YUKSEK","NORMAL"))</f>
        <v/>
      </c>
      <c r="F48" s="16">
        <f>IF($B48&lt;&gt;"tutar_farki","","Belge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IF($B49&lt;&gt;"tutar_farki","",IF(ABS($C49)&gt;dbe_esikFark,"YUKSEK","NORMAL"))</f>
        <v/>
      </c>
      <c r="F49" s="16">
        <f>IF($B49&lt;&gt;"tutar_farki","","Belge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IF($B50&lt;&gt;"tutar_farki","",IF(ABS($C50)&gt;dbe_esikFark,"YUKSEK","NORMAL"))</f>
        <v/>
      </c>
      <c r="F50" s="16">
        <f>IF($B50&lt;&gt;"tutar_farki","","Belge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IF($B51&lt;&gt;"tutar_farki","",IF(ABS($C51)&gt;dbe_esikFark,"YUKSEK","NORMAL"))</f>
        <v/>
      </c>
      <c r="F51" s="16">
        <f>IF($B51&lt;&gt;"tutar_farki","","Belge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IF($B52&lt;&gt;"tutar_farki","",IF(ABS($C52)&gt;dbe_esikFark,"YUKSEK","NORMAL"))</f>
        <v/>
      </c>
      <c r="F52" s="16">
        <f>IF($B52&lt;&gt;"tutar_farki","","Belge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IF($B53&lt;&gt;"tutar_farki","",IF(ABS($C53)&gt;dbe_esikFark,"YUKSEK","NORMAL"))</f>
        <v/>
      </c>
      <c r="F53" s="16">
        <f>IF($B53&lt;&gt;"tutar_farki","","Belge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IF($B54&lt;&gt;"tutar_farki","",IF(ABS($C54)&gt;dbe_esikFark,"YUKSEK","NORMAL"))</f>
        <v/>
      </c>
      <c r="F54" s="16">
        <f>IF($B54&lt;&gt;"tutar_farki","","Belge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IF($B55&lt;&gt;"tutar_farki","",IF(ABS($C55)&gt;dbe_esikFark,"YUKSEK","NORMAL"))</f>
        <v/>
      </c>
      <c r="F55" s="16">
        <f>IF($B55&lt;&gt;"tutar_farki","","Belge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IF($B56&lt;&gt;"tutar_farki","",IF(ABS($C56)&gt;dbe_esikFark,"YUKSEK","NORMAL"))</f>
        <v/>
      </c>
      <c r="F56" s="16">
        <f>IF($B56&lt;&gt;"tutar_farki","","Belge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IF($B57&lt;&gt;"tutar_farki","",IF(ABS($C57)&gt;dbe_esikFark,"YUKSEK","NORMAL"))</f>
        <v/>
      </c>
      <c r="F57" s="16">
        <f>IF($B57&lt;&gt;"tutar_farki","","Belge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IF($B58&lt;&gt;"tutar_farki","",IF(ABS($C58)&gt;dbe_esikFark,"YUKSEK","NORMAL"))</f>
        <v/>
      </c>
      <c r="F58" s="16">
        <f>IF($B58&lt;&gt;"tutar_farki","","Belge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IF($B59&lt;&gt;"tutar_farki","",IF(ABS($C59)&gt;dbe_esikFark,"YUKSEK","NORMAL"))</f>
        <v/>
      </c>
      <c r="F59" s="16">
        <f>IF($B59&lt;&gt;"tutar_farki","","Belge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IF($B60&lt;&gt;"tutar_farki","",IF(ABS($C60)&gt;dbe_esikFark,"YUKSEK","NORMAL"))</f>
        <v/>
      </c>
      <c r="F60" s="16">
        <f>IF($B60&lt;&gt;"tutar_farki","","Belge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IF($B61&lt;&gt;"tutar_farki","",IF(ABS($C61)&gt;dbe_esikFark,"YUKSEK","NORMAL"))</f>
        <v/>
      </c>
      <c r="F61" s="16">
        <f>IF($B61&lt;&gt;"tutar_farki","","Belge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IF($B62&lt;&gt;"tutar_farki","",IF(ABS($C62)&gt;dbe_esikFark,"YUKSEK","NORMAL"))</f>
        <v/>
      </c>
      <c r="F62" s="16">
        <f>IF($B62&lt;&gt;"tutar_farki","","Belge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IF($B63&lt;&gt;"tutar_farki","",IF(ABS($C63)&gt;dbe_esikFark,"YUKSEK","NORMAL"))</f>
        <v/>
      </c>
      <c r="F63" s="16">
        <f>IF($B63&lt;&gt;"tutar_farki","","Belge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IF($B64&lt;&gt;"tutar_farki","",IF(ABS($C64)&gt;dbe_esikFark,"YUKSEK","NORMAL"))</f>
        <v/>
      </c>
      <c r="F64" s="16">
        <f>IF($B64&lt;&gt;"tutar_farki","","Belge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IF($B65&lt;&gt;"tutar_farki","",IF(ABS($C65)&gt;dbe_esikFark,"YUKSEK","NORMAL"))</f>
        <v/>
      </c>
      <c r="F65" s="16">
        <f>IF($B65&lt;&gt;"tutar_farki","","Belge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IF($B66&lt;&gt;"tutar_farki","",IF(ABS($C66)&gt;dbe_esikFark,"YUKSEK","NORMAL"))</f>
        <v/>
      </c>
      <c r="F66" s="16">
        <f>IF($B66&lt;&gt;"tutar_farki","","Belge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IF($B67&lt;&gt;"tutar_farki","",IF(ABS($C67)&gt;dbe_esikFark,"YUKSEK","NORMAL"))</f>
        <v/>
      </c>
      <c r="F67" s="16">
        <f>IF($B67&lt;&gt;"tutar_farki","","Belge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IF($B68&lt;&gt;"tutar_farki","",IF(ABS($C68)&gt;dbe_esikFark,"YUKSEK","NORMAL"))</f>
        <v/>
      </c>
      <c r="F68" s="16">
        <f>IF($B68&lt;&gt;"tutar_farki","","Belge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IF($B69&lt;&gt;"tutar_farki","",IF(ABS($C69)&gt;dbe_esikFark,"YUKSEK","NORMAL"))</f>
        <v/>
      </c>
      <c r="F69" s="16">
        <f>IF($B69&lt;&gt;"tutar_farki","","Belge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IF($B70&lt;&gt;"tutar_farki","",IF(ABS($C70)&gt;dbe_esikFark,"YUKSEK","NORMAL"))</f>
        <v/>
      </c>
      <c r="F70" s="16">
        <f>IF($B70&lt;&gt;"tutar_farki","","Belge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IF($B71&lt;&gt;"tutar_farki","",IF(ABS($C71)&gt;dbe_esikFark,"YUKSEK","NORMAL"))</f>
        <v/>
      </c>
      <c r="F71" s="16">
        <f>IF($B71&lt;&gt;"tutar_farki","","Belge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IF($B72&lt;&gt;"tutar_farki","",IF(ABS($C72)&gt;dbe_esikFark,"YUKSEK","NORMAL"))</f>
        <v/>
      </c>
      <c r="F72" s="16">
        <f>IF($B72&lt;&gt;"tutar_farki","","Belge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IF($B73&lt;&gt;"tutar_farki","",IF(ABS($C73)&gt;dbe_esikFark,"YUKSEK","NORMAL"))</f>
        <v/>
      </c>
      <c r="F73" s="16">
        <f>IF($B73&lt;&gt;"tutar_farki","","Belge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IF($B74&lt;&gt;"tutar_farki","",IF(ABS($C74)&gt;dbe_esikFark,"YUKSEK","NORMAL"))</f>
        <v/>
      </c>
      <c r="F74" s="16">
        <f>IF($B74&lt;&gt;"tutar_farki","","Belge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IF($B75&lt;&gt;"tutar_farki","",IF(ABS($C75)&gt;dbe_esikFark,"YUKSEK","NORMAL"))</f>
        <v/>
      </c>
      <c r="F75" s="16">
        <f>IF($B75&lt;&gt;"tutar_farki","","Belge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IF($B76&lt;&gt;"tutar_farki","",IF(ABS($C76)&gt;dbe_esikFark,"YUKSEK","NORMAL"))</f>
        <v/>
      </c>
      <c r="F76" s="16">
        <f>IF($B76&lt;&gt;"tutar_farki","","Belge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IF($B77&lt;&gt;"tutar_farki","",IF(ABS($C77)&gt;dbe_esikFark,"YUKSEK","NORMAL"))</f>
        <v/>
      </c>
      <c r="F77" s="16">
        <f>IF($B77&lt;&gt;"tutar_farki","","Belge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IF($B78&lt;&gt;"tutar_farki","",IF(ABS($C78)&gt;dbe_esikFark,"YUKSEK","NORMAL"))</f>
        <v/>
      </c>
      <c r="F78" s="16">
        <f>IF($B78&lt;&gt;"tutar_farki","","Belge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IF($B79&lt;&gt;"tutar_farki","",IF(ABS($C79)&gt;dbe_esikFark,"YUKSEK","NORMAL"))</f>
        <v/>
      </c>
      <c r="F79" s="16">
        <f>IF($B79&lt;&gt;"tutar_farki","","Belge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IF($B80&lt;&gt;"tutar_farki","",IF(ABS($C80)&gt;dbe_esikFark,"YUKSEK","NORMAL"))</f>
        <v/>
      </c>
      <c r="F80" s="16">
        <f>IF($B80&lt;&gt;"tutar_farki","","Belge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IF($B81&lt;&gt;"tutar_farki","",IF(ABS($C81)&gt;dbe_esikFark,"YUKSEK","NORMAL"))</f>
        <v/>
      </c>
      <c r="F81" s="16">
        <f>IF($B81&lt;&gt;"tutar_farki","","Belge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IF($B82&lt;&gt;"tutar_farki","",IF(ABS($C82)&gt;dbe_esikFark,"YUKSEK","NORMAL"))</f>
        <v/>
      </c>
      <c r="F82" s="16">
        <f>IF($B82&lt;&gt;"tutar_farki","","Belge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IF($B83&lt;&gt;"tutar_farki","",IF(ABS($C83)&gt;dbe_esikFark,"YUKSEK","NORMAL"))</f>
        <v/>
      </c>
      <c r="F83" s="16">
        <f>IF($B83&lt;&gt;"tutar_farki","","Belge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IF($B84&lt;&gt;"tutar_farki","",IF(ABS($C84)&gt;dbe_esikFark,"YUKSEK","NORMAL"))</f>
        <v/>
      </c>
      <c r="F84" s="16">
        <f>IF($B84&lt;&gt;"tutar_farki","","Belge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IF($B85&lt;&gt;"tutar_farki","",IF(ABS($C85)&gt;dbe_esikFark,"YUKSEK","NORMAL"))</f>
        <v/>
      </c>
      <c r="F85" s="16">
        <f>IF($B85&lt;&gt;"tutar_farki","","Belge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IF($B86&lt;&gt;"tutar_farki","",IF(ABS($C86)&gt;dbe_esikFark,"YUKSEK","NORMAL"))</f>
        <v/>
      </c>
      <c r="F86" s="16">
        <f>IF($B86&lt;&gt;"tutar_farki","","Belge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IF($B87&lt;&gt;"tutar_farki","",IF(ABS($C87)&gt;dbe_esikFark,"YUKSEK","NORMAL"))</f>
        <v/>
      </c>
      <c r="F87" s="16">
        <f>IF($B87&lt;&gt;"tutar_farki","","Belge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IF($B88&lt;&gt;"tutar_farki","",IF(ABS($C88)&gt;dbe_esikFark,"YUKSEK","NORMAL"))</f>
        <v/>
      </c>
      <c r="F88" s="16">
        <f>IF($B88&lt;&gt;"tutar_farki","","Belge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IF($B89&lt;&gt;"tutar_farki","",IF(ABS($C89)&gt;dbe_esikFark,"YUKSEK","NORMAL"))</f>
        <v/>
      </c>
      <c r="F89" s="16">
        <f>IF($B89&lt;&gt;"tutar_farki","","Belge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IF($B90&lt;&gt;"tutar_farki","",IF(ABS($C90)&gt;dbe_esikFark,"YUKSEK","NORMAL"))</f>
        <v/>
      </c>
      <c r="F90" s="16">
        <f>IF($B90&lt;&gt;"tutar_farki","","Belge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IF($B91&lt;&gt;"tutar_farki","",IF(ABS($C91)&gt;dbe_esikFark,"YUKSEK","NORMAL"))</f>
        <v/>
      </c>
      <c r="F91" s="16">
        <f>IF($B91&lt;&gt;"tutar_farki","","Belge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IF($B92&lt;&gt;"tutar_farki","",IF(ABS($C92)&gt;dbe_esikFark,"YUKSEK","NORMAL"))</f>
        <v/>
      </c>
      <c r="F92" s="16">
        <f>IF($B92&lt;&gt;"tutar_farki","","Belge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IF($B93&lt;&gt;"tutar_farki","",IF(ABS($C93)&gt;dbe_esikFark,"YUKSEK","NORMAL"))</f>
        <v/>
      </c>
      <c r="F93" s="16">
        <f>IF($B93&lt;&gt;"tutar_farki","","Belge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IF($B94&lt;&gt;"tutar_farki","",IF(ABS($C94)&gt;dbe_esikFark,"YUKSEK","NORMAL"))</f>
        <v/>
      </c>
      <c r="F94" s="16">
        <f>IF($B94&lt;&gt;"tutar_farki","","Belge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IF($B95&lt;&gt;"tutar_farki","",IF(ABS($C95)&gt;dbe_esikFark,"YUKSEK","NORMAL"))</f>
        <v/>
      </c>
      <c r="F95" s="16">
        <f>IF($B95&lt;&gt;"tutar_farki","","Belge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IF($B96&lt;&gt;"tutar_farki","",IF(ABS($C96)&gt;dbe_esikFark,"YUKSEK","NORMAL"))</f>
        <v/>
      </c>
      <c r="F96" s="16">
        <f>IF($B96&lt;&gt;"tutar_farki","","Belge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IF($B97&lt;&gt;"tutar_farki","",IF(ABS($C97)&gt;dbe_esikFark,"YUKSEK","NORMAL"))</f>
        <v/>
      </c>
      <c r="F97" s="16">
        <f>IF($B97&lt;&gt;"tutar_farki","","Belge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IF($B98&lt;&gt;"tutar_farki","",IF(ABS($C98)&gt;dbe_esikFark,"YUKSEK","NORMAL"))</f>
        <v/>
      </c>
      <c r="F98" s="16">
        <f>IF($B98&lt;&gt;"tutar_farki","","Belge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IF($B99&lt;&gt;"tutar_farki","",IF(ABS($C99)&gt;dbe_esikFark,"YUKSEK","NORMAL"))</f>
        <v/>
      </c>
      <c r="F99" s="16">
        <f>IF($B99&lt;&gt;"tutar_farki","","Belge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IF($B100&lt;&gt;"tutar_farki","",IF(ABS($C100)&gt;dbe_esikFark,"YUKSEK","NORMAL"))</f>
        <v/>
      </c>
      <c r="F100" s="16">
        <f>IF($B100&lt;&gt;"tutar_farki","","Belge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IF($B101&lt;&gt;"tutar_farki","",IF(ABS($C101)&gt;dbe_esikFark,"YUKSEK","NORMAL"))</f>
        <v/>
      </c>
      <c r="F101" s="16">
        <f>IF($B101&lt;&gt;"tutar_farki","","Belge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IF($B102&lt;&gt;"tutar_farki","",IF(ABS($C102)&gt;dbe_esikFark,"YUKSEK","NORMAL"))</f>
        <v/>
      </c>
      <c r="F102" s="16">
        <f>IF($B102&lt;&gt;"tutar_farki","","Belge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IF($B103&lt;&gt;"tutar_farki","",IF(ABS($C103)&gt;dbe_esikFark,"YUKSEK","NORMAL"))</f>
        <v/>
      </c>
      <c r="F103" s="16">
        <f>IF($B103&lt;&gt;"tutar_farki","","Belge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IF($B104&lt;&gt;"tutar_farki","",IF(ABS($C104)&gt;dbe_esikFark,"YUKSEK","NORMAL"))</f>
        <v/>
      </c>
      <c r="F104" s="16">
        <f>IF($B104&lt;&gt;"tutar_farki","","Belge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IF($B105&lt;&gt;"tutar_farki","",IF(ABS($C105)&gt;dbe_esikFark,"YUKSEK","NORMAL"))</f>
        <v/>
      </c>
      <c r="F105" s="16">
        <f>IF($B105&lt;&gt;"tutar_farki","","Belge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IF($B106&lt;&gt;"tutar_farki","",IF(ABS($C106)&gt;dbe_esikFark,"YUKSEK","NORMAL"))</f>
        <v/>
      </c>
      <c r="F106" s="16">
        <f>IF($B106&lt;&gt;"tutar_farki","","Belge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IF($B107&lt;&gt;"tutar_farki","",IF(ABS($C107)&gt;dbe_esikFark,"YUKSEK","NORMAL"))</f>
        <v/>
      </c>
      <c r="F107" s="16">
        <f>IF($B107&lt;&gt;"tutar_farki","","Belge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IF($B108&lt;&gt;"tutar_farki","",IF(ABS($C108)&gt;dbe_esikFark,"YUKSEK","NORMAL"))</f>
        <v/>
      </c>
      <c r="F108" s="16">
        <f>IF($B108&lt;&gt;"tutar_farki","","Belge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IF($B109&lt;&gt;"tutar_farki","",IF(ABS($C109)&gt;dbe_esikFark,"YUKSEK","NORMAL"))</f>
        <v/>
      </c>
      <c r="F109" s="16">
        <f>IF($B109&lt;&gt;"tutar_farki","","Belge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IF($B110&lt;&gt;"tutar_farki","",IF(ABS($C110)&gt;dbe_esikFark,"YUKSEK","NORMAL"))</f>
        <v/>
      </c>
      <c r="F110" s="16">
        <f>IF($B110&lt;&gt;"tutar_farki","","Belge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IF($B111&lt;&gt;"tutar_farki","",IF(ABS($C111)&gt;dbe_esikFark,"YUKSEK","NORMAL"))</f>
        <v/>
      </c>
      <c r="F111" s="16">
        <f>IF($B111&lt;&gt;"tutar_farki","","Belge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IF($B112&lt;&gt;"tutar_farki","",IF(ABS($C112)&gt;dbe_esikFark,"YUKSEK","NORMAL"))</f>
        <v/>
      </c>
      <c r="F112" s="16">
        <f>IF($B112&lt;&gt;"tutar_farki","","Belge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IF($B113&lt;&gt;"tutar_farki","",IF(ABS($C113)&gt;dbe_esikFark,"YUKSEK","NORMAL"))</f>
        <v/>
      </c>
      <c r="F113" s="16">
        <f>IF($B113&lt;&gt;"tutar_farki","","Belge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IF($B114&lt;&gt;"tutar_farki","",IF(ABS($C114)&gt;dbe_esikFark,"YUKSEK","NORMAL"))</f>
        <v/>
      </c>
      <c r="F114" s="16">
        <f>IF($B114&lt;&gt;"tutar_farki","","Belge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IF($B115&lt;&gt;"tutar_farki","",IF(ABS($C115)&gt;dbe_esikFark,"YUKSEK","NORMAL"))</f>
        <v/>
      </c>
      <c r="F115" s="16">
        <f>IF($B115&lt;&gt;"tutar_farki","","Belge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IF($B116&lt;&gt;"tutar_farki","",IF(ABS($C116)&gt;dbe_esikFark,"YUKSEK","NORMAL"))</f>
        <v/>
      </c>
      <c r="F116" s="16">
        <f>IF($B116&lt;&gt;"tutar_farki","","Belge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IF($B117&lt;&gt;"tutar_farki","",IF(ABS($C117)&gt;dbe_esikFark,"YUKSEK","NORMAL"))</f>
        <v/>
      </c>
      <c r="F117" s="16">
        <f>IF($B117&lt;&gt;"tutar_farki","","Belge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IF($B118&lt;&gt;"tutar_farki","",IF(ABS($C118)&gt;dbe_esikFark,"YUKSEK","NORMAL"))</f>
        <v/>
      </c>
      <c r="F118" s="16">
        <f>IF($B118&lt;&gt;"tutar_farki","","Belge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IF($B119&lt;&gt;"tutar_farki","",IF(ABS($C119)&gt;dbe_esikFark,"YUKSEK","NORMAL"))</f>
        <v/>
      </c>
      <c r="F119" s="16">
        <f>IF($B119&lt;&gt;"tutar_farki","","Belge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IF($B120&lt;&gt;"tutar_farki","",IF(ABS($C120)&gt;dbe_esikFark,"YUKSEK","NORMAL"))</f>
        <v/>
      </c>
      <c r="F120" s="16">
        <f>IF($B120&lt;&gt;"tutar_farki","","Belge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IF($B121&lt;&gt;"tutar_farki","",IF(ABS($C121)&gt;dbe_esikFark,"YUKSEK","NORMAL"))</f>
        <v/>
      </c>
      <c r="F121" s="16">
        <f>IF($B121&lt;&gt;"tutar_farki","","Belge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IF($B122&lt;&gt;"tutar_farki","",IF(ABS($C122)&gt;dbe_esikFark,"YUKSEK","NORMAL"))</f>
        <v/>
      </c>
      <c r="F122" s="16">
        <f>IF($B122&lt;&gt;"tutar_farki","","Belge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IF($B123&lt;&gt;"tutar_farki","",IF(ABS($C123)&gt;dbe_esikFark,"YUKSEK","NORMAL"))</f>
        <v/>
      </c>
      <c r="F123" s="16">
        <f>IF($B123&lt;&gt;"tutar_farki","","Belge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IF($B124&lt;&gt;"tutar_farki","",IF(ABS($C124)&gt;dbe_esikFark,"YUKSEK","NORMAL"))</f>
        <v/>
      </c>
      <c r="F124" s="16">
        <f>IF($B124&lt;&gt;"tutar_farki","","Belge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IF($B125&lt;&gt;"tutar_farki","",IF(ABS($C125)&gt;dbe_esikFark,"YUKSEK","NORMAL"))</f>
        <v/>
      </c>
      <c r="F125" s="16">
        <f>IF($B125&lt;&gt;"tutar_farki","","Belge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IF($B126&lt;&gt;"tutar_farki","",IF(ABS($C126)&gt;dbe_esikFark,"YUKSEK","NORMAL"))</f>
        <v/>
      </c>
      <c r="F126" s="16">
        <f>IF($B126&lt;&gt;"tutar_farki","","Belge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IF($B127&lt;&gt;"tutar_farki","",IF(ABS($C127)&gt;dbe_esikFark,"YUKSEK","NORMAL"))</f>
        <v/>
      </c>
      <c r="F127" s="16">
        <f>IF($B127&lt;&gt;"tutar_farki","","Belge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IF($B128&lt;&gt;"tutar_farki","",IF(ABS($C128)&gt;dbe_esikFark,"YUKSEK","NORMAL"))</f>
        <v/>
      </c>
      <c r="F128" s="16">
        <f>IF($B128&lt;&gt;"tutar_farki","","Belge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IF($B129&lt;&gt;"tutar_farki","",IF(ABS($C129)&gt;dbe_esikFark,"YUKSEK","NORMAL"))</f>
        <v/>
      </c>
      <c r="F129" s="16">
        <f>IF($B129&lt;&gt;"tutar_farki","","Belge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IF($B130&lt;&gt;"tutar_farki","",IF(ABS($C130)&gt;dbe_esikFark,"YUKSEK","NORMAL"))</f>
        <v/>
      </c>
      <c r="F130" s="16">
        <f>IF($B130&lt;&gt;"tutar_farki","","Belge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IF($B131&lt;&gt;"tutar_farki","",IF(ABS($C131)&gt;dbe_esikFark,"YUKSEK","NORMAL"))</f>
        <v/>
      </c>
      <c r="F131" s="16">
        <f>IF($B131&lt;&gt;"tutar_farki","","Belge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IF($B132&lt;&gt;"tutar_farki","",IF(ABS($C132)&gt;dbe_esikFark,"YUKSEK","NORMAL"))</f>
        <v/>
      </c>
      <c r="F132" s="16">
        <f>IF($B132&lt;&gt;"tutar_farki","","Belge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IF($B133&lt;&gt;"tutar_farki","",IF(ABS($C133)&gt;dbe_esikFark,"YUKSEK","NORMAL"))</f>
        <v/>
      </c>
      <c r="F133" s="16">
        <f>IF($B133&lt;&gt;"tutar_farki","","Belge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IF($B134&lt;&gt;"tutar_farki","",IF(ABS($C134)&gt;dbe_esikFark,"YUKSEK","NORMAL"))</f>
        <v/>
      </c>
      <c r="F134" s="16">
        <f>IF($B134&lt;&gt;"tutar_farki","","Belge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IF($B135&lt;&gt;"tutar_farki","",IF(ABS($C135)&gt;dbe_esikFark,"YUKSEK","NORMAL"))</f>
        <v/>
      </c>
      <c r="F135" s="16">
        <f>IF($B135&lt;&gt;"tutar_farki","","Belge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IF($B136&lt;&gt;"tutar_farki","",IF(ABS($C136)&gt;dbe_esikFark,"YUKSEK","NORMAL"))</f>
        <v/>
      </c>
      <c r="F136" s="16">
        <f>IF($B136&lt;&gt;"tutar_farki","","Belge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IF($B137&lt;&gt;"tutar_farki","",IF(ABS($C137)&gt;dbe_esikFark,"YUKSEK","NORMAL"))</f>
        <v/>
      </c>
      <c r="F137" s="16">
        <f>IF($B137&lt;&gt;"tutar_farki","","Belge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IF($B138&lt;&gt;"tutar_farki","",IF(ABS($C138)&gt;dbe_esikFark,"YUKSEK","NORMAL"))</f>
        <v/>
      </c>
      <c r="F138" s="16">
        <f>IF($B138&lt;&gt;"tutar_farki","","Belge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IF($B139&lt;&gt;"tutar_farki","",IF(ABS($C139)&gt;dbe_esikFark,"YUKSEK","NORMAL"))</f>
        <v/>
      </c>
      <c r="F139" s="16">
        <f>IF($B139&lt;&gt;"tutar_farki","","Belge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IF($B140&lt;&gt;"tutar_farki","",IF(ABS($C140)&gt;dbe_esikFark,"YUKSEK","NORMAL"))</f>
        <v/>
      </c>
      <c r="F140" s="16">
        <f>IF($B140&lt;&gt;"tutar_farki","","Belge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IF($B141&lt;&gt;"tutar_farki","",IF(ABS($C141)&gt;dbe_esikFark,"YUKSEK","NORMAL"))</f>
        <v/>
      </c>
      <c r="F141" s="16">
        <f>IF($B141&lt;&gt;"tutar_farki","","Belge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IF($B142&lt;&gt;"tutar_farki","",IF(ABS($C142)&gt;dbe_esikFark,"YUKSEK","NORMAL"))</f>
        <v/>
      </c>
      <c r="F142" s="16">
        <f>IF($B142&lt;&gt;"tutar_farki","","Belge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IF($B143&lt;&gt;"tutar_farki","",IF(ABS($C143)&gt;dbe_esikFark,"YUKSEK","NORMAL"))</f>
        <v/>
      </c>
      <c r="F143" s="16">
        <f>IF($B143&lt;&gt;"tutar_farki","","Belge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IF($B144&lt;&gt;"tutar_farki","",IF(ABS($C144)&gt;dbe_esikFark,"YUKSEK","NORMAL"))</f>
        <v/>
      </c>
      <c r="F144" s="16">
        <f>IF($B144&lt;&gt;"tutar_farki","","Belge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IF($B145&lt;&gt;"tutar_farki","",IF(ABS($C145)&gt;dbe_esikFark,"YUKSEK","NORMAL"))</f>
        <v/>
      </c>
      <c r="F145" s="16">
        <f>IF($B145&lt;&gt;"tutar_farki","","Belge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IF($B146&lt;&gt;"tutar_farki","",IF(ABS($C146)&gt;dbe_esikFark,"YUKSEK","NORMAL"))</f>
        <v/>
      </c>
      <c r="F146" s="16">
        <f>IF($B146&lt;&gt;"tutar_farki","","Belge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IF($B147&lt;&gt;"tutar_farki","",IF(ABS($C147)&gt;dbe_esikFark,"YUKSEK","NORMAL"))</f>
        <v/>
      </c>
      <c r="F147" s="16">
        <f>IF($B147&lt;&gt;"tutar_farki","","Belge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IF($B148&lt;&gt;"tutar_farki","",IF(ABS($C148)&gt;dbe_esikFark,"YUKSEK","NORMAL"))</f>
        <v/>
      </c>
      <c r="F148" s="16">
        <f>IF($B148&lt;&gt;"tutar_farki","","Belge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IF($B149&lt;&gt;"tutar_farki","",IF(ABS($C149)&gt;dbe_esikFark,"YUKSEK","NORMAL"))</f>
        <v/>
      </c>
      <c r="F149" s="16">
        <f>IF($B149&lt;&gt;"tutar_farki","","Belge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IF($B150&lt;&gt;"tutar_farki","",IF(ABS($C150)&gt;dbe_esikFark,"YUKSEK","NORMAL"))</f>
        <v/>
      </c>
      <c r="F150" s="16">
        <f>IF($B150&lt;&gt;"tutar_farki","","Belge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IF($B151&lt;&gt;"tutar_farki","",IF(ABS($C151)&gt;dbe_esikFark,"YUKSEK","NORMAL"))</f>
        <v/>
      </c>
      <c r="F151" s="16">
        <f>IF($B151&lt;&gt;"tutar_farki","","Belge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IF($B152&lt;&gt;"tutar_farki","",IF(ABS($C152)&gt;dbe_esikFark,"YUKSEK","NORMAL"))</f>
        <v/>
      </c>
      <c r="F152" s="16">
        <f>IF($B152&lt;&gt;"tutar_farki","","Belge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IF($B153&lt;&gt;"tutar_farki","",IF(ABS($C153)&gt;dbe_esikFark,"YUKSEK","NORMAL"))</f>
        <v/>
      </c>
      <c r="F153" s="16">
        <f>IF($B153&lt;&gt;"tutar_farki","","Belge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IF($B154&lt;&gt;"tutar_farki","",IF(ABS($C154)&gt;dbe_esikFark,"YUKSEK","NORMAL"))</f>
        <v/>
      </c>
      <c r="F154" s="16">
        <f>IF($B154&lt;&gt;"tutar_farki","","Belge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IF($B155&lt;&gt;"tutar_farki","",IF(ABS($C155)&gt;dbe_esikFark,"YUKSEK","NORMAL"))</f>
        <v/>
      </c>
      <c r="F155" s="16">
        <f>IF($B155&lt;&gt;"tutar_farki","","Belge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IF($B156&lt;&gt;"tutar_farki","",IF(ABS($C156)&gt;dbe_esikFark,"YUKSEK","NORMAL"))</f>
        <v/>
      </c>
      <c r="F156" s="16">
        <f>IF($B156&lt;&gt;"tutar_farki","","Belge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IF($B157&lt;&gt;"tutar_farki","",IF(ABS($C157)&gt;dbe_esikFark,"YUKSEK","NORMAL"))</f>
        <v/>
      </c>
      <c r="F157" s="16">
        <f>IF($B157&lt;&gt;"tutar_farki","","Belge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IF($B158&lt;&gt;"tutar_farki","",IF(ABS($C158)&gt;dbe_esikFark,"YUKSEK","NORMAL"))</f>
        <v/>
      </c>
      <c r="F158" s="16">
        <f>IF($B158&lt;&gt;"tutar_farki","","Belge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IF($B159&lt;&gt;"tutar_farki","",IF(ABS($C159)&gt;dbe_esikFark,"YUKSEK","NORMAL"))</f>
        <v/>
      </c>
      <c r="F159" s="16">
        <f>IF($B159&lt;&gt;"tutar_farki","","Belge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IF($B160&lt;&gt;"tutar_farki","",IF(ABS($C160)&gt;dbe_esikFark,"YUKSEK","NORMAL"))</f>
        <v/>
      </c>
      <c r="F160" s="16">
        <f>IF($B160&lt;&gt;"tutar_farki","","Belge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IF($B161&lt;&gt;"tutar_farki","",IF(ABS($C161)&gt;dbe_esikFark,"YUKSEK","NORMAL"))</f>
        <v/>
      </c>
      <c r="F161" s="16">
        <f>IF($B161&lt;&gt;"tutar_farki","","Belge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IF($B162&lt;&gt;"tutar_farki","",IF(ABS($C162)&gt;dbe_esikFark,"YUKSEK","NORMAL"))</f>
        <v/>
      </c>
      <c r="F162" s="16">
        <f>IF($B162&lt;&gt;"tutar_farki","","Belge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IF($B163&lt;&gt;"tutar_farki","",IF(ABS($C163)&gt;dbe_esikFark,"YUKSEK","NORMAL"))</f>
        <v/>
      </c>
      <c r="F163" s="16">
        <f>IF($B163&lt;&gt;"tutar_farki","","Belge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IF($B164&lt;&gt;"tutar_farki","",IF(ABS($C164)&gt;dbe_esikFark,"YUKSEK","NORMAL"))</f>
        <v/>
      </c>
      <c r="F164" s="16">
        <f>IF($B164&lt;&gt;"tutar_farki","","Belge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IF($B165&lt;&gt;"tutar_farki","",IF(ABS($C165)&gt;dbe_esikFark,"YUKSEK","NORMAL"))</f>
        <v/>
      </c>
      <c r="F165" s="16">
        <f>IF($B165&lt;&gt;"tutar_farki","","Belge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IF($B166&lt;&gt;"tutar_farki","",IF(ABS($C166)&gt;dbe_esikFark,"YUKSEK","NORMAL"))</f>
        <v/>
      </c>
      <c r="F166" s="16">
        <f>IF($B166&lt;&gt;"tutar_farki","","Belge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IF($B167&lt;&gt;"tutar_farki","",IF(ABS($C167)&gt;dbe_esikFark,"YUKSEK","NORMAL"))</f>
        <v/>
      </c>
      <c r="F167" s="16">
        <f>IF($B167&lt;&gt;"tutar_farki","","Belge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IF($B168&lt;&gt;"tutar_farki","",IF(ABS($C168)&gt;dbe_esikFark,"YUKSEK","NORMAL"))</f>
        <v/>
      </c>
      <c r="F168" s="16">
        <f>IF($B168&lt;&gt;"tutar_farki","","Belge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IF($B169&lt;&gt;"tutar_farki","",IF(ABS($C169)&gt;dbe_esikFark,"YUKSEK","NORMAL"))</f>
        <v/>
      </c>
      <c r="F169" s="16">
        <f>IF($B169&lt;&gt;"tutar_farki","","Belge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IF($B170&lt;&gt;"tutar_farki","",IF(ABS($C170)&gt;dbe_esikFark,"YUKSEK","NORMAL"))</f>
        <v/>
      </c>
      <c r="F170" s="16">
        <f>IF($B170&lt;&gt;"tutar_farki","","Belge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IF($B171&lt;&gt;"tutar_farki","",IF(ABS($C171)&gt;dbe_esikFark,"YUKSEK","NORMAL"))</f>
        <v/>
      </c>
      <c r="F171" s="16">
        <f>IF($B171&lt;&gt;"tutar_farki","","Belge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IF($B172&lt;&gt;"tutar_farki","",IF(ABS($C172)&gt;dbe_esikFark,"YUKSEK","NORMAL"))</f>
        <v/>
      </c>
      <c r="F172" s="16">
        <f>IF($B172&lt;&gt;"tutar_farki","","Belge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IF($B173&lt;&gt;"tutar_farki","",IF(ABS($C173)&gt;dbe_esikFark,"YUKSEK","NORMAL"))</f>
        <v/>
      </c>
      <c r="F173" s="16">
        <f>IF($B173&lt;&gt;"tutar_farki","","Belge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IF($B174&lt;&gt;"tutar_farki","",IF(ABS($C174)&gt;dbe_esikFark,"YUKSEK","NORMAL"))</f>
        <v/>
      </c>
      <c r="F174" s="16">
        <f>IF($B174&lt;&gt;"tutar_farki","","Belge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IF($B175&lt;&gt;"tutar_farki","",IF(ABS($C175)&gt;dbe_esikFark,"YUKSEK","NORMAL"))</f>
        <v/>
      </c>
      <c r="F175" s="16">
        <f>IF($B175&lt;&gt;"tutar_farki","","Belge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IF($B176&lt;&gt;"tutar_farki","",IF(ABS($C176)&gt;dbe_esikFark,"YUKSEK","NORMAL"))</f>
        <v/>
      </c>
      <c r="F176" s="16">
        <f>IF($B176&lt;&gt;"tutar_farki","","Belge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IF($B177&lt;&gt;"tutar_farki","",IF(ABS($C177)&gt;dbe_esikFark,"YUKSEK","NORMAL"))</f>
        <v/>
      </c>
      <c r="F177" s="16">
        <f>IF($B177&lt;&gt;"tutar_farki","","Belge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IF($B178&lt;&gt;"tutar_farki","",IF(ABS($C178)&gt;dbe_esikFark,"YUKSEK","NORMAL"))</f>
        <v/>
      </c>
      <c r="F178" s="16">
        <f>IF($B178&lt;&gt;"tutar_farki","","Belge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IF($B179&lt;&gt;"tutar_farki","",IF(ABS($C179)&gt;dbe_esikFark,"YUKSEK","NORMAL"))</f>
        <v/>
      </c>
      <c r="F179" s="16">
        <f>IF($B179&lt;&gt;"tutar_farki","","Belge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IF($B180&lt;&gt;"tutar_farki","",IF(ABS($C180)&gt;dbe_esikFark,"YUKSEK","NORMAL"))</f>
        <v/>
      </c>
      <c r="F180" s="16">
        <f>IF($B180&lt;&gt;"tutar_farki","","Belge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IF($B181&lt;&gt;"tutar_farki","",IF(ABS($C181)&gt;dbe_esikFark,"YUKSEK","NORMAL"))</f>
        <v/>
      </c>
      <c r="F181" s="16">
        <f>IF($B181&lt;&gt;"tutar_farki","","Belge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IF($B182&lt;&gt;"tutar_farki","",IF(ABS($C182)&gt;dbe_esikFark,"YUKSEK","NORMAL"))</f>
        <v/>
      </c>
      <c r="F182" s="16">
        <f>IF($B182&lt;&gt;"tutar_farki","","Belge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IF($B183&lt;&gt;"tutar_farki","",IF(ABS($C183)&gt;dbe_esikFark,"YUKSEK","NORMAL"))</f>
        <v/>
      </c>
      <c r="F183" s="16">
        <f>IF($B183&lt;&gt;"tutar_farki","","Belge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IF($B184&lt;&gt;"tutar_farki","",IF(ABS($C184)&gt;dbe_esikFark,"YUKSEK","NORMAL"))</f>
        <v/>
      </c>
      <c r="F184" s="16">
        <f>IF($B184&lt;&gt;"tutar_farki","","Belge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IF($B185&lt;&gt;"tutar_farki","",IF(ABS($C185)&gt;dbe_esikFark,"YUKSEK","NORMAL"))</f>
        <v/>
      </c>
      <c r="F185" s="16">
        <f>IF($B185&lt;&gt;"tutar_farki","","Belge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IF($B186&lt;&gt;"tutar_farki","",IF(ABS($C186)&gt;dbe_esikFark,"YUKSEK","NORMAL"))</f>
        <v/>
      </c>
      <c r="F186" s="16">
        <f>IF($B186&lt;&gt;"tutar_farki","","Belge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IF($B187&lt;&gt;"tutar_farki","",IF(ABS($C187)&gt;dbe_esikFark,"YUKSEK","NORMAL"))</f>
        <v/>
      </c>
      <c r="F187" s="16">
        <f>IF($B187&lt;&gt;"tutar_farki","","Belge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IF($B188&lt;&gt;"tutar_farki","",IF(ABS($C188)&gt;dbe_esikFark,"YUKSEK","NORMAL"))</f>
        <v/>
      </c>
      <c r="F188" s="16">
        <f>IF($B188&lt;&gt;"tutar_farki","","Belge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IF($B189&lt;&gt;"tutar_farki","",IF(ABS($C189)&gt;dbe_esikFark,"YUKSEK","NORMAL"))</f>
        <v/>
      </c>
      <c r="F189" s="16">
        <f>IF($B189&lt;&gt;"tutar_farki","","Belge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IF($B190&lt;&gt;"tutar_farki","",IF(ABS($C190)&gt;dbe_esikFark,"YUKSEK","NORMAL"))</f>
        <v/>
      </c>
      <c r="F190" s="16">
        <f>IF($B190&lt;&gt;"tutar_farki","","Belge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IF($B191&lt;&gt;"tutar_farki","",IF(ABS($C191)&gt;dbe_esikFark,"YUKSEK","NORMAL"))</f>
        <v/>
      </c>
      <c r="F191" s="16">
        <f>IF($B191&lt;&gt;"tutar_farki","","Belge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IF($B192&lt;&gt;"tutar_farki","",IF(ABS($C192)&gt;dbe_esikFark,"YUKSEK","NORMAL"))</f>
        <v/>
      </c>
      <c r="F192" s="16">
        <f>IF($B192&lt;&gt;"tutar_farki","","Belge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IF($B193&lt;&gt;"tutar_farki","",IF(ABS($C193)&gt;dbe_esikFark,"YUKSEK","NORMAL"))</f>
        <v/>
      </c>
      <c r="F193" s="16">
        <f>IF($B193&lt;&gt;"tutar_farki","","Belge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IF($B194&lt;&gt;"tutar_farki","",IF(ABS($C194)&gt;dbe_esikFark,"YUKSEK","NORMAL"))</f>
        <v/>
      </c>
      <c r="F194" s="16">
        <f>IF($B194&lt;&gt;"tutar_farki","","Belge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IF($B195&lt;&gt;"tutar_farki","",IF(ABS($C195)&gt;dbe_esikFark,"YUKSEK","NORMAL"))</f>
        <v/>
      </c>
      <c r="F195" s="16">
        <f>IF($B195&lt;&gt;"tutar_farki","","Belge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IF($B196&lt;&gt;"tutar_farki","",IF(ABS($C196)&gt;dbe_esikFark,"YUKSEK","NORMAL"))</f>
        <v/>
      </c>
      <c r="F196" s="16">
        <f>IF($B196&lt;&gt;"tutar_farki","","Belge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IF($B197&lt;&gt;"tutar_farki","",IF(ABS($C197)&gt;dbe_esikFark,"YUKSEK","NORMAL"))</f>
        <v/>
      </c>
      <c r="F197" s="16">
        <f>IF($B197&lt;&gt;"tutar_farki","","Belge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IF($B198&lt;&gt;"tutar_farki","",IF(ABS($C198)&gt;dbe_esikFark,"YUKSEK","NORMAL"))</f>
        <v/>
      </c>
      <c r="F198" s="16">
        <f>IF($B198&lt;&gt;"tutar_farki","","Belge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IF($B199&lt;&gt;"tutar_farki","",IF(ABS($C199)&gt;dbe_esikFark,"YUKSEK","NORMAL"))</f>
        <v/>
      </c>
      <c r="F199" s="16">
        <f>IF($B199&lt;&gt;"tutar_farki","","Belge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IF($B200&lt;&gt;"tutar_farki","",IF(ABS($C200)&gt;dbe_esikFark,"YUKSEK","NORMAL"))</f>
        <v/>
      </c>
      <c r="F200" s="16">
        <f>IF($B200&lt;&gt;"tutar_farki","","Belge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IF($B201&lt;&gt;"tutar_farki","",IF(ABS($C201)&gt;dbe_esikFark,"YUKSEK","NORMAL"))</f>
        <v/>
      </c>
      <c r="F201" s="16">
        <f>IF($B201&lt;&gt;"tutar_farki","","Belge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IF($B202&lt;&gt;"tutar_farki","",IF(ABS($C202)&gt;dbe_esikFark,"YUKSEK","NORMAL"))</f>
        <v/>
      </c>
      <c r="F202" s="16">
        <f>IF($B202&lt;&gt;"tutar_farki","","Belge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IF($B203&lt;&gt;"tutar_farki","",IF(ABS($C203)&gt;dbe_esikFark,"YUKSEK","NORMAL"))</f>
        <v/>
      </c>
      <c r="F203" s="16">
        <f>IF($B203&lt;&gt;"tutar_farki","","Belge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IF($B204&lt;&gt;"tutar_farki","",IF(ABS($C204)&gt;dbe_esikFark,"YUKSEK","NORMAL"))</f>
        <v/>
      </c>
      <c r="F204" s="16">
        <f>IF($B204&lt;&gt;"tutar_farki","","Belge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IF($B205&lt;&gt;"tutar_farki","",IF(ABS($C205)&gt;dbe_esikFark,"YUKSEK","NORMAL"))</f>
        <v/>
      </c>
      <c r="F205" s="16">
        <f>IF($B205&lt;&gt;"tutar_farki","","Belge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IF($B206&lt;&gt;"tutar_farki","",IF(ABS($C206)&gt;dbe_esikFark,"YUKSEK","NORMAL"))</f>
        <v/>
      </c>
      <c r="F206" s="16">
        <f>IF($B206&lt;&gt;"tutar_farki","","Belge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IF($B207&lt;&gt;"tutar_farki","",IF(ABS($C207)&gt;dbe_esikFark,"YUKSEK","NORMAL"))</f>
        <v/>
      </c>
      <c r="F207" s="16">
        <f>IF($B207&lt;&gt;"tutar_farki","","Belge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IF($B208&lt;&gt;"tutar_farki","",IF(ABS($C208)&gt;dbe_esikFark,"YUKSEK","NORMAL"))</f>
        <v/>
      </c>
      <c r="F208" s="16">
        <f>IF($B208&lt;&gt;"tutar_farki","","Belge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IF($B209&lt;&gt;"tutar_farki","",IF(ABS($C209)&gt;dbe_esikFark,"YUKSEK","NORMAL"))</f>
        <v/>
      </c>
      <c r="F209" s="16">
        <f>IF($B209&lt;&gt;"tutar_farki","","Belge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IF($B210&lt;&gt;"tutar_farki","",IF(ABS($C210)&gt;dbe_esikFark,"YUKSEK","NORMAL"))</f>
        <v/>
      </c>
      <c r="F210" s="16">
        <f>IF($B210&lt;&gt;"tutar_farki","","Belge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IF($B211&lt;&gt;"tutar_farki","",IF(ABS($C211)&gt;dbe_esikFark,"YUKSEK","NORMAL"))</f>
        <v/>
      </c>
      <c r="F211" s="16">
        <f>IF($B211&lt;&gt;"tutar_farki","","Belge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IF($B212&lt;&gt;"tutar_farki","",IF(ABS($C212)&gt;dbe_esikFark,"YUKSEK","NORMAL"))</f>
        <v/>
      </c>
      <c r="F212" s="16">
        <f>IF($B212&lt;&gt;"tutar_farki","","Belge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IF($B213&lt;&gt;"tutar_farki","",IF(ABS($C213)&gt;dbe_esikFark,"YUKSEK","NORMAL"))</f>
        <v/>
      </c>
      <c r="F213" s="16">
        <f>IF($B213&lt;&gt;"tutar_farki","","Belge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IF($B214&lt;&gt;"tutar_farki","",IF(ABS($C214)&gt;dbe_esikFark,"YUKSEK","NORMAL"))</f>
        <v/>
      </c>
      <c r="F214" s="16">
        <f>IF($B214&lt;&gt;"tutar_farki","","Belge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IF($B215&lt;&gt;"tutar_farki","",IF(ABS($C215)&gt;dbe_esikFark,"YUKSEK","NORMAL"))</f>
        <v/>
      </c>
      <c r="F215" s="16">
        <f>IF($B215&lt;&gt;"tutar_farki","","Belge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IF($B216&lt;&gt;"tutar_farki","",IF(ABS($C216)&gt;dbe_esikFark,"YUKSEK","NORMAL"))</f>
        <v/>
      </c>
      <c r="F216" s="16">
        <f>IF($B216&lt;&gt;"tutar_farki","","Belge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IF($B217&lt;&gt;"tutar_farki","",IF(ABS($C217)&gt;dbe_esikFark,"YUKSEK","NORMAL"))</f>
        <v/>
      </c>
      <c r="F217" s="16">
        <f>IF($B217&lt;&gt;"tutar_farki","","Belge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IF($B218&lt;&gt;"tutar_farki","",IF(ABS($C218)&gt;dbe_esikFark,"YUKSEK","NORMAL"))</f>
        <v/>
      </c>
      <c r="F218" s="16">
        <f>IF($B218&lt;&gt;"tutar_farki","","Belge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IF($B219&lt;&gt;"tutar_farki","",IF(ABS($C219)&gt;dbe_esikFark,"YUKSEK","NORMAL"))</f>
        <v/>
      </c>
      <c r="F219" s="16">
        <f>IF($B219&lt;&gt;"tutar_farki","","Belge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IF($B220&lt;&gt;"tutar_farki","",IF(ABS($C220)&gt;dbe_esikFark,"YUKSEK","NORMAL"))</f>
        <v/>
      </c>
      <c r="F220" s="16">
        <f>IF($B220&lt;&gt;"tutar_farki","","Belge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IF($B221&lt;&gt;"tutar_farki","",IF(ABS($C221)&gt;dbe_esikFark,"YUKSEK","NORMAL"))</f>
        <v/>
      </c>
      <c r="F221" s="16">
        <f>IF($B221&lt;&gt;"tutar_farki","","Belge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IF($B222&lt;&gt;"tutar_farki","",IF(ABS($C222)&gt;dbe_esikFark,"YUKSEK","NORMAL"))</f>
        <v/>
      </c>
      <c r="F222" s="16">
        <f>IF($B222&lt;&gt;"tutar_farki","","Belge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IF($B223&lt;&gt;"tutar_farki","",IF(ABS($C223)&gt;dbe_esikFark,"YUKSEK","NORMAL"))</f>
        <v/>
      </c>
      <c r="F223" s="16">
        <f>IF($B223&lt;&gt;"tutar_farki","","Belge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IF($B224&lt;&gt;"tutar_farki","",IF(ABS($C224)&gt;dbe_esikFark,"YUKSEK","NORMAL"))</f>
        <v/>
      </c>
      <c r="F224" s="16">
        <f>IF($B224&lt;&gt;"tutar_farki","","Belge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IF($B225&lt;&gt;"tutar_farki","",IF(ABS($C225)&gt;dbe_esikFark,"YUKSEK","NORMAL"))</f>
        <v/>
      </c>
      <c r="F225" s="16">
        <f>IF($B225&lt;&gt;"tutar_farki","","Belge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IF($B226&lt;&gt;"tutar_farki","",IF(ABS($C226)&gt;dbe_esikFark,"YUKSEK","NORMAL"))</f>
        <v/>
      </c>
      <c r="F226" s="16">
        <f>IF($B226&lt;&gt;"tutar_farki","","Belge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IF($B227&lt;&gt;"tutar_farki","",IF(ABS($C227)&gt;dbe_esikFark,"YUKSEK","NORMAL"))</f>
        <v/>
      </c>
      <c r="F227" s="16">
        <f>IF($B227&lt;&gt;"tutar_farki","","Belge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IF($B228&lt;&gt;"tutar_farki","",IF(ABS($C228)&gt;dbe_esikFark,"YUKSEK","NORMAL"))</f>
        <v/>
      </c>
      <c r="F228" s="16">
        <f>IF($B228&lt;&gt;"tutar_farki","","Belge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IF($B229&lt;&gt;"tutar_farki","",IF(ABS($C229)&gt;dbe_esikFark,"YUKSEK","NORMAL"))</f>
        <v/>
      </c>
      <c r="F229" s="16">
        <f>IF($B229&lt;&gt;"tutar_farki","","Belge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IF($B230&lt;&gt;"tutar_farki","",IF(ABS($C230)&gt;dbe_esikFark,"YUKSEK","NORMAL"))</f>
        <v/>
      </c>
      <c r="F230" s="16">
        <f>IF($B230&lt;&gt;"tutar_farki","","Belge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IF($B231&lt;&gt;"tutar_farki","",IF(ABS($C231)&gt;dbe_esikFark,"YUKSEK","NORMAL"))</f>
        <v/>
      </c>
      <c r="F231" s="16">
        <f>IF($B231&lt;&gt;"tutar_farki","","Belge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IF($B232&lt;&gt;"tutar_farki","",IF(ABS($C232)&gt;dbe_esikFark,"YUKSEK","NORMAL"))</f>
        <v/>
      </c>
      <c r="F232" s="16">
        <f>IF($B232&lt;&gt;"tutar_farki","","Belge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IF($B233&lt;&gt;"tutar_farki","",IF(ABS($C233)&gt;dbe_esikFark,"YUKSEK","NORMAL"))</f>
        <v/>
      </c>
      <c r="F233" s="16">
        <f>IF($B233&lt;&gt;"tutar_farki","","Belge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IF($B234&lt;&gt;"tutar_farki","",IF(ABS($C234)&gt;dbe_esikFark,"YUKSEK","NORMAL"))</f>
        <v/>
      </c>
      <c r="F234" s="16">
        <f>IF($B234&lt;&gt;"tutar_farki","","Belge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IF($B235&lt;&gt;"tutar_farki","",IF(ABS($C235)&gt;dbe_esikFark,"YUKSEK","NORMAL"))</f>
        <v/>
      </c>
      <c r="F235" s="16">
        <f>IF($B235&lt;&gt;"tutar_farki","","Belge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IF($B236&lt;&gt;"tutar_farki","",IF(ABS($C236)&gt;dbe_esikFark,"YUKSEK","NORMAL"))</f>
        <v/>
      </c>
      <c r="F236" s="16">
        <f>IF($B236&lt;&gt;"tutar_farki","","Belge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IF($B237&lt;&gt;"tutar_farki","",IF(ABS($C237)&gt;dbe_esikFark,"YUKSEK","NORMAL"))</f>
        <v/>
      </c>
      <c r="F237" s="16">
        <f>IF($B237&lt;&gt;"tutar_farki","","Belge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IF($B238&lt;&gt;"tutar_farki","",IF(ABS($C238)&gt;dbe_esikFark,"YUKSEK","NORMAL"))</f>
        <v/>
      </c>
      <c r="F238" s="16">
        <f>IF($B238&lt;&gt;"tutar_farki","","Belge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IF($B239&lt;&gt;"tutar_farki","",IF(ABS($C239)&gt;dbe_esikFark,"YUKSEK","NORMAL"))</f>
        <v/>
      </c>
      <c r="F239" s="16">
        <f>IF($B239&lt;&gt;"tutar_farki","","Belge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IF($B240&lt;&gt;"tutar_farki","",IF(ABS($C240)&gt;dbe_esikFark,"YUKSEK","NORMAL"))</f>
        <v/>
      </c>
      <c r="F240" s="16">
        <f>IF($B240&lt;&gt;"tutar_farki","","Belge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IF($B241&lt;&gt;"tutar_farki","",IF(ABS($C241)&gt;dbe_esikFark,"YUKSEK","NORMAL"))</f>
        <v/>
      </c>
      <c r="F241" s="16">
        <f>IF($B241&lt;&gt;"tutar_farki","","Belge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IF($B242&lt;&gt;"tutar_farki","",IF(ABS($C242)&gt;dbe_esikFark,"YUKSEK","NORMAL"))</f>
        <v/>
      </c>
      <c r="F242" s="16">
        <f>IF($B242&lt;&gt;"tutar_farki","","Belge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IF($B243&lt;&gt;"tutar_farki","",IF(ABS($C243)&gt;dbe_esikFark,"YUKSEK","NORMAL"))</f>
        <v/>
      </c>
      <c r="F243" s="16">
        <f>IF($B243&lt;&gt;"tutar_farki","","Belge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IF($B244&lt;&gt;"tutar_farki","",IF(ABS($C244)&gt;dbe_esikFark,"YUKSEK","NORMAL"))</f>
        <v/>
      </c>
      <c r="F244" s="16">
        <f>IF($B244&lt;&gt;"tutar_farki","","Belge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IF($B245&lt;&gt;"tutar_farki","",IF(ABS($C245)&gt;dbe_esikFark,"YUKSEK","NORMAL"))</f>
        <v/>
      </c>
      <c r="F245" s="16">
        <f>IF($B245&lt;&gt;"tutar_farki","","Belge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IF($B246&lt;&gt;"tutar_farki","",IF(ABS($C246)&gt;dbe_esikFark,"YUKSEK","NORMAL"))</f>
        <v/>
      </c>
      <c r="F246" s="16">
        <f>IF($B246&lt;&gt;"tutar_farki","","Belge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IF($B247&lt;&gt;"tutar_farki","",IF(ABS($C247)&gt;dbe_esikFark,"YUKSEK","NORMAL"))</f>
        <v/>
      </c>
      <c r="F247" s="16">
        <f>IF($B247&lt;&gt;"tutar_farki","","Belge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IF($B248&lt;&gt;"tutar_farki","",IF(ABS($C248)&gt;dbe_esikFark,"YUKSEK","NORMAL"))</f>
        <v/>
      </c>
      <c r="F248" s="16">
        <f>IF($B248&lt;&gt;"tutar_farki","","Belge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IF($B249&lt;&gt;"tutar_farki","",IF(ABS($C249)&gt;dbe_esikFark,"YUKSEK","NORMAL"))</f>
        <v/>
      </c>
      <c r="F249" s="16">
        <f>IF($B249&lt;&gt;"tutar_farki","","Belge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IF($B250&lt;&gt;"tutar_farki","",IF(ABS($C250)&gt;dbe_esikFark,"YUKSEK","NORMAL"))</f>
        <v/>
      </c>
      <c r="F250" s="16">
        <f>IF($B250&lt;&gt;"tutar_farki","","Belge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IF($B251&lt;&gt;"tutar_farki","",IF(ABS($C251)&gt;dbe_esikFark,"YUKSEK","NORMAL"))</f>
        <v/>
      </c>
      <c r="F251" s="16">
        <f>IF($B251&lt;&gt;"tutar_farki","","Belge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IF($B252&lt;&gt;"tutar_farki","",IF(ABS($C252)&gt;dbe_esikFark,"YUKSEK","NORMAL"))</f>
        <v/>
      </c>
      <c r="F252" s="16">
        <f>IF($B252&lt;&gt;"tutar_farki","","Belge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IF($B253&lt;&gt;"tutar_farki","",IF(ABS($C253)&gt;dbe_esikFark,"YUKSEK","NORMAL"))</f>
        <v/>
      </c>
      <c r="F253" s="16">
        <f>IF($B253&lt;&gt;"tutar_farki","","Belge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IF($B254&lt;&gt;"tutar_farki","",IF(ABS($C254)&gt;dbe_esikFark,"YUKSEK","NORMAL"))</f>
        <v/>
      </c>
      <c r="F254" s="16">
        <f>IF($B254&lt;&gt;"tutar_farki","","Belge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IF($B255&lt;&gt;"tutar_farki","",IF(ABS($C255)&gt;dbe_esikFark,"YUKSEK","NORMAL"))</f>
        <v/>
      </c>
      <c r="F255" s="16">
        <f>IF($B255&lt;&gt;"tutar_farki","","Belge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IF($B256&lt;&gt;"tutar_farki","",IF(ABS($C256)&gt;dbe_esikFark,"YUKSEK","NORMAL"))</f>
        <v/>
      </c>
      <c r="F256" s="16">
        <f>IF($B256&lt;&gt;"tutar_farki","","Belge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IF($B257&lt;&gt;"tutar_farki","",IF(ABS($C257)&gt;dbe_esikFark,"YUKSEK","NORMAL"))</f>
        <v/>
      </c>
      <c r="F257" s="16">
        <f>IF($B257&lt;&gt;"tutar_farki","","Belge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IF($B258&lt;&gt;"tutar_farki","",IF(ABS($C258)&gt;dbe_esikFark,"YUKSEK","NORMAL"))</f>
        <v/>
      </c>
      <c r="F258" s="16">
        <f>IF($B258&lt;&gt;"tutar_farki","","Belge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IF($B259&lt;&gt;"tutar_farki","",IF(ABS($C259)&gt;dbe_esikFark,"YUKSEK","NORMAL"))</f>
        <v/>
      </c>
      <c r="F259" s="16">
        <f>IF($B259&lt;&gt;"tutar_farki","","Belge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IF($B260&lt;&gt;"tutar_farki","",IF(ABS($C260)&gt;dbe_esikFark,"YUKSEK","NORMAL"))</f>
        <v/>
      </c>
      <c r="F260" s="16">
        <f>IF($B260&lt;&gt;"tutar_farki","","Belge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IF($B261&lt;&gt;"tutar_farki","",IF(ABS($C261)&gt;dbe_esikFark,"YUKSEK","NORMAL"))</f>
        <v/>
      </c>
      <c r="F261" s="16">
        <f>IF($B261&lt;&gt;"tutar_farki","","Belge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IF($B262&lt;&gt;"tutar_farki","",IF(ABS($C262)&gt;dbe_esikFark,"YUKSEK","NORMAL"))</f>
        <v/>
      </c>
      <c r="F262" s="16">
        <f>IF($B262&lt;&gt;"tutar_farki","","Belge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IF($B263&lt;&gt;"tutar_farki","",IF(ABS($C263)&gt;dbe_esikFark,"YUKSEK","NORMAL"))</f>
        <v/>
      </c>
      <c r="F263" s="16">
        <f>IF($B263&lt;&gt;"tutar_farki","","Belge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IF($B264&lt;&gt;"tutar_farki","",IF(ABS($C264)&gt;dbe_esikFark,"YUKSEK","NORMAL"))</f>
        <v/>
      </c>
      <c r="F264" s="16">
        <f>IF($B264&lt;&gt;"tutar_farki","","Belge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IF($B265&lt;&gt;"tutar_farki","",IF(ABS($C265)&gt;dbe_esikFark,"YUKSEK","NORMAL"))</f>
        <v/>
      </c>
      <c r="F265" s="16">
        <f>IF($B265&lt;&gt;"tutar_farki","","Belge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IF($B266&lt;&gt;"tutar_farki","",IF(ABS($C266)&gt;dbe_esikFark,"YUKSEK","NORMAL"))</f>
        <v/>
      </c>
      <c r="F266" s="16">
        <f>IF($B266&lt;&gt;"tutar_farki","","Belge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IF($B267&lt;&gt;"tutar_farki","",IF(ABS($C267)&gt;dbe_esikFark,"YUKSEK","NORMAL"))</f>
        <v/>
      </c>
      <c r="F267" s="16">
        <f>IF($B267&lt;&gt;"tutar_farki","","Belge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IF($B268&lt;&gt;"tutar_farki","",IF(ABS($C268)&gt;dbe_esikFark,"YUKSEK","NORMAL"))</f>
        <v/>
      </c>
      <c r="F268" s="16">
        <f>IF($B268&lt;&gt;"tutar_farki","","Belge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IF($B269&lt;&gt;"tutar_farki","",IF(ABS($C269)&gt;dbe_esikFark,"YUKSEK","NORMAL"))</f>
        <v/>
      </c>
      <c r="F269" s="16">
        <f>IF($B269&lt;&gt;"tutar_farki","","Belge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IF($B270&lt;&gt;"tutar_farki","",IF(ABS($C270)&gt;dbe_esikFark,"YUKSEK","NORMAL"))</f>
        <v/>
      </c>
      <c r="F270" s="16">
        <f>IF($B270&lt;&gt;"tutar_farki","","Belge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IF($B271&lt;&gt;"tutar_farki","",IF(ABS($C271)&gt;dbe_esikFark,"YUKSEK","NORMAL"))</f>
        <v/>
      </c>
      <c r="F271" s="16">
        <f>IF($B271&lt;&gt;"tutar_farki","","Belge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IF($B272&lt;&gt;"tutar_farki","",IF(ABS($C272)&gt;dbe_esikFark,"YUKSEK","NORMAL"))</f>
        <v/>
      </c>
      <c r="F272" s="16">
        <f>IF($B272&lt;&gt;"tutar_farki","","Belge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IF($B273&lt;&gt;"tutar_farki","",IF(ABS($C273)&gt;dbe_esikFark,"YUKSEK","NORMAL"))</f>
        <v/>
      </c>
      <c r="F273" s="16">
        <f>IF($B273&lt;&gt;"tutar_farki","","Belge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IF($B274&lt;&gt;"tutar_farki","",IF(ABS($C274)&gt;dbe_esikFark,"YUKSEK","NORMAL"))</f>
        <v/>
      </c>
      <c r="F274" s="16">
        <f>IF($B274&lt;&gt;"tutar_farki","","Belge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IF($B275&lt;&gt;"tutar_farki","",IF(ABS($C275)&gt;dbe_esikFark,"YUKSEK","NORMAL"))</f>
        <v/>
      </c>
      <c r="F275" s="16">
        <f>IF($B275&lt;&gt;"tutar_farki","","Belge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IF($B276&lt;&gt;"tutar_farki","",IF(ABS($C276)&gt;dbe_esikFark,"YUKSEK","NORMAL"))</f>
        <v/>
      </c>
      <c r="F276" s="16">
        <f>IF($B276&lt;&gt;"tutar_farki","","Belge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IF($B277&lt;&gt;"tutar_farki","",IF(ABS($C277)&gt;dbe_esikFark,"YUKSEK","NORMAL"))</f>
        <v/>
      </c>
      <c r="F277" s="16">
        <f>IF($B277&lt;&gt;"tutar_farki","","Belge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IF($B278&lt;&gt;"tutar_farki","",IF(ABS($C278)&gt;dbe_esikFark,"YUKSEK","NORMAL"))</f>
        <v/>
      </c>
      <c r="F278" s="16">
        <f>IF($B278&lt;&gt;"tutar_farki","","Belge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IF($B279&lt;&gt;"tutar_farki","",IF(ABS($C279)&gt;dbe_esikFark,"YUKSEK","NORMAL"))</f>
        <v/>
      </c>
      <c r="F279" s="16">
        <f>IF($B279&lt;&gt;"tutar_farki","","Belge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IF($B280&lt;&gt;"tutar_farki","",IF(ABS($C280)&gt;dbe_esikFark,"YUKSEK","NORMAL"))</f>
        <v/>
      </c>
      <c r="F280" s="16">
        <f>IF($B280&lt;&gt;"tutar_farki","","Belge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IF($B281&lt;&gt;"tutar_farki","",IF(ABS($C281)&gt;dbe_esikFark,"YUKSEK","NORMAL"))</f>
        <v/>
      </c>
      <c r="F281" s="16">
        <f>IF($B281&lt;&gt;"tutar_farki","","Belge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IF($B282&lt;&gt;"tutar_farki","",IF(ABS($C282)&gt;dbe_esikFark,"YUKSEK","NORMAL"))</f>
        <v/>
      </c>
      <c r="F282" s="16">
        <f>IF($B282&lt;&gt;"tutar_farki","","Belge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IF($B283&lt;&gt;"tutar_farki","",IF(ABS($C283)&gt;dbe_esikFark,"YUKSEK","NORMAL"))</f>
        <v/>
      </c>
      <c r="F283" s="16">
        <f>IF($B283&lt;&gt;"tutar_farki","","Belge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IF($B284&lt;&gt;"tutar_farki","",IF(ABS($C284)&gt;dbe_esikFark,"YUKSEK","NORMAL"))</f>
        <v/>
      </c>
      <c r="F284" s="16">
        <f>IF($B284&lt;&gt;"tutar_farki","","Belge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IF($B285&lt;&gt;"tutar_farki","",IF(ABS($C285)&gt;dbe_esikFark,"YUKSEK","NORMAL"))</f>
        <v/>
      </c>
      <c r="F285" s="16">
        <f>IF($B285&lt;&gt;"tutar_farki","","Belge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IF($B286&lt;&gt;"tutar_farki","",IF(ABS($C286)&gt;dbe_esikFark,"YUKSEK","NORMAL"))</f>
        <v/>
      </c>
      <c r="F286" s="16">
        <f>IF($B286&lt;&gt;"tutar_farki","","Belge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IF($B287&lt;&gt;"tutar_farki","",IF(ABS($C287)&gt;dbe_esikFark,"YUKSEK","NORMAL"))</f>
        <v/>
      </c>
      <c r="F287" s="16">
        <f>IF($B287&lt;&gt;"tutar_farki","","Belge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IF($B288&lt;&gt;"tutar_farki","",IF(ABS($C288)&gt;dbe_esikFark,"YUKSEK","NORMAL"))</f>
        <v/>
      </c>
      <c r="F288" s="16">
        <f>IF($B288&lt;&gt;"tutar_farki","","Belge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IF($B289&lt;&gt;"tutar_farki","",IF(ABS($C289)&gt;dbe_esikFark,"YUKSEK","NORMAL"))</f>
        <v/>
      </c>
      <c r="F289" s="16">
        <f>IF($B289&lt;&gt;"tutar_farki","","Belge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IF($B290&lt;&gt;"tutar_farki","",IF(ABS($C290)&gt;dbe_esikFark,"YUKSEK","NORMAL"))</f>
        <v/>
      </c>
      <c r="F290" s="16">
        <f>IF($B290&lt;&gt;"tutar_farki","","Belge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IF($B291&lt;&gt;"tutar_farki","",IF(ABS($C291)&gt;dbe_esikFark,"YUKSEK","NORMAL"))</f>
        <v/>
      </c>
      <c r="F291" s="16">
        <f>IF($B291&lt;&gt;"tutar_farki","","Belge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IF($B292&lt;&gt;"tutar_farki","",IF(ABS($C292)&gt;dbe_esikFark,"YUKSEK","NORMAL"))</f>
        <v/>
      </c>
      <c r="F292" s="16">
        <f>IF($B292&lt;&gt;"tutar_farki","","Belge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IF($B293&lt;&gt;"tutar_farki","",IF(ABS($C293)&gt;dbe_esikFark,"YUKSEK","NORMAL"))</f>
        <v/>
      </c>
      <c r="F293" s="16">
        <f>IF($B293&lt;&gt;"tutar_farki","","Belge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IF($B294&lt;&gt;"tutar_farki","",IF(ABS($C294)&gt;dbe_esikFark,"YUKSEK","NORMAL"))</f>
        <v/>
      </c>
      <c r="F294" s="16">
        <f>IF($B294&lt;&gt;"tutar_farki","","Belge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IF($B295&lt;&gt;"tutar_farki","",IF(ABS($C295)&gt;dbe_esikFark,"YUKSEK","NORMAL"))</f>
        <v/>
      </c>
      <c r="F295" s="16">
        <f>IF($B295&lt;&gt;"tutar_farki","","Belge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IF($B296&lt;&gt;"tutar_farki","",IF(ABS($C296)&gt;dbe_esikFark,"YUKSEK","NORMAL"))</f>
        <v/>
      </c>
      <c r="F296" s="16">
        <f>IF($B296&lt;&gt;"tutar_farki","","Belge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IF($B297&lt;&gt;"tutar_farki","",IF(ABS($C297)&gt;dbe_esikFark,"YUKSEK","NORMAL"))</f>
        <v/>
      </c>
      <c r="F297" s="16">
        <f>IF($B297&lt;&gt;"tutar_farki","","Belge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IF($B298&lt;&gt;"tutar_farki","",IF(ABS($C298)&gt;dbe_esikFark,"YUKSEK","NORMAL"))</f>
        <v/>
      </c>
      <c r="F298" s="16">
        <f>IF($B298&lt;&gt;"tutar_farki","","Belge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IF($B299&lt;&gt;"tutar_farki","",IF(ABS($C299)&gt;dbe_esikFark,"YUKSEK","NORMAL"))</f>
        <v/>
      </c>
      <c r="F299" s="16">
        <f>IF($B299&lt;&gt;"tutar_farki","","Belge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IF($B300&lt;&gt;"tutar_farki","",IF(ABS($C300)&gt;dbe_esikFark,"YUKSEK","NORMAL"))</f>
        <v/>
      </c>
      <c r="F300" s="16">
        <f>IF($B300&lt;&gt;"tutar_farki","","Belge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IF($B301&lt;&gt;"tutar_farki","",IF(ABS($C301)&gt;dbe_esikFark,"YUKSEK","NORMAL"))</f>
        <v/>
      </c>
      <c r="F301" s="16">
        <f>IF($B301&lt;&gt;"tutar_farki","","Belge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IF($B302&lt;&gt;"tutar_farki","",IF(ABS($C302)&gt;dbe_esikFark,"YUKSEK","NORMAL"))</f>
        <v/>
      </c>
      <c r="F302" s="16">
        <f>IF($B302&lt;&gt;"tutar_farki","","Belge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IF($B303&lt;&gt;"tutar_farki","",IF(ABS($C303)&gt;dbe_esikFark,"YUKSEK","NORMAL"))</f>
        <v/>
      </c>
      <c r="F303" s="16">
        <f>IF($B303&lt;&gt;"tutar_farki","","Belge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IF($B304&lt;&gt;"tutar_farki","",IF(ABS($C304)&gt;dbe_esikFark,"YUKSEK","NORMAL"))</f>
        <v/>
      </c>
      <c r="F304" s="16">
        <f>IF($B304&lt;&gt;"tutar_farki","","Belge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IF($B305&lt;&gt;"tutar_farki","",IF(ABS($C305)&gt;dbe_esikFark,"YUKSEK","NORMAL"))</f>
        <v/>
      </c>
      <c r="F305" s="16">
        <f>IF($B305&lt;&gt;"tutar_farki","","Belge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IF($B306&lt;&gt;"tutar_farki","",IF(ABS($C306)&gt;dbe_esikFark,"YUKSEK","NORMAL"))</f>
        <v/>
      </c>
      <c r="F306" s="16">
        <f>IF($B306&lt;&gt;"tutar_farki","","Belge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IF($B307&lt;&gt;"tutar_farki","",IF(ABS($C307)&gt;dbe_esikFark,"YUKSEK","NORMAL"))</f>
        <v/>
      </c>
      <c r="F307" s="16">
        <f>IF($B307&lt;&gt;"tutar_farki","","Belge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IF($B308&lt;&gt;"tutar_farki","",IF(ABS($C308)&gt;dbe_esikFark,"YUKSEK","NORMAL"))</f>
        <v/>
      </c>
      <c r="F308" s="16">
        <f>IF($B308&lt;&gt;"tutar_farki","","Belge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IF($B309&lt;&gt;"tutar_farki","",IF(ABS($C309)&gt;dbe_esikFark,"YUKSEK","NORMAL"))</f>
        <v/>
      </c>
      <c r="F309" s="16">
        <f>IF($B309&lt;&gt;"tutar_farki","","Belge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IF($B310&lt;&gt;"tutar_farki","",IF(ABS($C310)&gt;dbe_esikFark,"YUKSEK","NORMAL"))</f>
        <v/>
      </c>
      <c r="F310" s="16">
        <f>IF($B310&lt;&gt;"tutar_farki","","Belge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IF($B311&lt;&gt;"tutar_farki","",IF(ABS($C311)&gt;dbe_esikFark,"YUKSEK","NORMAL"))</f>
        <v/>
      </c>
      <c r="F311" s="16">
        <f>IF($B311&lt;&gt;"tutar_farki","","Belge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IF($B312&lt;&gt;"tutar_farki","",IF(ABS($C312)&gt;dbe_esikFark,"YUKSEK","NORMAL"))</f>
        <v/>
      </c>
      <c r="F312" s="16">
        <f>IF($B312&lt;&gt;"tutar_farki","","Belge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IF($B313&lt;&gt;"tutar_farki","",IF(ABS($C313)&gt;dbe_esikFark,"YUKSEK","NORMAL"))</f>
        <v/>
      </c>
      <c r="F313" s="16">
        <f>IF($B313&lt;&gt;"tutar_farki","","Belge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IF($B314&lt;&gt;"tutar_farki","",IF(ABS($C314)&gt;dbe_esikFark,"YUKSEK","NORMAL"))</f>
        <v/>
      </c>
      <c r="F314" s="16">
        <f>IF($B314&lt;&gt;"tutar_farki","","Belge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IF($B315&lt;&gt;"tutar_farki","",IF(ABS($C315)&gt;dbe_esikFark,"YUKSEK","NORMAL"))</f>
        <v/>
      </c>
      <c r="F315" s="16">
        <f>IF($B315&lt;&gt;"tutar_farki","","Belge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IF($B316&lt;&gt;"tutar_farki","",IF(ABS($C316)&gt;dbe_esikFark,"YUKSEK","NORMAL"))</f>
        <v/>
      </c>
      <c r="F316" s="16">
        <f>IF($B316&lt;&gt;"tutar_farki","","Belge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IF($B317&lt;&gt;"tutar_farki","",IF(ABS($C317)&gt;dbe_esikFark,"YUKSEK","NORMAL"))</f>
        <v/>
      </c>
      <c r="F317" s="16">
        <f>IF($B317&lt;&gt;"tutar_farki","","Belge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IF($B318&lt;&gt;"tutar_farki","",IF(ABS($C318)&gt;dbe_esikFark,"YUKSEK","NORMAL"))</f>
        <v/>
      </c>
      <c r="F318" s="16">
        <f>IF($B318&lt;&gt;"tutar_farki","","Belge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IF($B319&lt;&gt;"tutar_farki","",IF(ABS($C319)&gt;dbe_esikFark,"YUKSEK","NORMAL"))</f>
        <v/>
      </c>
      <c r="F319" s="16">
        <f>IF($B319&lt;&gt;"tutar_farki","","Belge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IF($B320&lt;&gt;"tutar_farki","",IF(ABS($C320)&gt;dbe_esikFark,"YUKSEK","NORMAL"))</f>
        <v/>
      </c>
      <c r="F320" s="16">
        <f>IF($B320&lt;&gt;"tutar_farki","","Belge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IF($B321&lt;&gt;"tutar_farki","",IF(ABS($C321)&gt;dbe_esikFark,"YUKSEK","NORMAL"))</f>
        <v/>
      </c>
      <c r="F321" s="16">
        <f>IF($B321&lt;&gt;"tutar_farki","","Belge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IF($B322&lt;&gt;"tutar_farki","",IF(ABS($C322)&gt;dbe_esikFark,"YUKSEK","NORMAL"))</f>
        <v/>
      </c>
      <c r="F322" s="16">
        <f>IF($B322&lt;&gt;"tutar_farki","","Belge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IF($B323&lt;&gt;"tutar_farki","",IF(ABS($C323)&gt;dbe_esikFark,"YUKSEK","NORMAL"))</f>
        <v/>
      </c>
      <c r="F323" s="16">
        <f>IF($B323&lt;&gt;"tutar_farki","","Belge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IF($B324&lt;&gt;"tutar_farki","",IF(ABS($C324)&gt;dbe_esikFark,"YUKSEK","NORMAL"))</f>
        <v/>
      </c>
      <c r="F324" s="16">
        <f>IF($B324&lt;&gt;"tutar_farki","","Belge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IF($B325&lt;&gt;"tutar_farki","",IF(ABS($C325)&gt;dbe_esikFark,"YUKSEK","NORMAL"))</f>
        <v/>
      </c>
      <c r="F325" s="16">
        <f>IF($B325&lt;&gt;"tutar_farki","","Belge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IF($B326&lt;&gt;"tutar_farki","",IF(ABS($C326)&gt;dbe_esikFark,"YUKSEK","NORMAL"))</f>
        <v/>
      </c>
      <c r="F326" s="16">
        <f>IF($B326&lt;&gt;"tutar_farki","","Belge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IF($B327&lt;&gt;"tutar_farki","",IF(ABS($C327)&gt;dbe_esikFark,"YUKSEK","NORMAL"))</f>
        <v/>
      </c>
      <c r="F327" s="16">
        <f>IF($B327&lt;&gt;"tutar_farki","","Belge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IF($B328&lt;&gt;"tutar_farki","",IF(ABS($C328)&gt;dbe_esikFark,"YUKSEK","NORMAL"))</f>
        <v/>
      </c>
      <c r="F328" s="16">
        <f>IF($B328&lt;&gt;"tutar_farki","","Belge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IF($B329&lt;&gt;"tutar_farki","",IF(ABS($C329)&gt;dbe_esikFark,"YUKSEK","NORMAL"))</f>
        <v/>
      </c>
      <c r="F329" s="16">
        <f>IF($B329&lt;&gt;"tutar_farki","","Belge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IF($B330&lt;&gt;"tutar_farki","",IF(ABS($C330)&gt;dbe_esikFark,"YUKSEK","NORMAL"))</f>
        <v/>
      </c>
      <c r="F330" s="16">
        <f>IF($B330&lt;&gt;"tutar_farki","","Belge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IF($B331&lt;&gt;"tutar_farki","",IF(ABS($C331)&gt;dbe_esikFark,"YUKSEK","NORMAL"))</f>
        <v/>
      </c>
      <c r="F331" s="16">
        <f>IF($B331&lt;&gt;"tutar_farki","","Belge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IF($B332&lt;&gt;"tutar_farki","",IF(ABS($C332)&gt;dbe_esikFark,"YUKSEK","NORMAL"))</f>
        <v/>
      </c>
      <c r="F332" s="16">
        <f>IF($B332&lt;&gt;"tutar_farki","","Belge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IF($B333&lt;&gt;"tutar_farki","",IF(ABS($C333)&gt;dbe_esikFark,"YUKSEK","NORMAL"))</f>
        <v/>
      </c>
      <c r="F333" s="16">
        <f>IF($B333&lt;&gt;"tutar_farki","","Belge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IF($B334&lt;&gt;"tutar_farki","",IF(ABS($C334)&gt;dbe_esikFark,"YUKSEK","NORMAL"))</f>
        <v/>
      </c>
      <c r="F334" s="16">
        <f>IF($B334&lt;&gt;"tutar_farki","","Belge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IF($B335&lt;&gt;"tutar_farki","",IF(ABS($C335)&gt;dbe_esikFark,"YUKSEK","NORMAL"))</f>
        <v/>
      </c>
      <c r="F335" s="16">
        <f>IF($B335&lt;&gt;"tutar_farki","","Belge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IF($B336&lt;&gt;"tutar_farki","",IF(ABS($C336)&gt;dbe_esikFark,"YUKSEK","NORMAL"))</f>
        <v/>
      </c>
      <c r="F336" s="16">
        <f>IF($B336&lt;&gt;"tutar_farki","","Belge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IF($B337&lt;&gt;"tutar_farki","",IF(ABS($C337)&gt;dbe_esikFark,"YUKSEK","NORMAL"))</f>
        <v/>
      </c>
      <c r="F337" s="16">
        <f>IF($B337&lt;&gt;"tutar_farki","","Belge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IF($B338&lt;&gt;"tutar_farki","",IF(ABS($C338)&gt;dbe_esikFark,"YUKSEK","NORMAL"))</f>
        <v/>
      </c>
      <c r="F338" s="16">
        <f>IF($B338&lt;&gt;"tutar_farki","","Belge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IF($B339&lt;&gt;"tutar_farki","",IF(ABS($C339)&gt;dbe_esikFark,"YUKSEK","NORMAL"))</f>
        <v/>
      </c>
      <c r="F339" s="16">
        <f>IF($B339&lt;&gt;"tutar_farki","","Belge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IF($B340&lt;&gt;"tutar_farki","",IF(ABS($C340)&gt;dbe_esikFark,"YUKSEK","NORMAL"))</f>
        <v/>
      </c>
      <c r="F340" s="16">
        <f>IF($B340&lt;&gt;"tutar_farki","","Belge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IF($B341&lt;&gt;"tutar_farki","",IF(ABS($C341)&gt;dbe_esikFark,"YUKSEK","NORMAL"))</f>
        <v/>
      </c>
      <c r="F341" s="16">
        <f>IF($B341&lt;&gt;"tutar_farki","","Belge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IF($B342&lt;&gt;"tutar_farki","",IF(ABS($C342)&gt;dbe_esikFark,"YUKSEK","NORMAL"))</f>
        <v/>
      </c>
      <c r="F342" s="16">
        <f>IF($B342&lt;&gt;"tutar_farki","","Belge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IF($B343&lt;&gt;"tutar_farki","",IF(ABS($C343)&gt;dbe_esikFark,"YUKSEK","NORMAL"))</f>
        <v/>
      </c>
      <c r="F343" s="16">
        <f>IF($B343&lt;&gt;"tutar_farki","","Belge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IF($B344&lt;&gt;"tutar_farki","",IF(ABS($C344)&gt;dbe_esikFark,"YUKSEK","NORMAL"))</f>
        <v/>
      </c>
      <c r="F344" s="16">
        <f>IF($B344&lt;&gt;"tutar_farki","","Belge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IF($B345&lt;&gt;"tutar_farki","",IF(ABS($C345)&gt;dbe_esikFark,"YUKSEK","NORMAL"))</f>
        <v/>
      </c>
      <c r="F345" s="16">
        <f>IF($B345&lt;&gt;"tutar_farki","","Belge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IF($B346&lt;&gt;"tutar_farki","",IF(ABS($C346)&gt;dbe_esikFark,"YUKSEK","NORMAL"))</f>
        <v/>
      </c>
      <c r="F346" s="16">
        <f>IF($B346&lt;&gt;"tutar_farki","","Belge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IF($B347&lt;&gt;"tutar_farki","",IF(ABS($C347)&gt;dbe_esikFark,"YUKSEK","NORMAL"))</f>
        <v/>
      </c>
      <c r="F347" s="16">
        <f>IF($B347&lt;&gt;"tutar_farki","","Belge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IF($B348&lt;&gt;"tutar_farki","",IF(ABS($C348)&gt;dbe_esikFark,"YUKSEK","NORMAL"))</f>
        <v/>
      </c>
      <c r="F348" s="16">
        <f>IF($B348&lt;&gt;"tutar_farki","","Belge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IF($B349&lt;&gt;"tutar_farki","",IF(ABS($C349)&gt;dbe_esikFark,"YUKSEK","NORMAL"))</f>
        <v/>
      </c>
      <c r="F349" s="16">
        <f>IF($B349&lt;&gt;"tutar_farki","","Belge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IF($B350&lt;&gt;"tutar_farki","",IF(ABS($C350)&gt;dbe_esikFark,"YUKSEK","NORMAL"))</f>
        <v/>
      </c>
      <c r="F350" s="16">
        <f>IF($B350&lt;&gt;"tutar_farki","","Belge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IF($B351&lt;&gt;"tutar_farki","",IF(ABS($C351)&gt;dbe_esikFark,"YUKSEK","NORMAL"))</f>
        <v/>
      </c>
      <c r="F351" s="16">
        <f>IF($B351&lt;&gt;"tutar_farki","","Belge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IF($B352&lt;&gt;"tutar_farki","",IF(ABS($C352)&gt;dbe_esikFark,"YUKSEK","NORMAL"))</f>
        <v/>
      </c>
      <c r="F352" s="16">
        <f>IF($B352&lt;&gt;"tutar_farki","","Belge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IF($B353&lt;&gt;"tutar_farki","",IF(ABS($C353)&gt;dbe_esikFark,"YUKSEK","NORMAL"))</f>
        <v/>
      </c>
      <c r="F353" s="16">
        <f>IF($B353&lt;&gt;"tutar_farki","","Belge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IF($B354&lt;&gt;"tutar_farki","",IF(ABS($C354)&gt;dbe_esikFark,"YUKSEK","NORMAL"))</f>
        <v/>
      </c>
      <c r="F354" s="16">
        <f>IF($B354&lt;&gt;"tutar_farki","","Belge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IF($B355&lt;&gt;"tutar_farki","",IF(ABS($C355)&gt;dbe_esikFark,"YUKSEK","NORMAL"))</f>
        <v/>
      </c>
      <c r="F355" s="16">
        <f>IF($B355&lt;&gt;"tutar_farki","","Belge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IF($B356&lt;&gt;"tutar_farki","",IF(ABS($C356)&gt;dbe_esikFark,"YUKSEK","NORMAL"))</f>
        <v/>
      </c>
      <c r="F356" s="16">
        <f>IF($B356&lt;&gt;"tutar_farki","","Belge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IF($B357&lt;&gt;"tutar_farki","",IF(ABS($C357)&gt;dbe_esikFark,"YUKSEK","NORMAL"))</f>
        <v/>
      </c>
      <c r="F357" s="16">
        <f>IF($B357&lt;&gt;"tutar_farki","","Belge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IF($B358&lt;&gt;"tutar_farki","",IF(ABS($C358)&gt;dbe_esikFark,"YUKSEK","NORMAL"))</f>
        <v/>
      </c>
      <c r="F358" s="16">
        <f>IF($B358&lt;&gt;"tutar_farki","","Belge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IF($B359&lt;&gt;"tutar_farki","",IF(ABS($C359)&gt;dbe_esikFark,"YUKSEK","NORMAL"))</f>
        <v/>
      </c>
      <c r="F359" s="16">
        <f>IF($B359&lt;&gt;"tutar_farki","","Belge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IF($B360&lt;&gt;"tutar_farki","",IF(ABS($C360)&gt;dbe_esikFark,"YUKSEK","NORMAL"))</f>
        <v/>
      </c>
      <c r="F360" s="16">
        <f>IF($B360&lt;&gt;"tutar_farki","","Belge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IF($B361&lt;&gt;"tutar_farki","",IF(ABS($C361)&gt;dbe_esikFark,"YUKSEK","NORMAL"))</f>
        <v/>
      </c>
      <c r="F361" s="16">
        <f>IF($B361&lt;&gt;"tutar_farki","","Belge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IF($B362&lt;&gt;"tutar_farki","",IF(ABS($C362)&gt;dbe_esikFark,"YUKSEK","NORMAL"))</f>
        <v/>
      </c>
      <c r="F362" s="16">
        <f>IF($B362&lt;&gt;"tutar_farki","","Belge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IF($B363&lt;&gt;"tutar_farki","",IF(ABS($C363)&gt;dbe_esikFark,"YUKSEK","NORMAL"))</f>
        <v/>
      </c>
      <c r="F363" s="16">
        <f>IF($B363&lt;&gt;"tutar_farki","","Belge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IF($B364&lt;&gt;"tutar_farki","",IF(ABS($C364)&gt;dbe_esikFark,"YUKSEK","NORMAL"))</f>
        <v/>
      </c>
      <c r="F364" s="16">
        <f>IF($B364&lt;&gt;"tutar_farki","","Belge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IF($B365&lt;&gt;"tutar_farki","",IF(ABS($C365)&gt;dbe_esikFark,"YUKSEK","NORMAL"))</f>
        <v/>
      </c>
      <c r="F365" s="16">
        <f>IF($B365&lt;&gt;"tutar_farki","","Belge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IF($B366&lt;&gt;"tutar_farki","",IF(ABS($C366)&gt;dbe_esikFark,"YUKSEK","NORMAL"))</f>
        <v/>
      </c>
      <c r="F366" s="16">
        <f>IF($B366&lt;&gt;"tutar_farki","","Belge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IF($B367&lt;&gt;"tutar_farki","",IF(ABS($C367)&gt;dbe_esikFark,"YUKSEK","NORMAL"))</f>
        <v/>
      </c>
      <c r="F367" s="16">
        <f>IF($B367&lt;&gt;"tutar_farki","","Belge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IF($B368&lt;&gt;"tutar_farki","",IF(ABS($C368)&gt;dbe_esikFark,"YUKSEK","NORMAL"))</f>
        <v/>
      </c>
      <c r="F368" s="16">
        <f>IF($B368&lt;&gt;"tutar_farki","","Belge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IF($B369&lt;&gt;"tutar_farki","",IF(ABS($C369)&gt;dbe_esikFark,"YUKSEK","NORMAL"))</f>
        <v/>
      </c>
      <c r="F369" s="16">
        <f>IF($B369&lt;&gt;"tutar_farki","","Belge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IF($B370&lt;&gt;"tutar_farki","",IF(ABS($C370)&gt;dbe_esikFark,"YUKSEK","NORMAL"))</f>
        <v/>
      </c>
      <c r="F370" s="16">
        <f>IF($B370&lt;&gt;"tutar_farki","","Belge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IF($B371&lt;&gt;"tutar_farki","",IF(ABS($C371)&gt;dbe_esikFark,"YUKSEK","NORMAL"))</f>
        <v/>
      </c>
      <c r="F371" s="16">
        <f>IF($B371&lt;&gt;"tutar_farki","","Belge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IF($B372&lt;&gt;"tutar_farki","",IF(ABS($C372)&gt;dbe_esikFark,"YUKSEK","NORMAL"))</f>
        <v/>
      </c>
      <c r="F372" s="16">
        <f>IF($B372&lt;&gt;"tutar_farki","","Belge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IF($B373&lt;&gt;"tutar_farki","",IF(ABS($C373)&gt;dbe_esikFark,"YUKSEK","NORMAL"))</f>
        <v/>
      </c>
      <c r="F373" s="16">
        <f>IF($B373&lt;&gt;"tutar_farki","","Belge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IF($B374&lt;&gt;"tutar_farki","",IF(ABS($C374)&gt;dbe_esikFark,"YUKSEK","NORMAL"))</f>
        <v/>
      </c>
      <c r="F374" s="16">
        <f>IF($B374&lt;&gt;"tutar_farki","","Belge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IF($B375&lt;&gt;"tutar_farki","",IF(ABS($C375)&gt;dbe_esikFark,"YUKSEK","NORMAL"))</f>
        <v/>
      </c>
      <c r="F375" s="16">
        <f>IF($B375&lt;&gt;"tutar_farki","","Belge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IF($B376&lt;&gt;"tutar_farki","",IF(ABS($C376)&gt;dbe_esikFark,"YUKSEK","NORMAL"))</f>
        <v/>
      </c>
      <c r="F376" s="16">
        <f>IF($B376&lt;&gt;"tutar_farki","","Belge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IF($B377&lt;&gt;"tutar_farki","",IF(ABS($C377)&gt;dbe_esikFark,"YUKSEK","NORMAL"))</f>
        <v/>
      </c>
      <c r="F377" s="16">
        <f>IF($B377&lt;&gt;"tutar_farki","","Belge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IF($B378&lt;&gt;"tutar_farki","",IF(ABS($C378)&gt;dbe_esikFark,"YUKSEK","NORMAL"))</f>
        <v/>
      </c>
      <c r="F378" s="16">
        <f>IF($B378&lt;&gt;"tutar_farki","","Belge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IF($B379&lt;&gt;"tutar_farki","",IF(ABS($C379)&gt;dbe_esikFark,"YUKSEK","NORMAL"))</f>
        <v/>
      </c>
      <c r="F379" s="16">
        <f>IF($B379&lt;&gt;"tutar_farki","","Belge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IF($B380&lt;&gt;"tutar_farki","",IF(ABS($C380)&gt;dbe_esikFark,"YUKSEK","NORMAL"))</f>
        <v/>
      </c>
      <c r="F380" s="16">
        <f>IF($B380&lt;&gt;"tutar_farki","","Belge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IF($B381&lt;&gt;"tutar_farki","",IF(ABS($C381)&gt;dbe_esikFark,"YUKSEK","NORMAL"))</f>
        <v/>
      </c>
      <c r="F381" s="16">
        <f>IF($B381&lt;&gt;"tutar_farki","","Belge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IF($B382&lt;&gt;"tutar_farki","",IF(ABS($C382)&gt;dbe_esikFark,"YUKSEK","NORMAL"))</f>
        <v/>
      </c>
      <c r="F382" s="16">
        <f>IF($B382&lt;&gt;"tutar_farki","","Belge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IF($B383&lt;&gt;"tutar_farki","",IF(ABS($C383)&gt;dbe_esikFark,"YUKSEK","NORMAL"))</f>
        <v/>
      </c>
      <c r="F383" s="16">
        <f>IF($B383&lt;&gt;"tutar_farki","","Belge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IF($B384&lt;&gt;"tutar_farki","",IF(ABS($C384)&gt;dbe_esikFark,"YUKSEK","NORMAL"))</f>
        <v/>
      </c>
      <c r="F384" s="16">
        <f>IF($B384&lt;&gt;"tutar_farki","","Belge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IF($B385&lt;&gt;"tutar_farki","",IF(ABS($C385)&gt;dbe_esikFark,"YUKSEK","NORMAL"))</f>
        <v/>
      </c>
      <c r="F385" s="16">
        <f>IF($B385&lt;&gt;"tutar_farki","","Belge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IF($B386&lt;&gt;"tutar_farki","",IF(ABS($C386)&gt;dbe_esikFark,"YUKSEK","NORMAL"))</f>
        <v/>
      </c>
      <c r="F386" s="16">
        <f>IF($B386&lt;&gt;"tutar_farki","","Belge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IF($B387&lt;&gt;"tutar_farki","",IF(ABS($C387)&gt;dbe_esikFark,"YUKSEK","NORMAL"))</f>
        <v/>
      </c>
      <c r="F387" s="16">
        <f>IF($B387&lt;&gt;"tutar_farki","","Belge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IF($B388&lt;&gt;"tutar_farki","",IF(ABS($C388)&gt;dbe_esikFark,"YUKSEK","NORMAL"))</f>
        <v/>
      </c>
      <c r="F388" s="16">
        <f>IF($B388&lt;&gt;"tutar_farki","","Belge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IF($B389&lt;&gt;"tutar_farki","",IF(ABS($C389)&gt;dbe_esikFark,"YUKSEK","NORMAL"))</f>
        <v/>
      </c>
      <c r="F389" s="16">
        <f>IF($B389&lt;&gt;"tutar_farki","","Belge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IF($B390&lt;&gt;"tutar_farki","",IF(ABS($C390)&gt;dbe_esikFark,"YUKSEK","NORMAL"))</f>
        <v/>
      </c>
      <c r="F390" s="16">
        <f>IF($B390&lt;&gt;"tutar_farki","","Belge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IF($B391&lt;&gt;"tutar_farki","",IF(ABS($C391)&gt;dbe_esikFark,"YUKSEK","NORMAL"))</f>
        <v/>
      </c>
      <c r="F391" s="16">
        <f>IF($B391&lt;&gt;"tutar_farki","","Belge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IF($B392&lt;&gt;"tutar_farki","",IF(ABS($C392)&gt;dbe_esikFark,"YUKSEK","NORMAL"))</f>
        <v/>
      </c>
      <c r="F392" s="16">
        <f>IF($B392&lt;&gt;"tutar_farki","","Belge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IF($B393&lt;&gt;"tutar_farki","",IF(ABS($C393)&gt;dbe_esikFark,"YUKSEK","NORMAL"))</f>
        <v/>
      </c>
      <c r="F393" s="16">
        <f>IF($B393&lt;&gt;"tutar_farki","","Belge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IF($B394&lt;&gt;"tutar_farki","",IF(ABS($C394)&gt;dbe_esikFark,"YUKSEK","NORMAL"))</f>
        <v/>
      </c>
      <c r="F394" s="16">
        <f>IF($B394&lt;&gt;"tutar_farki","","Belge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IF($B395&lt;&gt;"tutar_farki","",IF(ABS($C395)&gt;dbe_esikFark,"YUKSEK","NORMAL"))</f>
        <v/>
      </c>
      <c r="F395" s="16">
        <f>IF($B395&lt;&gt;"tutar_farki","","Belge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IF($B396&lt;&gt;"tutar_farki","",IF(ABS($C396)&gt;dbe_esikFark,"YUKSEK","NORMAL"))</f>
        <v/>
      </c>
      <c r="F396" s="16">
        <f>IF($B396&lt;&gt;"tutar_farki","","Belge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IF($B397&lt;&gt;"tutar_farki","",IF(ABS($C397)&gt;dbe_esikFark,"YUKSEK","NORMAL"))</f>
        <v/>
      </c>
      <c r="F397" s="16">
        <f>IF($B397&lt;&gt;"tutar_farki","","Belge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IF($B398&lt;&gt;"tutar_farki","",IF(ABS($C398)&gt;dbe_esikFark,"YUKSEK","NORMAL"))</f>
        <v/>
      </c>
      <c r="F398" s="16">
        <f>IF($B398&lt;&gt;"tutar_farki","","Belge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IF($B399&lt;&gt;"tutar_farki","",IF(ABS($C399)&gt;dbe_esikFark,"YUKSEK","NORMAL"))</f>
        <v/>
      </c>
      <c r="F399" s="16">
        <f>IF($B399&lt;&gt;"tutar_farki","","Belge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IF($B400&lt;&gt;"tutar_farki","",IF(ABS($C400)&gt;dbe_esikFark,"YUKSEK","NORMAL"))</f>
        <v/>
      </c>
      <c r="F400" s="16">
        <f>IF($B400&lt;&gt;"tutar_farki","","Belge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IF($B401&lt;&gt;"tutar_farki","",IF(ABS($C401)&gt;dbe_esikFark,"YUKSEK","NORMAL"))</f>
        <v/>
      </c>
      <c r="F401" s="16">
        <f>IF($B401&lt;&gt;"tutar_farki","","Belge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IF($B402&lt;&gt;"tutar_farki","",IF(ABS($C402)&gt;dbe_esikFark,"YUKSEK","NORMAL"))</f>
        <v/>
      </c>
      <c r="F402" s="16">
        <f>IF($B402&lt;&gt;"tutar_farki","","Belge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IF($B403&lt;&gt;"tutar_farki","",IF(ABS($C403)&gt;dbe_esikFark,"YUKSEK","NORMAL"))</f>
        <v/>
      </c>
      <c r="F403" s="16">
        <f>IF($B403&lt;&gt;"tutar_farki","","Belge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IF($B404&lt;&gt;"tutar_farki","",IF(ABS($C404)&gt;dbe_esikFark,"YUKSEK","NORMAL"))</f>
        <v/>
      </c>
      <c r="F404" s="16">
        <f>IF($B404&lt;&gt;"tutar_farki","","Belge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IF($B405&lt;&gt;"tutar_farki","",IF(ABS($C405)&gt;dbe_esikFark,"YUKSEK","NORMAL"))</f>
        <v/>
      </c>
      <c r="F405" s="16">
        <f>IF($B405&lt;&gt;"tutar_farki","","Belge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IF($B406&lt;&gt;"tutar_farki","",IF(ABS($C406)&gt;dbe_esikFark,"YUKSEK","NORMAL"))</f>
        <v/>
      </c>
      <c r="F406" s="16">
        <f>IF($B406&lt;&gt;"tutar_farki","","Belge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IF($B407&lt;&gt;"tutar_farki","",IF(ABS($C407)&gt;dbe_esikFark,"YUKSEK","NORMAL"))</f>
        <v/>
      </c>
      <c r="F407" s="16">
        <f>IF($B407&lt;&gt;"tutar_farki","","Belge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IF($B408&lt;&gt;"tutar_farki","",IF(ABS($C408)&gt;dbe_esikFark,"YUKSEK","NORMAL"))</f>
        <v/>
      </c>
      <c r="F408" s="16">
        <f>IF($B408&lt;&gt;"tutar_farki","","Belge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IF($B409&lt;&gt;"tutar_farki","",IF(ABS($C409)&gt;dbe_esikFark,"YUKSEK","NORMAL"))</f>
        <v/>
      </c>
      <c r="F409" s="16">
        <f>IF($B409&lt;&gt;"tutar_farki","","Belge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IF($B410&lt;&gt;"tutar_farki","",IF(ABS($C410)&gt;dbe_esikFark,"YUKSEK","NORMAL"))</f>
        <v/>
      </c>
      <c r="F410" s="16">
        <f>IF($B410&lt;&gt;"tutar_farki","","Belge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IF($B411&lt;&gt;"tutar_farki","",IF(ABS($C411)&gt;dbe_esikFark,"YUKSEK","NORMAL"))</f>
        <v/>
      </c>
      <c r="F411" s="16">
        <f>IF($B411&lt;&gt;"tutar_farki","","Belge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IF($B412&lt;&gt;"tutar_farki","",IF(ABS($C412)&gt;dbe_esikFark,"YUKSEK","NORMAL"))</f>
        <v/>
      </c>
      <c r="F412" s="16">
        <f>IF($B412&lt;&gt;"tutar_farki","","Belge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IF($B413&lt;&gt;"tutar_farki","",IF(ABS($C413)&gt;dbe_esikFark,"YUKSEK","NORMAL"))</f>
        <v/>
      </c>
      <c r="F413" s="16">
        <f>IF($B413&lt;&gt;"tutar_farki","","Belge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IF($B414&lt;&gt;"tutar_farki","",IF(ABS($C414)&gt;dbe_esikFark,"YUKSEK","NORMAL"))</f>
        <v/>
      </c>
      <c r="F414" s="16">
        <f>IF($B414&lt;&gt;"tutar_farki","","Belge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IF($B415&lt;&gt;"tutar_farki","",IF(ABS($C415)&gt;dbe_esikFark,"YUKSEK","NORMAL"))</f>
        <v/>
      </c>
      <c r="F415" s="16">
        <f>IF($B415&lt;&gt;"tutar_farki","","Belge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IF($B416&lt;&gt;"tutar_farki","",IF(ABS($C416)&gt;dbe_esikFark,"YUKSEK","NORMAL"))</f>
        <v/>
      </c>
      <c r="F416" s="16">
        <f>IF($B416&lt;&gt;"tutar_farki","","Belge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IF($B417&lt;&gt;"tutar_farki","",IF(ABS($C417)&gt;dbe_esikFark,"YUKSEK","NORMAL"))</f>
        <v/>
      </c>
      <c r="F417" s="16">
        <f>IF($B417&lt;&gt;"tutar_farki","","Belge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IF($B418&lt;&gt;"tutar_farki","",IF(ABS($C418)&gt;dbe_esikFark,"YUKSEK","NORMAL"))</f>
        <v/>
      </c>
      <c r="F418" s="16">
        <f>IF($B418&lt;&gt;"tutar_farki","","Belge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IF($B419&lt;&gt;"tutar_farki","",IF(ABS($C419)&gt;dbe_esikFark,"YUKSEK","NORMAL"))</f>
        <v/>
      </c>
      <c r="F419" s="16">
        <f>IF($B419&lt;&gt;"tutar_farki","","Belge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IF($B420&lt;&gt;"tutar_farki","",IF(ABS($C420)&gt;dbe_esikFark,"YUKSEK","NORMAL"))</f>
        <v/>
      </c>
      <c r="F420" s="16">
        <f>IF($B420&lt;&gt;"tutar_farki","","Belge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IF($B421&lt;&gt;"tutar_farki","",IF(ABS($C421)&gt;dbe_esikFark,"YUKSEK","NORMAL"))</f>
        <v/>
      </c>
      <c r="F421" s="16">
        <f>IF($B421&lt;&gt;"tutar_farki","","Belge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IF($B422&lt;&gt;"tutar_farki","",IF(ABS($C422)&gt;dbe_esikFark,"YUKSEK","NORMAL"))</f>
        <v/>
      </c>
      <c r="F422" s="16">
        <f>IF($B422&lt;&gt;"tutar_farki","","Belge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IF($B423&lt;&gt;"tutar_farki","",IF(ABS($C423)&gt;dbe_esikFark,"YUKSEK","NORMAL"))</f>
        <v/>
      </c>
      <c r="F423" s="16">
        <f>IF($B423&lt;&gt;"tutar_farki","","Belge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IF($B424&lt;&gt;"tutar_farki","",IF(ABS($C424)&gt;dbe_esikFark,"YUKSEK","NORMAL"))</f>
        <v/>
      </c>
      <c r="F424" s="16">
        <f>IF($B424&lt;&gt;"tutar_farki","","Belge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IF($B425&lt;&gt;"tutar_farki","",IF(ABS($C425)&gt;dbe_esikFark,"YUKSEK","NORMAL"))</f>
        <v/>
      </c>
      <c r="F425" s="16">
        <f>IF($B425&lt;&gt;"tutar_farki","","Belge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IF($B426&lt;&gt;"tutar_farki","",IF(ABS($C426)&gt;dbe_esikFark,"YUKSEK","NORMAL"))</f>
        <v/>
      </c>
      <c r="F426" s="16">
        <f>IF($B426&lt;&gt;"tutar_farki","","Belge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IF($B427&lt;&gt;"tutar_farki","",IF(ABS($C427)&gt;dbe_esikFark,"YUKSEK","NORMAL"))</f>
        <v/>
      </c>
      <c r="F427" s="16">
        <f>IF($B427&lt;&gt;"tutar_farki","","Belge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IF($B428&lt;&gt;"tutar_farki","",IF(ABS($C428)&gt;dbe_esikFark,"YUKSEK","NORMAL"))</f>
        <v/>
      </c>
      <c r="F428" s="16">
        <f>IF($B428&lt;&gt;"tutar_farki","","Belge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IF($B429&lt;&gt;"tutar_farki","",IF(ABS($C429)&gt;dbe_esikFark,"YUKSEK","NORMAL"))</f>
        <v/>
      </c>
      <c r="F429" s="16">
        <f>IF($B429&lt;&gt;"tutar_farki","","Belge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IF($B430&lt;&gt;"tutar_farki","",IF(ABS($C430)&gt;dbe_esikFark,"YUKSEK","NORMAL"))</f>
        <v/>
      </c>
      <c r="F430" s="16">
        <f>IF($B430&lt;&gt;"tutar_farki","","Belge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IF($B431&lt;&gt;"tutar_farki","",IF(ABS($C431)&gt;dbe_esikFark,"YUKSEK","NORMAL"))</f>
        <v/>
      </c>
      <c r="F431" s="16">
        <f>IF($B431&lt;&gt;"tutar_farki","","Belge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IF($B432&lt;&gt;"tutar_farki","",IF(ABS($C432)&gt;dbe_esikFark,"YUKSEK","NORMAL"))</f>
        <v/>
      </c>
      <c r="F432" s="16">
        <f>IF($B432&lt;&gt;"tutar_farki","","Belge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IF($B433&lt;&gt;"tutar_farki","",IF(ABS($C433)&gt;dbe_esikFark,"YUKSEK","NORMAL"))</f>
        <v/>
      </c>
      <c r="F433" s="16">
        <f>IF($B433&lt;&gt;"tutar_farki","","Belge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IF($B434&lt;&gt;"tutar_farki","",IF(ABS($C434)&gt;dbe_esikFark,"YUKSEK","NORMAL"))</f>
        <v/>
      </c>
      <c r="F434" s="16">
        <f>IF($B434&lt;&gt;"tutar_farki","","Belge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IF($B435&lt;&gt;"tutar_farki","",IF(ABS($C435)&gt;dbe_esikFark,"YUKSEK","NORMAL"))</f>
        <v/>
      </c>
      <c r="F435" s="16">
        <f>IF($B435&lt;&gt;"tutar_farki","","Belge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IF($B436&lt;&gt;"tutar_farki","",IF(ABS($C436)&gt;dbe_esikFark,"YUKSEK","NORMAL"))</f>
        <v/>
      </c>
      <c r="F436" s="16">
        <f>IF($B436&lt;&gt;"tutar_farki","","Belge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IF($B437&lt;&gt;"tutar_farki","",IF(ABS($C437)&gt;dbe_esikFark,"YUKSEK","NORMAL"))</f>
        <v/>
      </c>
      <c r="F437" s="16">
        <f>IF($B437&lt;&gt;"tutar_farki","","Belge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IF($B438&lt;&gt;"tutar_farki","",IF(ABS($C438)&gt;dbe_esikFark,"YUKSEK","NORMAL"))</f>
        <v/>
      </c>
      <c r="F438" s="16">
        <f>IF($B438&lt;&gt;"tutar_farki","","Belge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IF($B439&lt;&gt;"tutar_farki","",IF(ABS($C439)&gt;dbe_esikFark,"YUKSEK","NORMAL"))</f>
        <v/>
      </c>
      <c r="F439" s="16">
        <f>IF($B439&lt;&gt;"tutar_farki","","Belge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IF($B440&lt;&gt;"tutar_farki","",IF(ABS($C440)&gt;dbe_esikFark,"YUKSEK","NORMAL"))</f>
        <v/>
      </c>
      <c r="F440" s="16">
        <f>IF($B440&lt;&gt;"tutar_farki","","Belge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IF($B441&lt;&gt;"tutar_farki","",IF(ABS($C441)&gt;dbe_esikFark,"YUKSEK","NORMAL"))</f>
        <v/>
      </c>
      <c r="F441" s="16">
        <f>IF($B441&lt;&gt;"tutar_farki","","Belge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IF($B442&lt;&gt;"tutar_farki","",IF(ABS($C442)&gt;dbe_esikFark,"YUKSEK","NORMAL"))</f>
        <v/>
      </c>
      <c r="F442" s="16">
        <f>IF($B442&lt;&gt;"tutar_farki","","Belge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IF($B443&lt;&gt;"tutar_farki","",IF(ABS($C443)&gt;dbe_esikFark,"YUKSEK","NORMAL"))</f>
        <v/>
      </c>
      <c r="F443" s="16">
        <f>IF($B443&lt;&gt;"tutar_farki","","Belge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IF($B444&lt;&gt;"tutar_farki","",IF(ABS($C444)&gt;dbe_esikFark,"YUKSEK","NORMAL"))</f>
        <v/>
      </c>
      <c r="F444" s="16">
        <f>IF($B444&lt;&gt;"tutar_farki","","Belge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IF($B445&lt;&gt;"tutar_farki","",IF(ABS($C445)&gt;dbe_esikFark,"YUKSEK","NORMAL"))</f>
        <v/>
      </c>
      <c r="F445" s="16">
        <f>IF($B445&lt;&gt;"tutar_farki","","Belge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IF($B446&lt;&gt;"tutar_farki","",IF(ABS($C446)&gt;dbe_esikFark,"YUKSEK","NORMAL"))</f>
        <v/>
      </c>
      <c r="F446" s="16">
        <f>IF($B446&lt;&gt;"tutar_farki","","Belge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IF($B447&lt;&gt;"tutar_farki","",IF(ABS($C447)&gt;dbe_esikFark,"YUKSEK","NORMAL"))</f>
        <v/>
      </c>
      <c r="F447" s="16">
        <f>IF($B447&lt;&gt;"tutar_farki","","Belge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IF($B448&lt;&gt;"tutar_farki","",IF(ABS($C448)&gt;dbe_esikFark,"YUKSEK","NORMAL"))</f>
        <v/>
      </c>
      <c r="F448" s="16">
        <f>IF($B448&lt;&gt;"tutar_farki","","Belge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IF($B449&lt;&gt;"tutar_farki","",IF(ABS($C449)&gt;dbe_esikFark,"YUKSEK","NORMAL"))</f>
        <v/>
      </c>
      <c r="F449" s="16">
        <f>IF($B449&lt;&gt;"tutar_farki","","Belge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IF($B450&lt;&gt;"tutar_farki","",IF(ABS($C450)&gt;dbe_esikFark,"YUKSEK","NORMAL"))</f>
        <v/>
      </c>
      <c r="F450" s="16">
        <f>IF($B450&lt;&gt;"tutar_farki","","Belge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IF($B451&lt;&gt;"tutar_farki","",IF(ABS($C451)&gt;dbe_esikFark,"YUKSEK","NORMAL"))</f>
        <v/>
      </c>
      <c r="F451" s="16">
        <f>IF($B451&lt;&gt;"tutar_farki","","Belge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IF($B452&lt;&gt;"tutar_farki","",IF(ABS($C452)&gt;dbe_esikFark,"YUKSEK","NORMAL"))</f>
        <v/>
      </c>
      <c r="F452" s="16">
        <f>IF($B452&lt;&gt;"tutar_farki","","Belge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IF($B453&lt;&gt;"tutar_farki","",IF(ABS($C453)&gt;dbe_esikFark,"YUKSEK","NORMAL"))</f>
        <v/>
      </c>
      <c r="F453" s="16">
        <f>IF($B453&lt;&gt;"tutar_farki","","Belge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IF($B454&lt;&gt;"tutar_farki","",IF(ABS($C454)&gt;dbe_esikFark,"YUKSEK","NORMAL"))</f>
        <v/>
      </c>
      <c r="F454" s="16">
        <f>IF($B454&lt;&gt;"tutar_farki","","Belge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IF($B455&lt;&gt;"tutar_farki","",IF(ABS($C455)&gt;dbe_esikFark,"YUKSEK","NORMAL"))</f>
        <v/>
      </c>
      <c r="F455" s="16">
        <f>IF($B455&lt;&gt;"tutar_farki","","Belge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IF($B456&lt;&gt;"tutar_farki","",IF(ABS($C456)&gt;dbe_esikFark,"YUKSEK","NORMAL"))</f>
        <v/>
      </c>
      <c r="F456" s="16">
        <f>IF($B456&lt;&gt;"tutar_farki","","Belge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IF($B457&lt;&gt;"tutar_farki","",IF(ABS($C457)&gt;dbe_esikFark,"YUKSEK","NORMAL"))</f>
        <v/>
      </c>
      <c r="F457" s="16">
        <f>IF($B457&lt;&gt;"tutar_farki","","Belge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IF($B458&lt;&gt;"tutar_farki","",IF(ABS($C458)&gt;dbe_esikFark,"YUKSEK","NORMAL"))</f>
        <v/>
      </c>
      <c r="F458" s="16">
        <f>IF($B458&lt;&gt;"tutar_farki","","Belge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IF($B459&lt;&gt;"tutar_farki","",IF(ABS($C459)&gt;dbe_esikFark,"YUKSEK","NORMAL"))</f>
        <v/>
      </c>
      <c r="F459" s="16">
        <f>IF($B459&lt;&gt;"tutar_farki","","Belge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IF($B460&lt;&gt;"tutar_farki","",IF(ABS($C460)&gt;dbe_esikFark,"YUKSEK","NORMAL"))</f>
        <v/>
      </c>
      <c r="F460" s="16">
        <f>IF($B460&lt;&gt;"tutar_farki","","Belge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IF($B461&lt;&gt;"tutar_farki","",IF(ABS($C461)&gt;dbe_esikFark,"YUKSEK","NORMAL"))</f>
        <v/>
      </c>
      <c r="F461" s="16">
        <f>IF($B461&lt;&gt;"tutar_farki","","Belge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IF($B462&lt;&gt;"tutar_farki","",IF(ABS($C462)&gt;dbe_esikFark,"YUKSEK","NORMAL"))</f>
        <v/>
      </c>
      <c r="F462" s="16">
        <f>IF($B462&lt;&gt;"tutar_farki","","Belge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IF($B463&lt;&gt;"tutar_farki","",IF(ABS($C463)&gt;dbe_esikFark,"YUKSEK","NORMAL"))</f>
        <v/>
      </c>
      <c r="F463" s="16">
        <f>IF($B463&lt;&gt;"tutar_farki","","Belge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IF($B464&lt;&gt;"tutar_farki","",IF(ABS($C464)&gt;dbe_esikFark,"YUKSEK","NORMAL"))</f>
        <v/>
      </c>
      <c r="F464" s="16">
        <f>IF($B464&lt;&gt;"tutar_farki","","Belge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IF($B465&lt;&gt;"tutar_farki","",IF(ABS($C465)&gt;dbe_esikFark,"YUKSEK","NORMAL"))</f>
        <v/>
      </c>
      <c r="F465" s="16">
        <f>IF($B465&lt;&gt;"tutar_farki","","Belge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IF($B466&lt;&gt;"tutar_farki","",IF(ABS($C466)&gt;dbe_esikFark,"YUKSEK","NORMAL"))</f>
        <v/>
      </c>
      <c r="F466" s="16">
        <f>IF($B466&lt;&gt;"tutar_farki","","Belge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IF($B467&lt;&gt;"tutar_farki","",IF(ABS($C467)&gt;dbe_esikFark,"YUKSEK","NORMAL"))</f>
        <v/>
      </c>
      <c r="F467" s="16">
        <f>IF($B467&lt;&gt;"tutar_farki","","Belge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IF($B468&lt;&gt;"tutar_farki","",IF(ABS($C468)&gt;dbe_esikFark,"YUKSEK","NORMAL"))</f>
        <v/>
      </c>
      <c r="F468" s="16">
        <f>IF($B468&lt;&gt;"tutar_farki","","Belge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IF($B469&lt;&gt;"tutar_farki","",IF(ABS($C469)&gt;dbe_esikFark,"YUKSEK","NORMAL"))</f>
        <v/>
      </c>
      <c r="F469" s="16">
        <f>IF($B469&lt;&gt;"tutar_farki","","Belge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IF($B470&lt;&gt;"tutar_farki","",IF(ABS($C470)&gt;dbe_esikFark,"YUKSEK","NORMAL"))</f>
        <v/>
      </c>
      <c r="F470" s="16">
        <f>IF($B470&lt;&gt;"tutar_farki","","Belge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IF($B471&lt;&gt;"tutar_farki","",IF(ABS($C471)&gt;dbe_esikFark,"YUKSEK","NORMAL"))</f>
        <v/>
      </c>
      <c r="F471" s="16">
        <f>IF($B471&lt;&gt;"tutar_farki","","Belge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IF($B472&lt;&gt;"tutar_farki","",IF(ABS($C472)&gt;dbe_esikFark,"YUKSEK","NORMAL"))</f>
        <v/>
      </c>
      <c r="F472" s="16">
        <f>IF($B472&lt;&gt;"tutar_farki","","Belge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IF($B473&lt;&gt;"tutar_farki","",IF(ABS($C473)&gt;dbe_esikFark,"YUKSEK","NORMAL"))</f>
        <v/>
      </c>
      <c r="F473" s="16">
        <f>IF($B473&lt;&gt;"tutar_farki","","Belge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IF($B474&lt;&gt;"tutar_farki","",IF(ABS($C474)&gt;dbe_esikFark,"YUKSEK","NORMAL"))</f>
        <v/>
      </c>
      <c r="F474" s="16">
        <f>IF($B474&lt;&gt;"tutar_farki","","Belge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IF($B475&lt;&gt;"tutar_farki","",IF(ABS($C475)&gt;dbe_esikFark,"YUKSEK","NORMAL"))</f>
        <v/>
      </c>
      <c r="F475" s="16">
        <f>IF($B475&lt;&gt;"tutar_farki","","Belge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IF($B476&lt;&gt;"tutar_farki","",IF(ABS($C476)&gt;dbe_esikFark,"YUKSEK","NORMAL"))</f>
        <v/>
      </c>
      <c r="F476" s="16">
        <f>IF($B476&lt;&gt;"tutar_farki","","Belge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IF($B477&lt;&gt;"tutar_farki","",IF(ABS($C477)&gt;dbe_esikFark,"YUKSEK","NORMAL"))</f>
        <v/>
      </c>
      <c r="F477" s="16">
        <f>IF($B477&lt;&gt;"tutar_farki","","Belge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IF($B478&lt;&gt;"tutar_farki","",IF(ABS($C478)&gt;dbe_esikFark,"YUKSEK","NORMAL"))</f>
        <v/>
      </c>
      <c r="F478" s="16">
        <f>IF($B478&lt;&gt;"tutar_farki","","Belge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IF($B479&lt;&gt;"tutar_farki","",IF(ABS($C479)&gt;dbe_esikFark,"YUKSEK","NORMAL"))</f>
        <v/>
      </c>
      <c r="F479" s="16">
        <f>IF($B479&lt;&gt;"tutar_farki","","Belge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IF($B480&lt;&gt;"tutar_farki","",IF(ABS($C480)&gt;dbe_esikFark,"YUKSEK","NORMAL"))</f>
        <v/>
      </c>
      <c r="F480" s="16">
        <f>IF($B480&lt;&gt;"tutar_farki","","Belge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IF($B481&lt;&gt;"tutar_farki","",IF(ABS($C481)&gt;dbe_esikFark,"YUKSEK","NORMAL"))</f>
        <v/>
      </c>
      <c r="F481" s="16">
        <f>IF($B481&lt;&gt;"tutar_farki","","Belge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IF($B482&lt;&gt;"tutar_farki","",IF(ABS($C482)&gt;dbe_esikFark,"YUKSEK","NORMAL"))</f>
        <v/>
      </c>
      <c r="F482" s="16">
        <f>IF($B482&lt;&gt;"tutar_farki","","Belge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IF($B483&lt;&gt;"tutar_farki","",IF(ABS($C483)&gt;dbe_esikFark,"YUKSEK","NORMAL"))</f>
        <v/>
      </c>
      <c r="F483" s="16">
        <f>IF($B483&lt;&gt;"tutar_farki","","Belge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IF($B484&lt;&gt;"tutar_farki","",IF(ABS($C484)&gt;dbe_esikFark,"YUKSEK","NORMAL"))</f>
        <v/>
      </c>
      <c r="F484" s="16">
        <f>IF($B484&lt;&gt;"tutar_farki","","Belge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IF($B485&lt;&gt;"tutar_farki","",IF(ABS($C485)&gt;dbe_esikFark,"YUKSEK","NORMAL"))</f>
        <v/>
      </c>
      <c r="F485" s="16">
        <f>IF($B485&lt;&gt;"tutar_farki","","Belge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IF($B486&lt;&gt;"tutar_farki","",IF(ABS($C486)&gt;dbe_esikFark,"YUKSEK","NORMAL"))</f>
        <v/>
      </c>
      <c r="F486" s="16">
        <f>IF($B486&lt;&gt;"tutar_farki","","Belge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IF($B487&lt;&gt;"tutar_farki","",IF(ABS($C487)&gt;dbe_esikFark,"YUKSEK","NORMAL"))</f>
        <v/>
      </c>
      <c r="F487" s="16">
        <f>IF($B487&lt;&gt;"tutar_farki","","Belge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IF($B488&lt;&gt;"tutar_farki","",IF(ABS($C488)&gt;dbe_esikFark,"YUKSEK","NORMAL"))</f>
        <v/>
      </c>
      <c r="F488" s="16">
        <f>IF($B488&lt;&gt;"tutar_farki","","Belge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IF($B489&lt;&gt;"tutar_farki","",IF(ABS($C489)&gt;dbe_esikFark,"YUKSEK","NORMAL"))</f>
        <v/>
      </c>
      <c r="F489" s="16">
        <f>IF($B489&lt;&gt;"tutar_farki","","Belge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IF($B490&lt;&gt;"tutar_farki","",IF(ABS($C490)&gt;dbe_esikFark,"YUKSEK","NORMAL"))</f>
        <v/>
      </c>
      <c r="F490" s="16">
        <f>IF($B490&lt;&gt;"tutar_farki","","Belge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IF($B491&lt;&gt;"tutar_farki","",IF(ABS($C491)&gt;dbe_esikFark,"YUKSEK","NORMAL"))</f>
        <v/>
      </c>
      <c r="F491" s="16">
        <f>IF($B491&lt;&gt;"tutar_farki","","Belge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IF($B492&lt;&gt;"tutar_farki","",IF(ABS($C492)&gt;dbe_esikFark,"YUKSEK","NORMAL"))</f>
        <v/>
      </c>
      <c r="F492" s="16">
        <f>IF($B492&lt;&gt;"tutar_farki","","Belge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IF($B493&lt;&gt;"tutar_farki","",IF(ABS($C493)&gt;dbe_esikFark,"YUKSEK","NORMAL"))</f>
        <v/>
      </c>
      <c r="F493" s="16">
        <f>IF($B493&lt;&gt;"tutar_farki","","Belge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IF($B494&lt;&gt;"tutar_farki","",IF(ABS($C494)&gt;dbe_esikFark,"YUKSEK","NORMAL"))</f>
        <v/>
      </c>
      <c r="F494" s="16">
        <f>IF($B494&lt;&gt;"tutar_farki","","Belge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IF($B495&lt;&gt;"tutar_farki","",IF(ABS($C495)&gt;dbe_esikFark,"YUKSEK","NORMAL"))</f>
        <v/>
      </c>
      <c r="F495" s="16">
        <f>IF($B495&lt;&gt;"tutar_farki","","Belge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IF($B496&lt;&gt;"tutar_farki","",IF(ABS($C496)&gt;dbe_esikFark,"YUKSEK","NORMAL"))</f>
        <v/>
      </c>
      <c r="F496" s="16">
        <f>IF($B496&lt;&gt;"tutar_farki","","Belge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IF($B497&lt;&gt;"tutar_farki","",IF(ABS($C497)&gt;dbe_esikFark,"YUKSEK","NORMAL"))</f>
        <v/>
      </c>
      <c r="F497" s="16">
        <f>IF($B497&lt;&gt;"tutar_farki","","Belge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IF($B498&lt;&gt;"tutar_farki","",IF(ABS($C498)&gt;dbe_esikFark,"YUKSEK","NORMAL"))</f>
        <v/>
      </c>
      <c r="F498" s="16">
        <f>IF($B498&lt;&gt;"tutar_farki","","Belge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IF($B499&lt;&gt;"tutar_farki","",IF(ABS($C499)&gt;dbe_esikFark,"YUKSEK","NORMAL"))</f>
        <v/>
      </c>
      <c r="F499" s="16">
        <f>IF($B499&lt;&gt;"tutar_farki","","Belge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IF($B500&lt;&gt;"tutar_farki","",IF(ABS($C500)&gt;dbe_esikFark,"YUKSEK","NORMAL"))</f>
        <v/>
      </c>
      <c r="F500" s="16">
        <f>IF($B500&lt;&gt;"tutar_farki","","Belge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IF($B501&lt;&gt;"tutar_farki","",IF(ABS($C501)&gt;dbe_esikFark,"YUKSEK","NORMAL"))</f>
        <v/>
      </c>
      <c r="F501" s="16">
        <f>IF($B501&lt;&gt;"tutar_farki","","Belge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IF($B502&lt;&gt;"tutar_farki","",IF(ABS($C502)&gt;dbe_esikFark,"YUKSEK","NORMAL"))</f>
        <v/>
      </c>
      <c r="F502" s="16">
        <f>IF($B502&lt;&gt;"tutar_farki","","Belge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IF($B503&lt;&gt;"tutar_farki","",IF(ABS($C503)&gt;dbe_esikFark,"YUKSEK","NORMAL"))</f>
        <v/>
      </c>
      <c r="F503" s="16">
        <f>IF($B503&lt;&gt;"tutar_farki","","Belge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IF($B504&lt;&gt;"tutar_farki","",IF(ABS($C504)&gt;dbe_esikFark,"YUKSEK","NORMAL"))</f>
        <v/>
      </c>
      <c r="F504" s="16">
        <f>IF($B504&lt;&gt;"tutar_farki","","Belge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IF($B505&lt;&gt;"tutar_farki","",IF(ABS($C505)&gt;dbe_esikFark,"YUKSEK","NORMAL"))</f>
        <v/>
      </c>
      <c r="F505" s="16">
        <f>IF($B505&lt;&gt;"tutar_farki","","Belge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IF($B506&lt;&gt;"tutar_farki","",IF(ABS($C506)&gt;dbe_esikFark,"YUKSEK","NORMAL"))</f>
        <v/>
      </c>
      <c r="F506" s="16">
        <f>IF($B506&lt;&gt;"tutar_farki","","Belge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IF($B507&lt;&gt;"tutar_farki","",IF(ABS($C507)&gt;dbe_esikFark,"YUKSEK","NORMAL"))</f>
        <v/>
      </c>
      <c r="F507" s="16">
        <f>IF($B507&lt;&gt;"tutar_farki","","Belge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IF($B508&lt;&gt;"tutar_farki","",IF(ABS($C508)&gt;dbe_esikFark,"YUKSEK","NORMAL"))</f>
        <v/>
      </c>
      <c r="F508" s="16">
        <f>IF($B508&lt;&gt;"tutar_farki","","Belge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IF($B509&lt;&gt;"tutar_farki","",IF(ABS($C509)&gt;dbe_esikFark,"YUKSEK","NORMAL"))</f>
        <v/>
      </c>
      <c r="F509" s="16">
        <f>IF($B509&lt;&gt;"tutar_farki","","Belge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IF($B510&lt;&gt;"tutar_farki","",IF(ABS($C510)&gt;dbe_esikFark,"YUKSEK","NORMAL"))</f>
        <v/>
      </c>
      <c r="F510" s="16">
        <f>IF($B510&lt;&gt;"tutar_farki","","Belge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IF($B511&lt;&gt;"tutar_farki","",IF(ABS($C511)&gt;dbe_esikFark,"YUKSEK","NORMAL"))</f>
        <v/>
      </c>
      <c r="F511" s="16">
        <f>IF($B511&lt;&gt;"tutar_farki","","Belge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IF($B512&lt;&gt;"tutar_farki","",IF(ABS($C512)&gt;dbe_esikFark,"YUKSEK","NORMAL"))</f>
        <v/>
      </c>
      <c r="F512" s="16">
        <f>IF($B512&lt;&gt;"tutar_farki","","Belge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IF($B513&lt;&gt;"tutar_farki","",IF(ABS($C513)&gt;dbe_esikFark,"YUKSEK","NORMAL"))</f>
        <v/>
      </c>
      <c r="F513" s="16">
        <f>IF($B513&lt;&gt;"tutar_farki","","Belge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IF($B514&lt;&gt;"tutar_farki","",IF(ABS($C514)&gt;dbe_esikFark,"YUKSEK","NORMAL"))</f>
        <v/>
      </c>
      <c r="F514" s="16">
        <f>IF($B514&lt;&gt;"tutar_farki","","Belge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IF($B515&lt;&gt;"tutar_farki","",IF(ABS($C515)&gt;dbe_esikFark,"YUKSEK","NORMAL"))</f>
        <v/>
      </c>
      <c r="F515" s="16">
        <f>IF($B515&lt;&gt;"tutar_farki","","Belge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IF($B516&lt;&gt;"tutar_farki","",IF(ABS($C516)&gt;dbe_esikFark,"YUKSEK","NORMAL"))</f>
        <v/>
      </c>
      <c r="F516" s="16">
        <f>IF($B516&lt;&gt;"tutar_farki","","Belge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IF($B517&lt;&gt;"tutar_farki","",IF(ABS($C517)&gt;dbe_esikFark,"YUKSEK","NORMAL"))</f>
        <v/>
      </c>
      <c r="F517" s="16">
        <f>IF($B517&lt;&gt;"tutar_farki","","Belge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IF($B518&lt;&gt;"tutar_farki","",IF(ABS($C518)&gt;dbe_esikFark,"YUKSEK","NORMAL"))</f>
        <v/>
      </c>
      <c r="F518" s="16">
        <f>IF($B518&lt;&gt;"tutar_farki","","Belge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IF($B519&lt;&gt;"tutar_farki","",IF(ABS($C519)&gt;dbe_esikFark,"YUKSEK","NORMAL"))</f>
        <v/>
      </c>
      <c r="F519" s="16">
        <f>IF($B519&lt;&gt;"tutar_farki","","Belge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IF($B520&lt;&gt;"tutar_farki","",IF(ABS($C520)&gt;dbe_esikFark,"YUKSEK","NORMAL"))</f>
        <v/>
      </c>
      <c r="F520" s="16">
        <f>IF($B520&lt;&gt;"tutar_farki","","Belge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IF($B521&lt;&gt;"tutar_farki","",IF(ABS($C521)&gt;dbe_esikFark,"YUKSEK","NORMAL"))</f>
        <v/>
      </c>
      <c r="F521" s="16">
        <f>IF($B521&lt;&gt;"tutar_farki","","Belge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IF($B522&lt;&gt;"tutar_farki","",IF(ABS($C522)&gt;dbe_esikFark,"YUKSEK","NORMAL"))</f>
        <v/>
      </c>
      <c r="F522" s="16">
        <f>IF($B522&lt;&gt;"tutar_farki","","Belge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IF($B523&lt;&gt;"tutar_farki","",IF(ABS($C523)&gt;dbe_esikFark,"YUKSEK","NORMAL"))</f>
        <v/>
      </c>
      <c r="F523" s="16">
        <f>IF($B523&lt;&gt;"tutar_farki","","Belge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IF($B524&lt;&gt;"tutar_farki","",IF(ABS($C524)&gt;dbe_esikFark,"YUKSEK","NORMAL"))</f>
        <v/>
      </c>
      <c r="F524" s="16">
        <f>IF($B524&lt;&gt;"tutar_farki","","Belge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IF($B525&lt;&gt;"tutar_farki","",IF(ABS($C525)&gt;dbe_esikFark,"YUKSEK","NORMAL"))</f>
        <v/>
      </c>
      <c r="F525" s="16">
        <f>IF($B525&lt;&gt;"tutar_farki","","Belge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IF($B526&lt;&gt;"tutar_farki","",IF(ABS($C526)&gt;dbe_esikFark,"YUKSEK","NORMAL"))</f>
        <v/>
      </c>
      <c r="F526" s="16">
        <f>IF($B526&lt;&gt;"tutar_farki","","Belge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IF($B527&lt;&gt;"tutar_farki","",IF(ABS($C527)&gt;dbe_esikFark,"YUKSEK","NORMAL"))</f>
        <v/>
      </c>
      <c r="F527" s="16">
        <f>IF($B527&lt;&gt;"tutar_farki","","Belge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IF($B528&lt;&gt;"tutar_farki","",IF(ABS($C528)&gt;dbe_esikFark,"YUKSEK","NORMAL"))</f>
        <v/>
      </c>
      <c r="F528" s="16">
        <f>IF($B528&lt;&gt;"tutar_farki","","Belge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IF($B529&lt;&gt;"tutar_farki","",IF(ABS($C529)&gt;dbe_esikFark,"YUKSEK","NORMAL"))</f>
        <v/>
      </c>
      <c r="F529" s="16">
        <f>IF($B529&lt;&gt;"tutar_farki","","Belge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IF($B530&lt;&gt;"tutar_farki","",IF(ABS($C530)&gt;dbe_esikFark,"YUKSEK","NORMAL"))</f>
        <v/>
      </c>
      <c r="F530" s="16">
        <f>IF($B530&lt;&gt;"tutar_farki","","Belge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IF($B531&lt;&gt;"tutar_farki","",IF(ABS($C531)&gt;dbe_esikFark,"YUKSEK","NORMAL"))</f>
        <v/>
      </c>
      <c r="F531" s="16">
        <f>IF($B531&lt;&gt;"tutar_farki","","Belge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IF($B532&lt;&gt;"tutar_farki","",IF(ABS($C532)&gt;dbe_esikFark,"YUKSEK","NORMAL"))</f>
        <v/>
      </c>
      <c r="F532" s="16">
        <f>IF($B532&lt;&gt;"tutar_farki","","Belge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IF($B533&lt;&gt;"tutar_farki","",IF(ABS($C533)&gt;dbe_esikFark,"YUKSEK","NORMAL"))</f>
        <v/>
      </c>
      <c r="F533" s="16">
        <f>IF($B533&lt;&gt;"tutar_farki","","Belge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IF($B534&lt;&gt;"tutar_farki","",IF(ABS($C534)&gt;dbe_esikFark,"YUKSEK","NORMAL"))</f>
        <v/>
      </c>
      <c r="F534" s="16">
        <f>IF($B534&lt;&gt;"tutar_farki","","Belge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IF($B535&lt;&gt;"tutar_farki","",IF(ABS($C535)&gt;dbe_esikFark,"YUKSEK","NORMAL"))</f>
        <v/>
      </c>
      <c r="F535" s="16">
        <f>IF($B535&lt;&gt;"tutar_farki","","Belge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IF($B536&lt;&gt;"tutar_farki","",IF(ABS($C536)&gt;dbe_esikFark,"YUKSEK","NORMAL"))</f>
        <v/>
      </c>
      <c r="F536" s="16">
        <f>IF($B536&lt;&gt;"tutar_farki","","Belge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IF($B537&lt;&gt;"tutar_farki","",IF(ABS($C537)&gt;dbe_esikFark,"YUKSEK","NORMAL"))</f>
        <v/>
      </c>
      <c r="F537" s="16">
        <f>IF($B537&lt;&gt;"tutar_farki","","Belge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IF($B538&lt;&gt;"tutar_farki","",IF(ABS($C538)&gt;dbe_esikFark,"YUKSEK","NORMAL"))</f>
        <v/>
      </c>
      <c r="F538" s="16">
        <f>IF($B538&lt;&gt;"tutar_farki","","Belge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IF($B539&lt;&gt;"tutar_farki","",IF(ABS($C539)&gt;dbe_esikFark,"YUKSEK","NORMAL"))</f>
        <v/>
      </c>
      <c r="F539" s="16">
        <f>IF($B539&lt;&gt;"tutar_farki","","Belge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IF($B540&lt;&gt;"tutar_farki","",IF(ABS($C540)&gt;dbe_esikFark,"YUKSEK","NORMAL"))</f>
        <v/>
      </c>
      <c r="F540" s="16">
        <f>IF($B540&lt;&gt;"tutar_farki","","Belge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IF($B541&lt;&gt;"tutar_farki","",IF(ABS($C541)&gt;dbe_esikFark,"YUKSEK","NORMAL"))</f>
        <v/>
      </c>
      <c r="F541" s="16">
        <f>IF($B541&lt;&gt;"tutar_farki","","Belge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IF($B542&lt;&gt;"tutar_farki","",IF(ABS($C542)&gt;dbe_esikFark,"YUKSEK","NORMAL"))</f>
        <v/>
      </c>
      <c r="F542" s="16">
        <f>IF($B542&lt;&gt;"tutar_farki","","Belge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IF($B543&lt;&gt;"tutar_farki","",IF(ABS($C543)&gt;dbe_esikFark,"YUKSEK","NORMAL"))</f>
        <v/>
      </c>
      <c r="F543" s="16">
        <f>IF($B543&lt;&gt;"tutar_farki","","Belge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IF($B544&lt;&gt;"tutar_farki","",IF(ABS($C544)&gt;dbe_esikFark,"YUKSEK","NORMAL"))</f>
        <v/>
      </c>
      <c r="F544" s="16">
        <f>IF($B544&lt;&gt;"tutar_farki","","Belge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IF($B545&lt;&gt;"tutar_farki","",IF(ABS($C545)&gt;dbe_esikFark,"YUKSEK","NORMAL"))</f>
        <v/>
      </c>
      <c r="F545" s="16">
        <f>IF($B545&lt;&gt;"tutar_farki","","Belge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IF($B546&lt;&gt;"tutar_farki","",IF(ABS($C546)&gt;dbe_esikFark,"YUKSEK","NORMAL"))</f>
        <v/>
      </c>
      <c r="F546" s="16">
        <f>IF($B546&lt;&gt;"tutar_farki","","Belge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IF($B547&lt;&gt;"tutar_farki","",IF(ABS($C547)&gt;dbe_esikFark,"YUKSEK","NORMAL"))</f>
        <v/>
      </c>
      <c r="F547" s="16">
        <f>IF($B547&lt;&gt;"tutar_farki","","Belge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IF($B548&lt;&gt;"tutar_farki","",IF(ABS($C548)&gt;dbe_esikFark,"YUKSEK","NORMAL"))</f>
        <v/>
      </c>
      <c r="F548" s="16">
        <f>IF($B548&lt;&gt;"tutar_farki","","Belge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IF($B549&lt;&gt;"tutar_farki","",IF(ABS($C549)&gt;dbe_esikFark,"YUKSEK","NORMAL"))</f>
        <v/>
      </c>
      <c r="F549" s="16">
        <f>IF($B549&lt;&gt;"tutar_farki","","Belge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IF($B550&lt;&gt;"tutar_farki","",IF(ABS($C550)&gt;dbe_esikFark,"YUKSEK","NORMAL"))</f>
        <v/>
      </c>
      <c r="F550" s="16">
        <f>IF($B550&lt;&gt;"tutar_farki","","Belge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IF($B551&lt;&gt;"tutar_farki","",IF(ABS($C551)&gt;dbe_esikFark,"YUKSEK","NORMAL"))</f>
        <v/>
      </c>
      <c r="F551" s="16">
        <f>IF($B551&lt;&gt;"tutar_farki","","Belge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IF($B552&lt;&gt;"tutar_farki","",IF(ABS($C552)&gt;dbe_esikFark,"YUKSEK","NORMAL"))</f>
        <v/>
      </c>
      <c r="F552" s="16">
        <f>IF($B552&lt;&gt;"tutar_farki","","Belge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IF($B553&lt;&gt;"tutar_farki","",IF(ABS($C553)&gt;dbe_esikFark,"YUKSEK","NORMAL"))</f>
        <v/>
      </c>
      <c r="F553" s="16">
        <f>IF($B553&lt;&gt;"tutar_farki","","Belge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IF($B554&lt;&gt;"tutar_farki","",IF(ABS($C554)&gt;dbe_esikFark,"YUKSEK","NORMAL"))</f>
        <v/>
      </c>
      <c r="F554" s="16">
        <f>IF($B554&lt;&gt;"tutar_farki","","Belge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IF($B555&lt;&gt;"tutar_farki","",IF(ABS($C555)&gt;dbe_esikFark,"YUKSEK","NORMAL"))</f>
        <v/>
      </c>
      <c r="F555" s="16">
        <f>IF($B555&lt;&gt;"tutar_farki","","Belge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IF($B556&lt;&gt;"tutar_farki","",IF(ABS($C556)&gt;dbe_esikFark,"YUKSEK","NORMAL"))</f>
        <v/>
      </c>
      <c r="F556" s="16">
        <f>IF($B556&lt;&gt;"tutar_farki","","Belge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IF($B557&lt;&gt;"tutar_farki","",IF(ABS($C557)&gt;dbe_esikFark,"YUKSEK","NORMAL"))</f>
        <v/>
      </c>
      <c r="F557" s="16">
        <f>IF($B557&lt;&gt;"tutar_farki","","Belge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IF($B558&lt;&gt;"tutar_farki","",IF(ABS($C558)&gt;dbe_esikFark,"YUKSEK","NORMAL"))</f>
        <v/>
      </c>
      <c r="F558" s="16">
        <f>IF($B558&lt;&gt;"tutar_farki","","Belge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IF($B559&lt;&gt;"tutar_farki","",IF(ABS($C559)&gt;dbe_esikFark,"YUKSEK","NORMAL"))</f>
        <v/>
      </c>
      <c r="F559" s="16">
        <f>IF($B559&lt;&gt;"tutar_farki","","Belge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IF($B560&lt;&gt;"tutar_farki","",IF(ABS($C560)&gt;dbe_esikFark,"YUKSEK","NORMAL"))</f>
        <v/>
      </c>
      <c r="F560" s="16">
        <f>IF($B560&lt;&gt;"tutar_farki","","Belge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IF($B561&lt;&gt;"tutar_farki","",IF(ABS($C561)&gt;dbe_esikFark,"YUKSEK","NORMAL"))</f>
        <v/>
      </c>
      <c r="F561" s="16">
        <f>IF($B561&lt;&gt;"tutar_farki","","Belge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IF($B562&lt;&gt;"tutar_farki","",IF(ABS($C562)&gt;dbe_esikFark,"YUKSEK","NORMAL"))</f>
        <v/>
      </c>
      <c r="F562" s="16">
        <f>IF($B562&lt;&gt;"tutar_farki","","Belge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IF($B563&lt;&gt;"tutar_farki","",IF(ABS($C563)&gt;dbe_esikFark,"YUKSEK","NORMAL"))</f>
        <v/>
      </c>
      <c r="F563" s="16">
        <f>IF($B563&lt;&gt;"tutar_farki","","Belge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IF($B564&lt;&gt;"tutar_farki","",IF(ABS($C564)&gt;dbe_esikFark,"YUKSEK","NORMAL"))</f>
        <v/>
      </c>
      <c r="F564" s="16">
        <f>IF($B564&lt;&gt;"tutar_farki","","Belge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IF($B565&lt;&gt;"tutar_farki","",IF(ABS($C565)&gt;dbe_esikFark,"YUKSEK","NORMAL"))</f>
        <v/>
      </c>
      <c r="F565" s="16">
        <f>IF($B565&lt;&gt;"tutar_farki","","Belge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IF($B566&lt;&gt;"tutar_farki","",IF(ABS($C566)&gt;dbe_esikFark,"YUKSEK","NORMAL"))</f>
        <v/>
      </c>
      <c r="F566" s="16">
        <f>IF($B566&lt;&gt;"tutar_farki","","Belge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IF($B567&lt;&gt;"tutar_farki","",IF(ABS($C567)&gt;dbe_esikFark,"YUKSEK","NORMAL"))</f>
        <v/>
      </c>
      <c r="F567" s="16">
        <f>IF($B567&lt;&gt;"tutar_farki","","Belge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IF($B568&lt;&gt;"tutar_farki","",IF(ABS($C568)&gt;dbe_esikFark,"YUKSEK","NORMAL"))</f>
        <v/>
      </c>
      <c r="F568" s="16">
        <f>IF($B568&lt;&gt;"tutar_farki","","Belge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IF($B569&lt;&gt;"tutar_farki","",IF(ABS($C569)&gt;dbe_esikFark,"YUKSEK","NORMAL"))</f>
        <v/>
      </c>
      <c r="F569" s="16">
        <f>IF($B569&lt;&gt;"tutar_farki","","Belge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IF($B570&lt;&gt;"tutar_farki","",IF(ABS($C570)&gt;dbe_esikFark,"YUKSEK","NORMAL"))</f>
        <v/>
      </c>
      <c r="F570" s="16">
        <f>IF($B570&lt;&gt;"tutar_farki","","Belge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IF($B571&lt;&gt;"tutar_farki","",IF(ABS($C571)&gt;dbe_esikFark,"YUKSEK","NORMAL"))</f>
        <v/>
      </c>
      <c r="F571" s="16">
        <f>IF($B571&lt;&gt;"tutar_farki","","Belge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IF($B572&lt;&gt;"tutar_farki","",IF(ABS($C572)&gt;dbe_esikFark,"YUKSEK","NORMAL"))</f>
        <v/>
      </c>
      <c r="F572" s="16">
        <f>IF($B572&lt;&gt;"tutar_farki","","Belge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IF($B573&lt;&gt;"tutar_farki","",IF(ABS($C573)&gt;dbe_esikFark,"YUKSEK","NORMAL"))</f>
        <v/>
      </c>
      <c r="F573" s="16">
        <f>IF($B573&lt;&gt;"tutar_farki","","Belge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IF($B574&lt;&gt;"tutar_farki","",IF(ABS($C574)&gt;dbe_esikFark,"YUKSEK","NORMAL"))</f>
        <v/>
      </c>
      <c r="F574" s="16">
        <f>IF($B574&lt;&gt;"tutar_farki","","Belge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IF($B575&lt;&gt;"tutar_farki","",IF(ABS($C575)&gt;dbe_esikFark,"YUKSEK","NORMAL"))</f>
        <v/>
      </c>
      <c r="F575" s="16">
        <f>IF($B575&lt;&gt;"tutar_farki","","Belge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IF($B576&lt;&gt;"tutar_farki","",IF(ABS($C576)&gt;dbe_esikFark,"YUKSEK","NORMAL"))</f>
        <v/>
      </c>
      <c r="F576" s="16">
        <f>IF($B576&lt;&gt;"tutar_farki","","Belge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IF($B577&lt;&gt;"tutar_farki","",IF(ABS($C577)&gt;dbe_esikFark,"YUKSEK","NORMAL"))</f>
        <v/>
      </c>
      <c r="F577" s="16">
        <f>IF($B577&lt;&gt;"tutar_farki","","Belge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IF($B578&lt;&gt;"tutar_farki","",IF(ABS($C578)&gt;dbe_esikFark,"YUKSEK","NORMAL"))</f>
        <v/>
      </c>
      <c r="F578" s="16">
        <f>IF($B578&lt;&gt;"tutar_farki","","Belge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IF($B579&lt;&gt;"tutar_farki","",IF(ABS($C579)&gt;dbe_esikFark,"YUKSEK","NORMAL"))</f>
        <v/>
      </c>
      <c r="F579" s="16">
        <f>IF($B579&lt;&gt;"tutar_farki","","Belge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IF($B580&lt;&gt;"tutar_farki","",IF(ABS($C580)&gt;dbe_esikFark,"YUKSEK","NORMAL"))</f>
        <v/>
      </c>
      <c r="F580" s="16">
        <f>IF($B580&lt;&gt;"tutar_farki","","Belge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IF($B581&lt;&gt;"tutar_farki","",IF(ABS($C581)&gt;dbe_esikFark,"YUKSEK","NORMAL"))</f>
        <v/>
      </c>
      <c r="F581" s="16">
        <f>IF($B581&lt;&gt;"tutar_farki","","Belge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IF($B582&lt;&gt;"tutar_farki","",IF(ABS($C582)&gt;dbe_esikFark,"YUKSEK","NORMAL"))</f>
        <v/>
      </c>
      <c r="F582" s="16">
        <f>IF($B582&lt;&gt;"tutar_farki","","Belge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IF($B583&lt;&gt;"tutar_farki","",IF(ABS($C583)&gt;dbe_esikFark,"YUKSEK","NORMAL"))</f>
        <v/>
      </c>
      <c r="F583" s="16">
        <f>IF($B583&lt;&gt;"tutar_farki","","Belge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IF($B584&lt;&gt;"tutar_farki","",IF(ABS($C584)&gt;dbe_esikFark,"YUKSEK","NORMAL"))</f>
        <v/>
      </c>
      <c r="F584" s="16">
        <f>IF($B584&lt;&gt;"tutar_farki","","Belge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IF($B585&lt;&gt;"tutar_farki","",IF(ABS($C585)&gt;dbe_esikFark,"YUKSEK","NORMAL"))</f>
        <v/>
      </c>
      <c r="F585" s="16">
        <f>IF($B585&lt;&gt;"tutar_farki","","Belge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IF($B586&lt;&gt;"tutar_farki","",IF(ABS($C586)&gt;dbe_esikFark,"YUKSEK","NORMAL"))</f>
        <v/>
      </c>
      <c r="F586" s="16">
        <f>IF($B586&lt;&gt;"tutar_farki","","Belge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IF($B587&lt;&gt;"tutar_farki","",IF(ABS($C587)&gt;dbe_esikFark,"YUKSEK","NORMAL"))</f>
        <v/>
      </c>
      <c r="F587" s="16">
        <f>IF($B587&lt;&gt;"tutar_farki","","Belge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IF($B588&lt;&gt;"tutar_farki","",IF(ABS($C588)&gt;dbe_esikFark,"YUKSEK","NORMAL"))</f>
        <v/>
      </c>
      <c r="F588" s="16">
        <f>IF($B588&lt;&gt;"tutar_farki","","Belge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IF($B589&lt;&gt;"tutar_farki","",IF(ABS($C589)&gt;dbe_esikFark,"YUKSEK","NORMAL"))</f>
        <v/>
      </c>
      <c r="F589" s="16">
        <f>IF($B589&lt;&gt;"tutar_farki","","Belge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IF($B590&lt;&gt;"tutar_farki","",IF(ABS($C590)&gt;dbe_esikFark,"YUKSEK","NORMAL"))</f>
        <v/>
      </c>
      <c r="F590" s="16">
        <f>IF($B590&lt;&gt;"tutar_farki","","Belge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IF($B591&lt;&gt;"tutar_farki","",IF(ABS($C591)&gt;dbe_esikFark,"YUKSEK","NORMAL"))</f>
        <v/>
      </c>
      <c r="F591" s="16">
        <f>IF($B591&lt;&gt;"tutar_farki","","Belge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IF($B592&lt;&gt;"tutar_farki","",IF(ABS($C592)&gt;dbe_esikFark,"YUKSEK","NORMAL"))</f>
        <v/>
      </c>
      <c r="F592" s="16">
        <f>IF($B592&lt;&gt;"tutar_farki","","Belge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IF($B593&lt;&gt;"tutar_farki","",IF(ABS($C593)&gt;dbe_esikFark,"YUKSEK","NORMAL"))</f>
        <v/>
      </c>
      <c r="F593" s="16">
        <f>IF($B593&lt;&gt;"tutar_farki","","Belge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IF($B594&lt;&gt;"tutar_farki","",IF(ABS($C594)&gt;dbe_esikFark,"YUKSEK","NORMAL"))</f>
        <v/>
      </c>
      <c r="F594" s="16">
        <f>IF($B594&lt;&gt;"tutar_farki","","Belge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IF($B595&lt;&gt;"tutar_farki","",IF(ABS($C595)&gt;dbe_esikFark,"YUKSEK","NORMAL"))</f>
        <v/>
      </c>
      <c r="F595" s="16">
        <f>IF($B595&lt;&gt;"tutar_farki","","Belge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IF($B596&lt;&gt;"tutar_farki","",IF(ABS($C596)&gt;dbe_esikFark,"YUKSEK","NORMAL"))</f>
        <v/>
      </c>
      <c r="F596" s="16">
        <f>IF($B596&lt;&gt;"tutar_farki","","Belge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IF($B597&lt;&gt;"tutar_farki","",IF(ABS($C597)&gt;dbe_esikFark,"YUKSEK","NORMAL"))</f>
        <v/>
      </c>
      <c r="F597" s="16">
        <f>IF($B597&lt;&gt;"tutar_farki","","Belge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IF($B598&lt;&gt;"tutar_farki","",IF(ABS($C598)&gt;dbe_esikFark,"YUKSEK","NORMAL"))</f>
        <v/>
      </c>
      <c r="F598" s="16">
        <f>IF($B598&lt;&gt;"tutar_farki","","Belge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IF($B599&lt;&gt;"tutar_farki","",IF(ABS($C599)&gt;dbe_esikFark,"YUKSEK","NORMAL"))</f>
        <v/>
      </c>
      <c r="F599" s="16">
        <f>IF($B599&lt;&gt;"tutar_farki","","Belge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IF($B600&lt;&gt;"tutar_farki","",IF(ABS($C600)&gt;dbe_esikFark,"YUKSEK","NORMAL"))</f>
        <v/>
      </c>
      <c r="F600" s="16">
        <f>IF($B600&lt;&gt;"tutar_farki","","Belge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IF($B601&lt;&gt;"tutar_farki","",IF(ABS($C601)&gt;dbe_esikFark,"YUKSEK","NORMAL"))</f>
        <v/>
      </c>
      <c r="F601" s="16">
        <f>IF($B601&lt;&gt;"tutar_farki","","Belge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IF($B602&lt;&gt;"tutar_farki","",IF(ABS($C602)&gt;dbe_esikFark,"YUKSEK","NORMAL"))</f>
        <v/>
      </c>
      <c r="F602" s="16">
        <f>IF($B602&lt;&gt;"tutar_farki","","Belge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IF($B603&lt;&gt;"tutar_farki","",IF(ABS($C603)&gt;dbe_esikFark,"YUKSEK","NORMAL"))</f>
        <v/>
      </c>
      <c r="F603" s="16">
        <f>IF($B603&lt;&gt;"tutar_farki","","Belge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IF($B604&lt;&gt;"tutar_farki","",IF(ABS($C604)&gt;dbe_esikFark,"YUKSEK","NORMAL"))</f>
        <v/>
      </c>
      <c r="F604" s="16">
        <f>IF($B604&lt;&gt;"tutar_farki","","Belge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IF($B605&lt;&gt;"tutar_farki","",IF(ABS($C605)&gt;dbe_esikFark,"YUKSEK","NORMAL"))</f>
        <v/>
      </c>
      <c r="F605" s="16">
        <f>IF($B605&lt;&gt;"tutar_farki","","Belge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IF($B606&lt;&gt;"tutar_farki","",IF(ABS($C606)&gt;dbe_esikFark,"YUKSEK","NORMAL"))</f>
        <v/>
      </c>
      <c r="F606" s="16">
        <f>IF($B606&lt;&gt;"tutar_farki","","Belge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IF($B607&lt;&gt;"tutar_farki","",IF(ABS($C607)&gt;dbe_esikFark,"YUKSEK","NORMAL"))</f>
        <v/>
      </c>
      <c r="F607" s="16">
        <f>IF($B607&lt;&gt;"tutar_farki","","Belge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IF($B608&lt;&gt;"tutar_farki","",IF(ABS($C608)&gt;dbe_esikFark,"YUKSEK","NORMAL"))</f>
        <v/>
      </c>
      <c r="F608" s="16">
        <f>IF($B608&lt;&gt;"tutar_farki","","Belge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IF($B609&lt;&gt;"tutar_farki","",IF(ABS($C609)&gt;dbe_esikFark,"YUKSEK","NORMAL"))</f>
        <v/>
      </c>
      <c r="F609" s="16">
        <f>IF($B609&lt;&gt;"tutar_farki","","Belge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IF($B610&lt;&gt;"tutar_farki","",IF(ABS($C610)&gt;dbe_esikFark,"YUKSEK","NORMAL"))</f>
        <v/>
      </c>
      <c r="F610" s="16">
        <f>IF($B610&lt;&gt;"tutar_farki","","Belge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IF($B611&lt;&gt;"tutar_farki","",IF(ABS($C611)&gt;dbe_esikFark,"YUKSEK","NORMAL"))</f>
        <v/>
      </c>
      <c r="F611" s="16">
        <f>IF($B611&lt;&gt;"tutar_farki","","Belge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IF($B612&lt;&gt;"tutar_farki","",IF(ABS($C612)&gt;dbe_esikFark,"YUKSEK","NORMAL"))</f>
        <v/>
      </c>
      <c r="F612" s="16">
        <f>IF($B612&lt;&gt;"tutar_farki","","Belge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IF($B613&lt;&gt;"tutar_farki","",IF(ABS($C613)&gt;dbe_esikFark,"YUKSEK","NORMAL"))</f>
        <v/>
      </c>
      <c r="F613" s="16">
        <f>IF($B613&lt;&gt;"tutar_farki","","Belge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IF($B614&lt;&gt;"tutar_farki","",IF(ABS($C614)&gt;dbe_esikFark,"YUKSEK","NORMAL"))</f>
        <v/>
      </c>
      <c r="F614" s="16">
        <f>IF($B614&lt;&gt;"tutar_farki","","Belge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IF($B615&lt;&gt;"tutar_farki","",IF(ABS($C615)&gt;dbe_esikFark,"YUKSEK","NORMAL"))</f>
        <v/>
      </c>
      <c r="F615" s="16">
        <f>IF($B615&lt;&gt;"tutar_farki","","Belge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IF($B616&lt;&gt;"tutar_farki","",IF(ABS($C616)&gt;dbe_esikFark,"YUKSEK","NORMAL"))</f>
        <v/>
      </c>
      <c r="F616" s="16">
        <f>IF($B616&lt;&gt;"tutar_farki","","Belge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IF($B617&lt;&gt;"tutar_farki","",IF(ABS($C617)&gt;dbe_esikFark,"YUKSEK","NORMAL"))</f>
        <v/>
      </c>
      <c r="F617" s="16">
        <f>IF($B617&lt;&gt;"tutar_farki","","Belge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IF($B618&lt;&gt;"tutar_farki","",IF(ABS($C618)&gt;dbe_esikFark,"YUKSEK","NORMAL"))</f>
        <v/>
      </c>
      <c r="F618" s="16">
        <f>IF($B618&lt;&gt;"tutar_farki","","Belge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IF($B619&lt;&gt;"tutar_farki","",IF(ABS($C619)&gt;dbe_esikFark,"YUKSEK","NORMAL"))</f>
        <v/>
      </c>
      <c r="F619" s="16">
        <f>IF($B619&lt;&gt;"tutar_farki","","Belge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IF($B620&lt;&gt;"tutar_farki","",IF(ABS($C620)&gt;dbe_esikFark,"YUKSEK","NORMAL"))</f>
        <v/>
      </c>
      <c r="F620" s="16">
        <f>IF($B620&lt;&gt;"tutar_farki","","Belge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IF($B621&lt;&gt;"tutar_farki","",IF(ABS($C621)&gt;dbe_esikFark,"YUKSEK","NORMAL"))</f>
        <v/>
      </c>
      <c r="F621" s="16">
        <f>IF($B621&lt;&gt;"tutar_farki","","Belge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IF($B622&lt;&gt;"tutar_farki","",IF(ABS($C622)&gt;dbe_esikFark,"YUKSEK","NORMAL"))</f>
        <v/>
      </c>
      <c r="F622" s="16">
        <f>IF($B622&lt;&gt;"tutar_farki","","Belge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IF($B623&lt;&gt;"tutar_farki","",IF(ABS($C623)&gt;dbe_esikFark,"YUKSEK","NORMAL"))</f>
        <v/>
      </c>
      <c r="F623" s="16">
        <f>IF($B623&lt;&gt;"tutar_farki","","Belge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IF($B624&lt;&gt;"tutar_farki","",IF(ABS($C624)&gt;dbe_esikFark,"YUKSEK","NORMAL"))</f>
        <v/>
      </c>
      <c r="F624" s="16">
        <f>IF($B624&lt;&gt;"tutar_farki","","Belge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IF($B625&lt;&gt;"tutar_farki","",IF(ABS($C625)&gt;dbe_esikFark,"YUKSEK","NORMAL"))</f>
        <v/>
      </c>
      <c r="F625" s="16">
        <f>IF($B625&lt;&gt;"tutar_farki","","Belge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IF($B626&lt;&gt;"tutar_farki","",IF(ABS($C626)&gt;dbe_esikFark,"YUKSEK","NORMAL"))</f>
        <v/>
      </c>
      <c r="F626" s="16">
        <f>IF($B626&lt;&gt;"tutar_farki","","Belge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IF($B627&lt;&gt;"tutar_farki","",IF(ABS($C627)&gt;dbe_esikFark,"YUKSEK","NORMAL"))</f>
        <v/>
      </c>
      <c r="F627" s="16">
        <f>IF($B627&lt;&gt;"tutar_farki","","Belge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IF($B628&lt;&gt;"tutar_farki","",IF(ABS($C628)&gt;dbe_esikFark,"YUKSEK","NORMAL"))</f>
        <v/>
      </c>
      <c r="F628" s="16">
        <f>IF($B628&lt;&gt;"tutar_farki","","Belge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IF($B629&lt;&gt;"tutar_farki","",IF(ABS($C629)&gt;dbe_esikFark,"YUKSEK","NORMAL"))</f>
        <v/>
      </c>
      <c r="F629" s="16">
        <f>IF($B629&lt;&gt;"tutar_farki","","Belge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IF($B630&lt;&gt;"tutar_farki","",IF(ABS($C630)&gt;dbe_esikFark,"YUKSEK","NORMAL"))</f>
        <v/>
      </c>
      <c r="F630" s="16">
        <f>IF($B630&lt;&gt;"tutar_farki","","Belge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IF($B631&lt;&gt;"tutar_farki","",IF(ABS($C631)&gt;dbe_esikFark,"YUKSEK","NORMAL"))</f>
        <v/>
      </c>
      <c r="F631" s="16">
        <f>IF($B631&lt;&gt;"tutar_farki","","Belge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IF($B632&lt;&gt;"tutar_farki","",IF(ABS($C632)&gt;dbe_esikFark,"YUKSEK","NORMAL"))</f>
        <v/>
      </c>
      <c r="F632" s="16">
        <f>IF($B632&lt;&gt;"tutar_farki","","Belge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IF($B633&lt;&gt;"tutar_farki","",IF(ABS($C633)&gt;dbe_esikFark,"YUKSEK","NORMAL"))</f>
        <v/>
      </c>
      <c r="F633" s="16">
        <f>IF($B633&lt;&gt;"tutar_farki","","Belge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IF($B634&lt;&gt;"tutar_farki","",IF(ABS($C634)&gt;dbe_esikFark,"YUKSEK","NORMAL"))</f>
        <v/>
      </c>
      <c r="F634" s="16">
        <f>IF($B634&lt;&gt;"tutar_farki","","Belge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IF($B635&lt;&gt;"tutar_farki","",IF(ABS($C635)&gt;dbe_esikFark,"YUKSEK","NORMAL"))</f>
        <v/>
      </c>
      <c r="F635" s="16">
        <f>IF($B635&lt;&gt;"tutar_farki","","Belge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IF($B636&lt;&gt;"tutar_farki","",IF(ABS($C636)&gt;dbe_esikFark,"YUKSEK","NORMAL"))</f>
        <v/>
      </c>
      <c r="F636" s="16">
        <f>IF($B636&lt;&gt;"tutar_farki","","Belge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IF($B637&lt;&gt;"tutar_farki","",IF(ABS($C637)&gt;dbe_esikFark,"YUKSEK","NORMAL"))</f>
        <v/>
      </c>
      <c r="F637" s="16">
        <f>IF($B637&lt;&gt;"tutar_farki","","Belge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IF($B638&lt;&gt;"tutar_farki","",IF(ABS($C638)&gt;dbe_esikFark,"YUKSEK","NORMAL"))</f>
        <v/>
      </c>
      <c r="F638" s="16">
        <f>IF($B638&lt;&gt;"tutar_farki","","Belge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IF($B639&lt;&gt;"tutar_farki","",IF(ABS($C639)&gt;dbe_esikFark,"YUKSEK","NORMAL"))</f>
        <v/>
      </c>
      <c r="F639" s="16">
        <f>IF($B639&lt;&gt;"tutar_farki","","Belge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IF($B640&lt;&gt;"tutar_farki","",IF(ABS($C640)&gt;dbe_esikFark,"YUKSEK","NORMAL"))</f>
        <v/>
      </c>
      <c r="F640" s="16">
        <f>IF($B640&lt;&gt;"tutar_farki","","Belge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IF($B641&lt;&gt;"tutar_farki","",IF(ABS($C641)&gt;dbe_esikFark,"YUKSEK","NORMAL"))</f>
        <v/>
      </c>
      <c r="F641" s="16">
        <f>IF($B641&lt;&gt;"tutar_farki","","Belge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IF($B642&lt;&gt;"tutar_farki","",IF(ABS($C642)&gt;dbe_esikFark,"YUKSEK","NORMAL"))</f>
        <v/>
      </c>
      <c r="F642" s="16">
        <f>IF($B642&lt;&gt;"tutar_farki","","Belge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IF($B643&lt;&gt;"tutar_farki","",IF(ABS($C643)&gt;dbe_esikFark,"YUKSEK","NORMAL"))</f>
        <v/>
      </c>
      <c r="F643" s="16">
        <f>IF($B643&lt;&gt;"tutar_farki","","Belge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IF($B644&lt;&gt;"tutar_farki","",IF(ABS($C644)&gt;dbe_esikFark,"YUKSEK","NORMAL"))</f>
        <v/>
      </c>
      <c r="F644" s="16">
        <f>IF($B644&lt;&gt;"tutar_farki","","Belge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IF($B645&lt;&gt;"tutar_farki","",IF(ABS($C645)&gt;dbe_esikFark,"YUKSEK","NORMAL"))</f>
        <v/>
      </c>
      <c r="F645" s="16">
        <f>IF($B645&lt;&gt;"tutar_farki","","Belge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IF($B646&lt;&gt;"tutar_farki","",IF(ABS($C646)&gt;dbe_esikFark,"YUKSEK","NORMAL"))</f>
        <v/>
      </c>
      <c r="F646" s="16">
        <f>IF($B646&lt;&gt;"tutar_farki","","Belge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IF($B647&lt;&gt;"tutar_farki","",IF(ABS($C647)&gt;dbe_esikFark,"YUKSEK","NORMAL"))</f>
        <v/>
      </c>
      <c r="F647" s="16">
        <f>IF($B647&lt;&gt;"tutar_farki","","Belge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IF($B648&lt;&gt;"tutar_farki","",IF(ABS($C648)&gt;dbe_esikFark,"YUKSEK","NORMAL"))</f>
        <v/>
      </c>
      <c r="F648" s="16">
        <f>IF($B648&lt;&gt;"tutar_farki","","Belge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IF($B649&lt;&gt;"tutar_farki","",IF(ABS($C649)&gt;dbe_esikFark,"YUKSEK","NORMAL"))</f>
        <v/>
      </c>
      <c r="F649" s="16">
        <f>IF($B649&lt;&gt;"tutar_farki","","Belge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IF($B650&lt;&gt;"tutar_farki","",IF(ABS($C650)&gt;dbe_esikFark,"YUKSEK","NORMAL"))</f>
        <v/>
      </c>
      <c r="F650" s="16">
        <f>IF($B650&lt;&gt;"tutar_farki","","Belge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IF($B651&lt;&gt;"tutar_farki","",IF(ABS($C651)&gt;dbe_esikFark,"YUKSEK","NORMAL"))</f>
        <v/>
      </c>
      <c r="F651" s="16">
        <f>IF($B651&lt;&gt;"tutar_farki","","Belge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IF($B652&lt;&gt;"tutar_farki","",IF(ABS($C652)&gt;dbe_esikFark,"YUKSEK","NORMAL"))</f>
        <v/>
      </c>
      <c r="F652" s="16">
        <f>IF($B652&lt;&gt;"tutar_farki","","Belge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IF($B653&lt;&gt;"tutar_farki","",IF(ABS($C653)&gt;dbe_esikFark,"YUKSEK","NORMAL"))</f>
        <v/>
      </c>
      <c r="F653" s="16">
        <f>IF($B653&lt;&gt;"tutar_farki","","Belge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IF($B654&lt;&gt;"tutar_farki","",IF(ABS($C654)&gt;dbe_esikFark,"YUKSEK","NORMAL"))</f>
        <v/>
      </c>
      <c r="F654" s="16">
        <f>IF($B654&lt;&gt;"tutar_farki","","Belge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IF($B655&lt;&gt;"tutar_farki","",IF(ABS($C655)&gt;dbe_esikFark,"YUKSEK","NORMAL"))</f>
        <v/>
      </c>
      <c r="F655" s="16">
        <f>IF($B655&lt;&gt;"tutar_farki","","Belge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IF($B656&lt;&gt;"tutar_farki","",IF(ABS($C656)&gt;dbe_esikFark,"YUKSEK","NORMAL"))</f>
        <v/>
      </c>
      <c r="F656" s="16">
        <f>IF($B656&lt;&gt;"tutar_farki","","Belge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IF($B657&lt;&gt;"tutar_farki","",IF(ABS($C657)&gt;dbe_esikFark,"YUKSEK","NORMAL"))</f>
        <v/>
      </c>
      <c r="F657" s="16">
        <f>IF($B657&lt;&gt;"tutar_farki","","Belge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IF($B658&lt;&gt;"tutar_farki","",IF(ABS($C658)&gt;dbe_esikFark,"YUKSEK","NORMAL"))</f>
        <v/>
      </c>
      <c r="F658" s="16">
        <f>IF($B658&lt;&gt;"tutar_farki","","Belge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IF($B659&lt;&gt;"tutar_farki","",IF(ABS($C659)&gt;dbe_esikFark,"YUKSEK","NORMAL"))</f>
        <v/>
      </c>
      <c r="F659" s="16">
        <f>IF($B659&lt;&gt;"tutar_farki","","Belge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IF($B660&lt;&gt;"tutar_farki","",IF(ABS($C660)&gt;dbe_esikFark,"YUKSEK","NORMAL"))</f>
        <v/>
      </c>
      <c r="F660" s="16">
        <f>IF($B660&lt;&gt;"tutar_farki","","Belge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IF($B661&lt;&gt;"tutar_farki","",IF(ABS($C661)&gt;dbe_esikFark,"YUKSEK","NORMAL"))</f>
        <v/>
      </c>
      <c r="F661" s="16">
        <f>IF($B661&lt;&gt;"tutar_farki","","Belge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IF($B662&lt;&gt;"tutar_farki","",IF(ABS($C662)&gt;dbe_esikFark,"YUKSEK","NORMAL"))</f>
        <v/>
      </c>
      <c r="F662" s="16">
        <f>IF($B662&lt;&gt;"tutar_farki","","Belge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IF($B663&lt;&gt;"tutar_farki","",IF(ABS($C663)&gt;dbe_esikFark,"YUKSEK","NORMAL"))</f>
        <v/>
      </c>
      <c r="F663" s="16">
        <f>IF($B663&lt;&gt;"tutar_farki","","Belge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IF($B664&lt;&gt;"tutar_farki","",IF(ABS($C664)&gt;dbe_esikFark,"YUKSEK","NORMAL"))</f>
        <v/>
      </c>
      <c r="F664" s="16">
        <f>IF($B664&lt;&gt;"tutar_farki","","Belge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IF($B665&lt;&gt;"tutar_farki","",IF(ABS($C665)&gt;dbe_esikFark,"YUKSEK","NORMAL"))</f>
        <v/>
      </c>
      <c r="F665" s="16">
        <f>IF($B665&lt;&gt;"tutar_farki","","Belge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IF($B666&lt;&gt;"tutar_farki","",IF(ABS($C666)&gt;dbe_esikFark,"YUKSEK","NORMAL"))</f>
        <v/>
      </c>
      <c r="F666" s="16">
        <f>IF($B666&lt;&gt;"tutar_farki","","Belge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IF($B667&lt;&gt;"tutar_farki","",IF(ABS($C667)&gt;dbe_esikFark,"YUKSEK","NORMAL"))</f>
        <v/>
      </c>
      <c r="F667" s="16">
        <f>IF($B667&lt;&gt;"tutar_farki","","Belge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IF($B668&lt;&gt;"tutar_farki","",IF(ABS($C668)&gt;dbe_esikFark,"YUKSEK","NORMAL"))</f>
        <v/>
      </c>
      <c r="F668" s="16">
        <f>IF($B668&lt;&gt;"tutar_farki","","Belge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IF($B669&lt;&gt;"tutar_farki","",IF(ABS($C669)&gt;dbe_esikFark,"YUKSEK","NORMAL"))</f>
        <v/>
      </c>
      <c r="F669" s="16">
        <f>IF($B669&lt;&gt;"tutar_farki","","Belge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IF($B670&lt;&gt;"tutar_farki","",IF(ABS($C670)&gt;dbe_esikFark,"YUKSEK","NORMAL"))</f>
        <v/>
      </c>
      <c r="F670" s="16">
        <f>IF($B670&lt;&gt;"tutar_farki","","Belge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IF($B671&lt;&gt;"tutar_farki","",IF(ABS($C671)&gt;dbe_esikFark,"YUKSEK","NORMAL"))</f>
        <v/>
      </c>
      <c r="F671" s="16">
        <f>IF($B671&lt;&gt;"tutar_farki","","Belge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IF($B672&lt;&gt;"tutar_farki","",IF(ABS($C672)&gt;dbe_esikFark,"YUKSEK","NORMAL"))</f>
        <v/>
      </c>
      <c r="F672" s="16">
        <f>IF($B672&lt;&gt;"tutar_farki","","Belge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IF($B673&lt;&gt;"tutar_farki","",IF(ABS($C673)&gt;dbe_esikFark,"YUKSEK","NORMAL"))</f>
        <v/>
      </c>
      <c r="F673" s="16">
        <f>IF($B673&lt;&gt;"tutar_farki","","Belge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IF($B674&lt;&gt;"tutar_farki","",IF(ABS($C674)&gt;dbe_esikFark,"YUKSEK","NORMAL"))</f>
        <v/>
      </c>
      <c r="F674" s="16">
        <f>IF($B674&lt;&gt;"tutar_farki","","Belge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IF($B675&lt;&gt;"tutar_farki","",IF(ABS($C675)&gt;dbe_esikFark,"YUKSEK","NORMAL"))</f>
        <v/>
      </c>
      <c r="F675" s="16">
        <f>IF($B675&lt;&gt;"tutar_farki","","Belge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IF($B676&lt;&gt;"tutar_farki","",IF(ABS($C676)&gt;dbe_esikFark,"YUKSEK","NORMAL"))</f>
        <v/>
      </c>
      <c r="F676" s="16">
        <f>IF($B676&lt;&gt;"tutar_farki","","Belge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IF($B677&lt;&gt;"tutar_farki","",IF(ABS($C677)&gt;dbe_esikFark,"YUKSEK","NORMAL"))</f>
        <v/>
      </c>
      <c r="F677" s="16">
        <f>IF($B677&lt;&gt;"tutar_farki","","Belge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IF($B678&lt;&gt;"tutar_farki","",IF(ABS($C678)&gt;dbe_esikFark,"YUKSEK","NORMAL"))</f>
        <v/>
      </c>
      <c r="F678" s="16">
        <f>IF($B678&lt;&gt;"tutar_farki","","Belge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IF($B679&lt;&gt;"tutar_farki","",IF(ABS($C679)&gt;dbe_esikFark,"YUKSEK","NORMAL"))</f>
        <v/>
      </c>
      <c r="F679" s="16">
        <f>IF($B679&lt;&gt;"tutar_farki","","Belge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IF($B680&lt;&gt;"tutar_farki","",IF(ABS($C680)&gt;dbe_esikFark,"YUKSEK","NORMAL"))</f>
        <v/>
      </c>
      <c r="F680" s="16">
        <f>IF($B680&lt;&gt;"tutar_farki","","Belge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IF($B681&lt;&gt;"tutar_farki","",IF(ABS($C681)&gt;dbe_esikFark,"YUKSEK","NORMAL"))</f>
        <v/>
      </c>
      <c r="F681" s="16">
        <f>IF($B681&lt;&gt;"tutar_farki","","Belge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IF($B682&lt;&gt;"tutar_farki","",IF(ABS($C682)&gt;dbe_esikFark,"YUKSEK","NORMAL"))</f>
        <v/>
      </c>
      <c r="F682" s="16">
        <f>IF($B682&lt;&gt;"tutar_farki","","Belge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IF($B683&lt;&gt;"tutar_farki","",IF(ABS($C683)&gt;dbe_esikFark,"YUKSEK","NORMAL"))</f>
        <v/>
      </c>
      <c r="F683" s="16">
        <f>IF($B683&lt;&gt;"tutar_farki","","Belge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IF($B684&lt;&gt;"tutar_farki","",IF(ABS($C684)&gt;dbe_esikFark,"YUKSEK","NORMAL"))</f>
        <v/>
      </c>
      <c r="F684" s="16">
        <f>IF($B684&lt;&gt;"tutar_farki","","Belge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IF($B685&lt;&gt;"tutar_farki","",IF(ABS($C685)&gt;dbe_esikFark,"YUKSEK","NORMAL"))</f>
        <v/>
      </c>
      <c r="F685" s="16">
        <f>IF($B685&lt;&gt;"tutar_farki","","Belge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IF($B686&lt;&gt;"tutar_farki","",IF(ABS($C686)&gt;dbe_esikFark,"YUKSEK","NORMAL"))</f>
        <v/>
      </c>
      <c r="F686" s="16">
        <f>IF($B686&lt;&gt;"tutar_farki","","Belge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IF($B687&lt;&gt;"tutar_farki","",IF(ABS($C687)&gt;dbe_esikFark,"YUKSEK","NORMAL"))</f>
        <v/>
      </c>
      <c r="F687" s="16">
        <f>IF($B687&lt;&gt;"tutar_farki","","Belge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IF($B688&lt;&gt;"tutar_farki","",IF(ABS($C688)&gt;dbe_esikFark,"YUKSEK","NORMAL"))</f>
        <v/>
      </c>
      <c r="F688" s="16">
        <f>IF($B688&lt;&gt;"tutar_farki","","Belge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IF($B689&lt;&gt;"tutar_farki","",IF(ABS($C689)&gt;dbe_esikFark,"YUKSEK","NORMAL"))</f>
        <v/>
      </c>
      <c r="F689" s="16">
        <f>IF($B689&lt;&gt;"tutar_farki","","Belge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IF($B690&lt;&gt;"tutar_farki","",IF(ABS($C690)&gt;dbe_esikFark,"YUKSEK","NORMAL"))</f>
        <v/>
      </c>
      <c r="F690" s="16">
        <f>IF($B690&lt;&gt;"tutar_farki","","Belge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IF($B691&lt;&gt;"tutar_farki","",IF(ABS($C691)&gt;dbe_esikFark,"YUKSEK","NORMAL"))</f>
        <v/>
      </c>
      <c r="F691" s="16">
        <f>IF($B691&lt;&gt;"tutar_farki","","Belge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IF($B692&lt;&gt;"tutar_farki","",IF(ABS($C692)&gt;dbe_esikFark,"YUKSEK","NORMAL"))</f>
        <v/>
      </c>
      <c r="F692" s="16">
        <f>IF($B692&lt;&gt;"tutar_farki","","Belge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IF($B693&lt;&gt;"tutar_farki","",IF(ABS($C693)&gt;dbe_esikFark,"YUKSEK","NORMAL"))</f>
        <v/>
      </c>
      <c r="F693" s="16">
        <f>IF($B693&lt;&gt;"tutar_farki","","Belge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IF($B694&lt;&gt;"tutar_farki","",IF(ABS($C694)&gt;dbe_esikFark,"YUKSEK","NORMAL"))</f>
        <v/>
      </c>
      <c r="F694" s="16">
        <f>IF($B694&lt;&gt;"tutar_farki","","Belge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IF($B695&lt;&gt;"tutar_farki","",IF(ABS($C695)&gt;dbe_esikFark,"YUKSEK","NORMAL"))</f>
        <v/>
      </c>
      <c r="F695" s="16">
        <f>IF($B695&lt;&gt;"tutar_farki","","Belge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IF($B696&lt;&gt;"tutar_farki","",IF(ABS($C696)&gt;dbe_esikFark,"YUKSEK","NORMAL"))</f>
        <v/>
      </c>
      <c r="F696" s="16">
        <f>IF($B696&lt;&gt;"tutar_farki","","Belge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IF($B697&lt;&gt;"tutar_farki","",IF(ABS($C697)&gt;dbe_esikFark,"YUKSEK","NORMAL"))</f>
        <v/>
      </c>
      <c r="F697" s="16">
        <f>IF($B697&lt;&gt;"tutar_farki","","Belge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IF($B698&lt;&gt;"tutar_farki","",IF(ABS($C698)&gt;dbe_esikFark,"YUKSEK","NORMAL"))</f>
        <v/>
      </c>
      <c r="F698" s="16">
        <f>IF($B698&lt;&gt;"tutar_farki","","Belge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IF($B699&lt;&gt;"tutar_farki","",IF(ABS($C699)&gt;dbe_esikFark,"YUKSEK","NORMAL"))</f>
        <v/>
      </c>
      <c r="F699" s="16">
        <f>IF($B699&lt;&gt;"tutar_farki","","Belge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IF($B700&lt;&gt;"tutar_farki","",IF(ABS($C700)&gt;dbe_esikFark,"YUKSEK","NORMAL"))</f>
        <v/>
      </c>
      <c r="F700" s="16">
        <f>IF($B700&lt;&gt;"tutar_farki","","Belge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IF($B701&lt;&gt;"tutar_farki","",IF(ABS($C701)&gt;dbe_esikFark,"YUKSEK","NORMAL"))</f>
        <v/>
      </c>
      <c r="F701" s="16">
        <f>IF($B701&lt;&gt;"tutar_farki","","Belge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IF($B702&lt;&gt;"tutar_farki","",IF(ABS($C702)&gt;dbe_esikFark,"YUKSEK","NORMAL"))</f>
        <v/>
      </c>
      <c r="F702" s="16">
        <f>IF($B702&lt;&gt;"tutar_farki","","Belge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IF($B703&lt;&gt;"tutar_farki","",IF(ABS($C703)&gt;dbe_esikFark,"YUKSEK","NORMAL"))</f>
        <v/>
      </c>
      <c r="F703" s="16">
        <f>IF($B703&lt;&gt;"tutar_farki","","Belge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IF($B704&lt;&gt;"tutar_farki","",IF(ABS($C704)&gt;dbe_esikFark,"YUKSEK","NORMAL"))</f>
        <v/>
      </c>
      <c r="F704" s="16">
        <f>IF($B704&lt;&gt;"tutar_farki","","Belge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IF($B705&lt;&gt;"tutar_farki","",IF(ABS($C705)&gt;dbe_esikFark,"YUKSEK","NORMAL"))</f>
        <v/>
      </c>
      <c r="F705" s="16">
        <f>IF($B705&lt;&gt;"tutar_farki","","Belge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IF($B706&lt;&gt;"tutar_farki","",IF(ABS($C706)&gt;dbe_esikFark,"YUKSEK","NORMAL"))</f>
        <v/>
      </c>
      <c r="F706" s="16">
        <f>IF($B706&lt;&gt;"tutar_farki","","Belge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IF($B707&lt;&gt;"tutar_farki","",IF(ABS($C707)&gt;dbe_esikFark,"YUKSEK","NORMAL"))</f>
        <v/>
      </c>
      <c r="F707" s="16">
        <f>IF($B707&lt;&gt;"tutar_farki","","Belge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IF($B708&lt;&gt;"tutar_farki","",IF(ABS($C708)&gt;dbe_esikFark,"YUKSEK","NORMAL"))</f>
        <v/>
      </c>
      <c r="F708" s="16">
        <f>IF($B708&lt;&gt;"tutar_farki","","Belge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IF($B709&lt;&gt;"tutar_farki","",IF(ABS($C709)&gt;dbe_esikFark,"YUKSEK","NORMAL"))</f>
        <v/>
      </c>
      <c r="F709" s="16">
        <f>IF($B709&lt;&gt;"tutar_farki","","Belge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IF($B710&lt;&gt;"tutar_farki","",IF(ABS($C710)&gt;dbe_esikFark,"YUKSEK","NORMAL"))</f>
        <v/>
      </c>
      <c r="F710" s="16">
        <f>IF($B710&lt;&gt;"tutar_farki","","Belge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IF($B711&lt;&gt;"tutar_farki","",IF(ABS($C711)&gt;dbe_esikFark,"YUKSEK","NORMAL"))</f>
        <v/>
      </c>
      <c r="F711" s="16">
        <f>IF($B711&lt;&gt;"tutar_farki","","Belge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IF($B712&lt;&gt;"tutar_farki","",IF(ABS($C712)&gt;dbe_esikFark,"YUKSEK","NORMAL"))</f>
        <v/>
      </c>
      <c r="F712" s="16">
        <f>IF($B712&lt;&gt;"tutar_farki","","Belge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IF($B713&lt;&gt;"tutar_farki","",IF(ABS($C713)&gt;dbe_esikFark,"YUKSEK","NORMAL"))</f>
        <v/>
      </c>
      <c r="F713" s="16">
        <f>IF($B713&lt;&gt;"tutar_farki","","Belge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IF($B714&lt;&gt;"tutar_farki","",IF(ABS($C714)&gt;dbe_esikFark,"YUKSEK","NORMAL"))</f>
        <v/>
      </c>
      <c r="F714" s="16">
        <f>IF($B714&lt;&gt;"tutar_farki","","Belge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IF($B715&lt;&gt;"tutar_farki","",IF(ABS($C715)&gt;dbe_esikFark,"YUKSEK","NORMAL"))</f>
        <v/>
      </c>
      <c r="F715" s="16">
        <f>IF($B715&lt;&gt;"tutar_farki","","Belge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IF($B716&lt;&gt;"tutar_farki","",IF(ABS($C716)&gt;dbe_esikFark,"YUKSEK","NORMAL"))</f>
        <v/>
      </c>
      <c r="F716" s="16">
        <f>IF($B716&lt;&gt;"tutar_farki","","Belge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IF($B717&lt;&gt;"tutar_farki","",IF(ABS($C717)&gt;dbe_esikFark,"YUKSEK","NORMAL"))</f>
        <v/>
      </c>
      <c r="F717" s="16">
        <f>IF($B717&lt;&gt;"tutar_farki","","Belge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IF($B718&lt;&gt;"tutar_farki","",IF(ABS($C718)&gt;dbe_esikFark,"YUKSEK","NORMAL"))</f>
        <v/>
      </c>
      <c r="F718" s="16">
        <f>IF($B718&lt;&gt;"tutar_farki","","Belge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IF($B719&lt;&gt;"tutar_farki","",IF(ABS($C719)&gt;dbe_esikFark,"YUKSEK","NORMAL"))</f>
        <v/>
      </c>
      <c r="F719" s="16">
        <f>IF($B719&lt;&gt;"tutar_farki","","Belge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IF($B720&lt;&gt;"tutar_farki","",IF(ABS($C720)&gt;dbe_esikFark,"YUKSEK","NORMAL"))</f>
        <v/>
      </c>
      <c r="F720" s="16">
        <f>IF($B720&lt;&gt;"tutar_farki","","Belge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IF($B721&lt;&gt;"tutar_farki","",IF(ABS($C721)&gt;dbe_esikFark,"YUKSEK","NORMAL"))</f>
        <v/>
      </c>
      <c r="F721" s="16">
        <f>IF($B721&lt;&gt;"tutar_farki","","Belge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IF($B722&lt;&gt;"tutar_farki","",IF(ABS($C722)&gt;dbe_esikFark,"YUKSEK","NORMAL"))</f>
        <v/>
      </c>
      <c r="F722" s="16">
        <f>IF($B722&lt;&gt;"tutar_farki","","Belge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IF($B723&lt;&gt;"tutar_farki","",IF(ABS($C723)&gt;dbe_esikFark,"YUKSEK","NORMAL"))</f>
        <v/>
      </c>
      <c r="F723" s="16">
        <f>IF($B723&lt;&gt;"tutar_farki","","Belge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IF($B724&lt;&gt;"tutar_farki","",IF(ABS($C724)&gt;dbe_esikFark,"YUKSEK","NORMAL"))</f>
        <v/>
      </c>
      <c r="F724" s="16">
        <f>IF($B724&lt;&gt;"tutar_farki","","Belge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IF($B725&lt;&gt;"tutar_farki","",IF(ABS($C725)&gt;dbe_esikFark,"YUKSEK","NORMAL"))</f>
        <v/>
      </c>
      <c r="F725" s="16">
        <f>IF($B725&lt;&gt;"tutar_farki","","Belge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IF($B726&lt;&gt;"tutar_farki","",IF(ABS($C726)&gt;dbe_esikFark,"YUKSEK","NORMAL"))</f>
        <v/>
      </c>
      <c r="F726" s="16">
        <f>IF($B726&lt;&gt;"tutar_farki","","Belge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IF($B727&lt;&gt;"tutar_farki","",IF(ABS($C727)&gt;dbe_esikFark,"YUKSEK","NORMAL"))</f>
        <v/>
      </c>
      <c r="F727" s="16">
        <f>IF($B727&lt;&gt;"tutar_farki","","Belge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IF($B728&lt;&gt;"tutar_farki","",IF(ABS($C728)&gt;dbe_esikFark,"YUKSEK","NORMAL"))</f>
        <v/>
      </c>
      <c r="F728" s="16">
        <f>IF($B728&lt;&gt;"tutar_farki","","Belge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IF($B729&lt;&gt;"tutar_farki","",IF(ABS($C729)&gt;dbe_esikFark,"YUKSEK","NORMAL"))</f>
        <v/>
      </c>
      <c r="F729" s="16">
        <f>IF($B729&lt;&gt;"tutar_farki","","Belge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IF($B730&lt;&gt;"tutar_farki","",IF(ABS($C730)&gt;dbe_esikFark,"YUKSEK","NORMAL"))</f>
        <v/>
      </c>
      <c r="F730" s="16">
        <f>IF($B730&lt;&gt;"tutar_farki","","Belge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IF($B731&lt;&gt;"tutar_farki","",IF(ABS($C731)&gt;dbe_esikFark,"YUKSEK","NORMAL"))</f>
        <v/>
      </c>
      <c r="F731" s="16">
        <f>IF($B731&lt;&gt;"tutar_farki","","Belge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IF($B732&lt;&gt;"tutar_farki","",IF(ABS($C732)&gt;dbe_esikFark,"YUKSEK","NORMAL"))</f>
        <v/>
      </c>
      <c r="F732" s="16">
        <f>IF($B732&lt;&gt;"tutar_farki","","Belge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IF($B733&lt;&gt;"tutar_farki","",IF(ABS($C733)&gt;dbe_esikFark,"YUKSEK","NORMAL"))</f>
        <v/>
      </c>
      <c r="F733" s="16">
        <f>IF($B733&lt;&gt;"tutar_farki","","Belge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IF($B734&lt;&gt;"tutar_farki","",IF(ABS($C734)&gt;dbe_esikFark,"YUKSEK","NORMAL"))</f>
        <v/>
      </c>
      <c r="F734" s="16">
        <f>IF($B734&lt;&gt;"tutar_farki","","Belge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IF($B735&lt;&gt;"tutar_farki","",IF(ABS($C735)&gt;dbe_esikFark,"YUKSEK","NORMAL"))</f>
        <v/>
      </c>
      <c r="F735" s="16">
        <f>IF($B735&lt;&gt;"tutar_farki","","Belge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IF($B736&lt;&gt;"tutar_farki","",IF(ABS($C736)&gt;dbe_esikFark,"YUKSEK","NORMAL"))</f>
        <v/>
      </c>
      <c r="F736" s="16">
        <f>IF($B736&lt;&gt;"tutar_farki","","Belge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IF($B737&lt;&gt;"tutar_farki","",IF(ABS($C737)&gt;dbe_esikFark,"YUKSEK","NORMAL"))</f>
        <v/>
      </c>
      <c r="F737" s="16">
        <f>IF($B737&lt;&gt;"tutar_farki","","Belge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IF($B738&lt;&gt;"tutar_farki","",IF(ABS($C738)&gt;dbe_esikFark,"YUKSEK","NORMAL"))</f>
        <v/>
      </c>
      <c r="F738" s="16">
        <f>IF($B738&lt;&gt;"tutar_farki","","Belge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IF($B739&lt;&gt;"tutar_farki","",IF(ABS($C739)&gt;dbe_esikFark,"YUKSEK","NORMAL"))</f>
        <v/>
      </c>
      <c r="F739" s="16">
        <f>IF($B739&lt;&gt;"tutar_farki","","Belge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IF($B740&lt;&gt;"tutar_farki","",IF(ABS($C740)&gt;dbe_esikFark,"YUKSEK","NORMAL"))</f>
        <v/>
      </c>
      <c r="F740" s="16">
        <f>IF($B740&lt;&gt;"tutar_farki","","Belge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IF($B741&lt;&gt;"tutar_farki","",IF(ABS($C741)&gt;dbe_esikFark,"YUKSEK","NORMAL"))</f>
        <v/>
      </c>
      <c r="F741" s="16">
        <f>IF($B741&lt;&gt;"tutar_farki","","Belge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IF($B742&lt;&gt;"tutar_farki","",IF(ABS($C742)&gt;dbe_esikFark,"YUKSEK","NORMAL"))</f>
        <v/>
      </c>
      <c r="F742" s="16">
        <f>IF($B742&lt;&gt;"tutar_farki","","Belge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IF($B743&lt;&gt;"tutar_farki","",IF(ABS($C743)&gt;dbe_esikFark,"YUKSEK","NORMAL"))</f>
        <v/>
      </c>
      <c r="F743" s="16">
        <f>IF($B743&lt;&gt;"tutar_farki","","Belge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IF($B744&lt;&gt;"tutar_farki","",IF(ABS($C744)&gt;dbe_esikFark,"YUKSEK","NORMAL"))</f>
        <v/>
      </c>
      <c r="F744" s="16">
        <f>IF($B744&lt;&gt;"tutar_farki","","Belge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IF($B745&lt;&gt;"tutar_farki","",IF(ABS($C745)&gt;dbe_esikFark,"YUKSEK","NORMAL"))</f>
        <v/>
      </c>
      <c r="F745" s="16">
        <f>IF($B745&lt;&gt;"tutar_farki","","Belge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IF($B746&lt;&gt;"tutar_farki","",IF(ABS($C746)&gt;dbe_esikFark,"YUKSEK","NORMAL"))</f>
        <v/>
      </c>
      <c r="F746" s="16">
        <f>IF($B746&lt;&gt;"tutar_farki","","Belge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IF($B747&lt;&gt;"tutar_farki","",IF(ABS($C747)&gt;dbe_esikFark,"YUKSEK","NORMAL"))</f>
        <v/>
      </c>
      <c r="F747" s="16">
        <f>IF($B747&lt;&gt;"tutar_farki","","Belge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IF($B748&lt;&gt;"tutar_farki","",IF(ABS($C748)&gt;dbe_esikFark,"YUKSEK","NORMAL"))</f>
        <v/>
      </c>
      <c r="F748" s="16">
        <f>IF($B748&lt;&gt;"tutar_farki","","Belge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IF($B749&lt;&gt;"tutar_farki","",IF(ABS($C749)&gt;dbe_esikFark,"YUKSEK","NORMAL"))</f>
        <v/>
      </c>
      <c r="F749" s="16">
        <f>IF($B749&lt;&gt;"tutar_farki","","Belge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IF($B750&lt;&gt;"tutar_farki","",IF(ABS($C750)&gt;dbe_esikFark,"YUKSEK","NORMAL"))</f>
        <v/>
      </c>
      <c r="F750" s="16">
        <f>IF($B750&lt;&gt;"tutar_farki","","Belge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IF($B751&lt;&gt;"tutar_farki","",IF(ABS($C751)&gt;dbe_esikFark,"YUKSEK","NORMAL"))</f>
        <v/>
      </c>
      <c r="F751" s="16">
        <f>IF($B751&lt;&gt;"tutar_farki","","Belge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IF($B752&lt;&gt;"tutar_farki","",IF(ABS($C752)&gt;dbe_esikFark,"YUKSEK","NORMAL"))</f>
        <v/>
      </c>
      <c r="F752" s="16">
        <f>IF($B752&lt;&gt;"tutar_farki","","Belge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IF($B753&lt;&gt;"tutar_farki","",IF(ABS($C753)&gt;dbe_esikFark,"YUKSEK","NORMAL"))</f>
        <v/>
      </c>
      <c r="F753" s="16">
        <f>IF($B753&lt;&gt;"tutar_farki","","Belge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IF($B754&lt;&gt;"tutar_farki","",IF(ABS($C754)&gt;dbe_esikFark,"YUKSEK","NORMAL"))</f>
        <v/>
      </c>
      <c r="F754" s="16">
        <f>IF($B754&lt;&gt;"tutar_farki","","Belge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IF($B755&lt;&gt;"tutar_farki","",IF(ABS($C755)&gt;dbe_esikFark,"YUKSEK","NORMAL"))</f>
        <v/>
      </c>
      <c r="F755" s="16">
        <f>IF($B755&lt;&gt;"tutar_farki","","Belge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IF($B756&lt;&gt;"tutar_farki","",IF(ABS($C756)&gt;dbe_esikFark,"YUKSEK","NORMAL"))</f>
        <v/>
      </c>
      <c r="F756" s="16">
        <f>IF($B756&lt;&gt;"tutar_farki","","Belge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IF($B757&lt;&gt;"tutar_farki","",IF(ABS($C757)&gt;dbe_esikFark,"YUKSEK","NORMAL"))</f>
        <v/>
      </c>
      <c r="F757" s="16">
        <f>IF($B757&lt;&gt;"tutar_farki","","Belge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IF($B758&lt;&gt;"tutar_farki","",IF(ABS($C758)&gt;dbe_esikFark,"YUKSEK","NORMAL"))</f>
        <v/>
      </c>
      <c r="F758" s="16">
        <f>IF($B758&lt;&gt;"tutar_farki","","Belge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IF($B759&lt;&gt;"tutar_farki","",IF(ABS($C759)&gt;dbe_esikFark,"YUKSEK","NORMAL"))</f>
        <v/>
      </c>
      <c r="F759" s="16">
        <f>IF($B759&lt;&gt;"tutar_farki","","Belge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IF($B760&lt;&gt;"tutar_farki","",IF(ABS($C760)&gt;dbe_esikFark,"YUKSEK","NORMAL"))</f>
        <v/>
      </c>
      <c r="F760" s="16">
        <f>IF($B760&lt;&gt;"tutar_farki","","Belge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IF($B761&lt;&gt;"tutar_farki","",IF(ABS($C761)&gt;dbe_esikFark,"YUKSEK","NORMAL"))</f>
        <v/>
      </c>
      <c r="F761" s="16">
        <f>IF($B761&lt;&gt;"tutar_farki","","Belge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IF($B762&lt;&gt;"tutar_farki","",IF(ABS($C762)&gt;dbe_esikFark,"YUKSEK","NORMAL"))</f>
        <v/>
      </c>
      <c r="F762" s="16">
        <f>IF($B762&lt;&gt;"tutar_farki","","Belge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IF($B763&lt;&gt;"tutar_farki","",IF(ABS($C763)&gt;dbe_esikFark,"YUKSEK","NORMAL"))</f>
        <v/>
      </c>
      <c r="F763" s="16">
        <f>IF($B763&lt;&gt;"tutar_farki","","Belge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IF($B764&lt;&gt;"tutar_farki","",IF(ABS($C764)&gt;dbe_esikFark,"YUKSEK","NORMAL"))</f>
        <v/>
      </c>
      <c r="F764" s="16">
        <f>IF($B764&lt;&gt;"tutar_farki","","Belge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IF($B765&lt;&gt;"tutar_farki","",IF(ABS($C765)&gt;dbe_esikFark,"YUKSEK","NORMAL"))</f>
        <v/>
      </c>
      <c r="F765" s="16">
        <f>IF($B765&lt;&gt;"tutar_farki","","Belge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IF($B766&lt;&gt;"tutar_farki","",IF(ABS($C766)&gt;dbe_esikFark,"YUKSEK","NORMAL"))</f>
        <v/>
      </c>
      <c r="F766" s="16">
        <f>IF($B766&lt;&gt;"tutar_farki","","Belge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IF($B767&lt;&gt;"tutar_farki","",IF(ABS($C767)&gt;dbe_esikFark,"YUKSEK","NORMAL"))</f>
        <v/>
      </c>
      <c r="F767" s="16">
        <f>IF($B767&lt;&gt;"tutar_farki","","Belge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IF($B768&lt;&gt;"tutar_farki","",IF(ABS($C768)&gt;dbe_esikFark,"YUKSEK","NORMAL"))</f>
        <v/>
      </c>
      <c r="F768" s="16">
        <f>IF($B768&lt;&gt;"tutar_farki","","Belge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IF($B769&lt;&gt;"tutar_farki","",IF(ABS($C769)&gt;dbe_esikFark,"YUKSEK","NORMAL"))</f>
        <v/>
      </c>
      <c r="F769" s="16">
        <f>IF($B769&lt;&gt;"tutar_farki","","Belge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IF($B770&lt;&gt;"tutar_farki","",IF(ABS($C770)&gt;dbe_esikFark,"YUKSEK","NORMAL"))</f>
        <v/>
      </c>
      <c r="F770" s="16">
        <f>IF($B770&lt;&gt;"tutar_farki","","Belge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IF($B771&lt;&gt;"tutar_farki","",IF(ABS($C771)&gt;dbe_esikFark,"YUKSEK","NORMAL"))</f>
        <v/>
      </c>
      <c r="F771" s="16">
        <f>IF($B771&lt;&gt;"tutar_farki","","Belge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IF($B772&lt;&gt;"tutar_farki","",IF(ABS($C772)&gt;dbe_esikFark,"YUKSEK","NORMAL"))</f>
        <v/>
      </c>
      <c r="F772" s="16">
        <f>IF($B772&lt;&gt;"tutar_farki","","Belge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IF($B773&lt;&gt;"tutar_farki","",IF(ABS($C773)&gt;dbe_esikFark,"YUKSEK","NORMAL"))</f>
        <v/>
      </c>
      <c r="F773" s="16">
        <f>IF($B773&lt;&gt;"tutar_farki","","Belge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IF($B774&lt;&gt;"tutar_farki","",IF(ABS($C774)&gt;dbe_esikFark,"YUKSEK","NORMAL"))</f>
        <v/>
      </c>
      <c r="F774" s="16">
        <f>IF($B774&lt;&gt;"tutar_farki","","Belge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IF($B775&lt;&gt;"tutar_farki","",IF(ABS($C775)&gt;dbe_esikFark,"YUKSEK","NORMAL"))</f>
        <v/>
      </c>
      <c r="F775" s="16">
        <f>IF($B775&lt;&gt;"tutar_farki","","Belge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IF($B776&lt;&gt;"tutar_farki","",IF(ABS($C776)&gt;dbe_esikFark,"YUKSEK","NORMAL"))</f>
        <v/>
      </c>
      <c r="F776" s="16">
        <f>IF($B776&lt;&gt;"tutar_farki","","Belge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IF($B777&lt;&gt;"tutar_farki","",IF(ABS($C777)&gt;dbe_esikFark,"YUKSEK","NORMAL"))</f>
        <v/>
      </c>
      <c r="F777" s="16">
        <f>IF($B777&lt;&gt;"tutar_farki","","Belge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IF($B778&lt;&gt;"tutar_farki","",IF(ABS($C778)&gt;dbe_esikFark,"YUKSEK","NORMAL"))</f>
        <v/>
      </c>
      <c r="F778" s="16">
        <f>IF($B778&lt;&gt;"tutar_farki","","Belge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IF($B779&lt;&gt;"tutar_farki","",IF(ABS($C779)&gt;dbe_esikFark,"YUKSEK","NORMAL"))</f>
        <v/>
      </c>
      <c r="F779" s="16">
        <f>IF($B779&lt;&gt;"tutar_farki","","Belge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IF($B780&lt;&gt;"tutar_farki","",IF(ABS($C780)&gt;dbe_esikFark,"YUKSEK","NORMAL"))</f>
        <v/>
      </c>
      <c r="F780" s="16">
        <f>IF($B780&lt;&gt;"tutar_farki","","Belge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IF($B781&lt;&gt;"tutar_farki","",IF(ABS($C781)&gt;dbe_esikFark,"YUKSEK","NORMAL"))</f>
        <v/>
      </c>
      <c r="F781" s="16">
        <f>IF($B781&lt;&gt;"tutar_farki","","Belge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IF($B782&lt;&gt;"tutar_farki","",IF(ABS($C782)&gt;dbe_esikFark,"YUKSEK","NORMAL"))</f>
        <v/>
      </c>
      <c r="F782" s="16">
        <f>IF($B782&lt;&gt;"tutar_farki","","Belge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IF($B783&lt;&gt;"tutar_farki","",IF(ABS($C783)&gt;dbe_esikFark,"YUKSEK","NORMAL"))</f>
        <v/>
      </c>
      <c r="F783" s="16">
        <f>IF($B783&lt;&gt;"tutar_farki","","Belge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IF($B784&lt;&gt;"tutar_farki","",IF(ABS($C784)&gt;dbe_esikFark,"YUKSEK","NORMAL"))</f>
        <v/>
      </c>
      <c r="F784" s="16">
        <f>IF($B784&lt;&gt;"tutar_farki","","Belge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IF($B785&lt;&gt;"tutar_farki","",IF(ABS($C785)&gt;dbe_esikFark,"YUKSEK","NORMAL"))</f>
        <v/>
      </c>
      <c r="F785" s="16">
        <f>IF($B785&lt;&gt;"tutar_farki","","Belge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IF($B786&lt;&gt;"tutar_farki","",IF(ABS($C786)&gt;dbe_esikFark,"YUKSEK","NORMAL"))</f>
        <v/>
      </c>
      <c r="F786" s="16">
        <f>IF($B786&lt;&gt;"tutar_farki","","Belge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IF($B787&lt;&gt;"tutar_farki","",IF(ABS($C787)&gt;dbe_esikFark,"YUKSEK","NORMAL"))</f>
        <v/>
      </c>
      <c r="F787" s="16">
        <f>IF($B787&lt;&gt;"tutar_farki","","Belge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IF($B788&lt;&gt;"tutar_farki","",IF(ABS($C788)&gt;dbe_esikFark,"YUKSEK","NORMAL"))</f>
        <v/>
      </c>
      <c r="F788" s="16">
        <f>IF($B788&lt;&gt;"tutar_farki","","Belge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IF($B789&lt;&gt;"tutar_farki","",IF(ABS($C789)&gt;dbe_esikFark,"YUKSEK","NORMAL"))</f>
        <v/>
      </c>
      <c r="F789" s="16">
        <f>IF($B789&lt;&gt;"tutar_farki","","Belge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IF($B790&lt;&gt;"tutar_farki","",IF(ABS($C790)&gt;dbe_esikFark,"YUKSEK","NORMAL"))</f>
        <v/>
      </c>
      <c r="F790" s="16">
        <f>IF($B790&lt;&gt;"tutar_farki","","Belge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IF($B791&lt;&gt;"tutar_farki","",IF(ABS($C791)&gt;dbe_esikFark,"YUKSEK","NORMAL"))</f>
        <v/>
      </c>
      <c r="F791" s="16">
        <f>IF($B791&lt;&gt;"tutar_farki","","Belge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IF($B792&lt;&gt;"tutar_farki","",IF(ABS($C792)&gt;dbe_esikFark,"YUKSEK","NORMAL"))</f>
        <v/>
      </c>
      <c r="F792" s="16">
        <f>IF($B792&lt;&gt;"tutar_farki","","Belge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IF($B793&lt;&gt;"tutar_farki","",IF(ABS($C793)&gt;dbe_esikFark,"YUKSEK","NORMAL"))</f>
        <v/>
      </c>
      <c r="F793" s="16">
        <f>IF($B793&lt;&gt;"tutar_farki","","Belge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IF($B794&lt;&gt;"tutar_farki","",IF(ABS($C794)&gt;dbe_esikFark,"YUKSEK","NORMAL"))</f>
        <v/>
      </c>
      <c r="F794" s="16">
        <f>IF($B794&lt;&gt;"tutar_farki","","Belge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IF($B795&lt;&gt;"tutar_farki","",IF(ABS($C795)&gt;dbe_esikFark,"YUKSEK","NORMAL"))</f>
        <v/>
      </c>
      <c r="F795" s="16">
        <f>IF($B795&lt;&gt;"tutar_farki","","Belge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IF($B796&lt;&gt;"tutar_farki","",IF(ABS($C796)&gt;dbe_esikFark,"YUKSEK","NORMAL"))</f>
        <v/>
      </c>
      <c r="F796" s="16">
        <f>IF($B796&lt;&gt;"tutar_farki","","Belge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IF($B797&lt;&gt;"tutar_farki","",IF(ABS($C797)&gt;dbe_esikFark,"YUKSEK","NORMAL"))</f>
        <v/>
      </c>
      <c r="F797" s="16">
        <f>IF($B797&lt;&gt;"tutar_farki","","Belge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IF($B798&lt;&gt;"tutar_farki","",IF(ABS($C798)&gt;dbe_esikFark,"YUKSEK","NORMAL"))</f>
        <v/>
      </c>
      <c r="F798" s="16">
        <f>IF($B798&lt;&gt;"tutar_farki","","Belge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IF($B799&lt;&gt;"tutar_farki","",IF(ABS($C799)&gt;dbe_esikFark,"YUKSEK","NORMAL"))</f>
        <v/>
      </c>
      <c r="F799" s="16">
        <f>IF($B799&lt;&gt;"tutar_farki","","Belge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IF($B800&lt;&gt;"tutar_farki","",IF(ABS($C800)&gt;dbe_esikFark,"YUKSEK","NORMAL"))</f>
        <v/>
      </c>
      <c r="F800" s="16">
        <f>IF($B800&lt;&gt;"tutar_farki","","Belge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IF($B801&lt;&gt;"tutar_farki","",IF(ABS($C801)&gt;dbe_esikFark,"YUKSEK","NORMAL"))</f>
        <v/>
      </c>
      <c r="F801" s="16">
        <f>IF($B801&lt;&gt;"tutar_farki","","Belge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IF($B802&lt;&gt;"tutar_farki","",IF(ABS($C802)&gt;dbe_esikFark,"YUKSEK","NORMAL"))</f>
        <v/>
      </c>
      <c r="F802" s="16">
        <f>IF($B802&lt;&gt;"tutar_farki","","Belge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IF($B803&lt;&gt;"tutar_farki","",IF(ABS($C803)&gt;dbe_esikFark,"YUKSEK","NORMAL"))</f>
        <v/>
      </c>
      <c r="F803" s="16">
        <f>IF($B803&lt;&gt;"tutar_farki","","Belge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IF($B804&lt;&gt;"tutar_farki","",IF(ABS($C804)&gt;dbe_esikFark,"YUKSEK","NORMAL"))</f>
        <v/>
      </c>
      <c r="F804" s="16">
        <f>IF($B804&lt;&gt;"tutar_farki","","Belge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IF($B805&lt;&gt;"tutar_farki","",IF(ABS($C805)&gt;dbe_esikFark,"YUKSEK","NORMAL"))</f>
        <v/>
      </c>
      <c r="F805" s="16">
        <f>IF($B805&lt;&gt;"tutar_farki","","Belge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IF($B806&lt;&gt;"tutar_farki","",IF(ABS($C806)&gt;dbe_esikFark,"YUKSEK","NORMAL"))</f>
        <v/>
      </c>
      <c r="F806" s="16">
        <f>IF($B806&lt;&gt;"tutar_farki","","Belge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IF($B807&lt;&gt;"tutar_farki","",IF(ABS($C807)&gt;dbe_esikFark,"YUKSEK","NORMAL"))</f>
        <v/>
      </c>
      <c r="F807" s="16">
        <f>IF($B807&lt;&gt;"tutar_farki","","Belge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IF($B808&lt;&gt;"tutar_farki","",IF(ABS($C808)&gt;dbe_esikFark,"YUKSEK","NORMAL"))</f>
        <v/>
      </c>
      <c r="F808" s="16">
        <f>IF($B808&lt;&gt;"tutar_farki","","Belge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IF($B809&lt;&gt;"tutar_farki","",IF(ABS($C809)&gt;dbe_esikFark,"YUKSEK","NORMAL"))</f>
        <v/>
      </c>
      <c r="F809" s="16">
        <f>IF($B809&lt;&gt;"tutar_farki","","Belge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IF($B810&lt;&gt;"tutar_farki","",IF(ABS($C810)&gt;dbe_esikFark,"YUKSEK","NORMAL"))</f>
        <v/>
      </c>
      <c r="F810" s="16">
        <f>IF($B810&lt;&gt;"tutar_farki","","Belge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IF($B811&lt;&gt;"tutar_farki","",IF(ABS($C811)&gt;dbe_esikFark,"YUKSEK","NORMAL"))</f>
        <v/>
      </c>
      <c r="F811" s="16">
        <f>IF($B811&lt;&gt;"tutar_farki","","Belge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IF($B812&lt;&gt;"tutar_farki","",IF(ABS($C812)&gt;dbe_esikFark,"YUKSEK","NORMAL"))</f>
        <v/>
      </c>
      <c r="F812" s="16">
        <f>IF($B812&lt;&gt;"tutar_farki","","Belge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IF($B813&lt;&gt;"tutar_farki","",IF(ABS($C813)&gt;dbe_esikFark,"YUKSEK","NORMAL"))</f>
        <v/>
      </c>
      <c r="F813" s="16">
        <f>IF($B813&lt;&gt;"tutar_farki","","Belge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IF($B814&lt;&gt;"tutar_farki","",IF(ABS($C814)&gt;dbe_esikFark,"YUKSEK","NORMAL"))</f>
        <v/>
      </c>
      <c r="F814" s="16">
        <f>IF($B814&lt;&gt;"tutar_farki","","Belge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IF($B815&lt;&gt;"tutar_farki","",IF(ABS($C815)&gt;dbe_esikFark,"YUKSEK","NORMAL"))</f>
        <v/>
      </c>
      <c r="F815" s="16">
        <f>IF($B815&lt;&gt;"tutar_farki","","Belge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IF($B816&lt;&gt;"tutar_farki","",IF(ABS($C816)&gt;dbe_esikFark,"YUKSEK","NORMAL"))</f>
        <v/>
      </c>
      <c r="F816" s="16">
        <f>IF($B816&lt;&gt;"tutar_farki","","Belge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IF($B817&lt;&gt;"tutar_farki","",IF(ABS($C817)&gt;dbe_esikFark,"YUKSEK","NORMAL"))</f>
        <v/>
      </c>
      <c r="F817" s="16">
        <f>IF($B817&lt;&gt;"tutar_farki","","Belge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IF($B818&lt;&gt;"tutar_farki","",IF(ABS($C818)&gt;dbe_esikFark,"YUKSEK","NORMAL"))</f>
        <v/>
      </c>
      <c r="F818" s="16">
        <f>IF($B818&lt;&gt;"tutar_farki","","Belge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IF($B819&lt;&gt;"tutar_farki","",IF(ABS($C819)&gt;dbe_esikFark,"YUKSEK","NORMAL"))</f>
        <v/>
      </c>
      <c r="F819" s="16">
        <f>IF($B819&lt;&gt;"tutar_farki","","Belge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IF($B820&lt;&gt;"tutar_farki","",IF(ABS($C820)&gt;dbe_esikFark,"YUKSEK","NORMAL"))</f>
        <v/>
      </c>
      <c r="F820" s="16">
        <f>IF($B820&lt;&gt;"tutar_farki","","Belge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IF($B821&lt;&gt;"tutar_farki","",IF(ABS($C821)&gt;dbe_esikFark,"YUKSEK","NORMAL"))</f>
        <v/>
      </c>
      <c r="F821" s="16">
        <f>IF($B821&lt;&gt;"tutar_farki","","Belge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IF($B822&lt;&gt;"tutar_farki","",IF(ABS($C822)&gt;dbe_esikFark,"YUKSEK","NORMAL"))</f>
        <v/>
      </c>
      <c r="F822" s="16">
        <f>IF($B822&lt;&gt;"tutar_farki","","Belge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IF($B823&lt;&gt;"tutar_farki","",IF(ABS($C823)&gt;dbe_esikFark,"YUKSEK","NORMAL"))</f>
        <v/>
      </c>
      <c r="F823" s="16">
        <f>IF($B823&lt;&gt;"tutar_farki","","Belge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IF($B824&lt;&gt;"tutar_farki","",IF(ABS($C824)&gt;dbe_esikFark,"YUKSEK","NORMAL"))</f>
        <v/>
      </c>
      <c r="F824" s="16">
        <f>IF($B824&lt;&gt;"tutar_farki","","Belge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IF($B825&lt;&gt;"tutar_farki","",IF(ABS($C825)&gt;dbe_esikFark,"YUKSEK","NORMAL"))</f>
        <v/>
      </c>
      <c r="F825" s="16">
        <f>IF($B825&lt;&gt;"tutar_farki","","Belge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IF($B826&lt;&gt;"tutar_farki","",IF(ABS($C826)&gt;dbe_esikFark,"YUKSEK","NORMAL"))</f>
        <v/>
      </c>
      <c r="F826" s="16">
        <f>IF($B826&lt;&gt;"tutar_farki","","Belge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IF($B827&lt;&gt;"tutar_farki","",IF(ABS($C827)&gt;dbe_esikFark,"YUKSEK","NORMAL"))</f>
        <v/>
      </c>
      <c r="F827" s="16">
        <f>IF($B827&lt;&gt;"tutar_farki","","Belge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IF($B828&lt;&gt;"tutar_farki","",IF(ABS($C828)&gt;dbe_esikFark,"YUKSEK","NORMAL"))</f>
        <v/>
      </c>
      <c r="F828" s="16">
        <f>IF($B828&lt;&gt;"tutar_farki","","Belge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IF($B829&lt;&gt;"tutar_farki","",IF(ABS($C829)&gt;dbe_esikFark,"YUKSEK","NORMAL"))</f>
        <v/>
      </c>
      <c r="F829" s="16">
        <f>IF($B829&lt;&gt;"tutar_farki","","Belge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IF($B830&lt;&gt;"tutar_farki","",IF(ABS($C830)&gt;dbe_esikFark,"YUKSEK","NORMAL"))</f>
        <v/>
      </c>
      <c r="F830" s="16">
        <f>IF($B830&lt;&gt;"tutar_farki","","Belge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IF($B831&lt;&gt;"tutar_farki","",IF(ABS($C831)&gt;dbe_esikFark,"YUKSEK","NORMAL"))</f>
        <v/>
      </c>
      <c r="F831" s="16">
        <f>IF($B831&lt;&gt;"tutar_farki","","Belge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IF($B832&lt;&gt;"tutar_farki","",IF(ABS($C832)&gt;dbe_esikFark,"YUKSEK","NORMAL"))</f>
        <v/>
      </c>
      <c r="F832" s="16">
        <f>IF($B832&lt;&gt;"tutar_farki","","Belge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IF($B833&lt;&gt;"tutar_farki","",IF(ABS($C833)&gt;dbe_esikFark,"YUKSEK","NORMAL"))</f>
        <v/>
      </c>
      <c r="F833" s="16">
        <f>IF($B833&lt;&gt;"tutar_farki","","Belge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IF($B834&lt;&gt;"tutar_farki","",IF(ABS($C834)&gt;dbe_esikFark,"YUKSEK","NORMAL"))</f>
        <v/>
      </c>
      <c r="F834" s="16">
        <f>IF($B834&lt;&gt;"tutar_farki","","Belge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IF($B835&lt;&gt;"tutar_farki","",IF(ABS($C835)&gt;dbe_esikFark,"YUKSEK","NORMAL"))</f>
        <v/>
      </c>
      <c r="F835" s="16">
        <f>IF($B835&lt;&gt;"tutar_farki","","Belge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IF($B836&lt;&gt;"tutar_farki","",IF(ABS($C836)&gt;dbe_esikFark,"YUKSEK","NORMAL"))</f>
        <v/>
      </c>
      <c r="F836" s="16">
        <f>IF($B836&lt;&gt;"tutar_farki","","Belge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IF($B837&lt;&gt;"tutar_farki","",IF(ABS($C837)&gt;dbe_esikFark,"YUKSEK","NORMAL"))</f>
        <v/>
      </c>
      <c r="F837" s="16">
        <f>IF($B837&lt;&gt;"tutar_farki","","Belge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IF($B838&lt;&gt;"tutar_farki","",IF(ABS($C838)&gt;dbe_esikFark,"YUKSEK","NORMAL"))</f>
        <v/>
      </c>
      <c r="F838" s="16">
        <f>IF($B838&lt;&gt;"tutar_farki","","Belge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IF($B839&lt;&gt;"tutar_farki","",IF(ABS($C839)&gt;dbe_esikFark,"YUKSEK","NORMAL"))</f>
        <v/>
      </c>
      <c r="F839" s="16">
        <f>IF($B839&lt;&gt;"tutar_farki","","Belge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IF($B840&lt;&gt;"tutar_farki","",IF(ABS($C840)&gt;dbe_esikFark,"YUKSEK","NORMAL"))</f>
        <v/>
      </c>
      <c r="F840" s="16">
        <f>IF($B840&lt;&gt;"tutar_farki","","Belge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IF($B841&lt;&gt;"tutar_farki","",IF(ABS($C841)&gt;dbe_esikFark,"YUKSEK","NORMAL"))</f>
        <v/>
      </c>
      <c r="F841" s="16">
        <f>IF($B841&lt;&gt;"tutar_farki","","Belge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IF($B842&lt;&gt;"tutar_farki","",IF(ABS($C842)&gt;dbe_esikFark,"YUKSEK","NORMAL"))</f>
        <v/>
      </c>
      <c r="F842" s="16">
        <f>IF($B842&lt;&gt;"tutar_farki","","Belge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IF($B843&lt;&gt;"tutar_farki","",IF(ABS($C843)&gt;dbe_esikFark,"YUKSEK","NORMAL"))</f>
        <v/>
      </c>
      <c r="F843" s="16">
        <f>IF($B843&lt;&gt;"tutar_farki","","Belge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IF($B844&lt;&gt;"tutar_farki","",IF(ABS($C844)&gt;dbe_esikFark,"YUKSEK","NORMAL"))</f>
        <v/>
      </c>
      <c r="F844" s="16">
        <f>IF($B844&lt;&gt;"tutar_farki","","Belge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IF($B845&lt;&gt;"tutar_farki","",IF(ABS($C845)&gt;dbe_esikFark,"YUKSEK","NORMAL"))</f>
        <v/>
      </c>
      <c r="F845" s="16">
        <f>IF($B845&lt;&gt;"tutar_farki","","Belge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IF($B846&lt;&gt;"tutar_farki","",IF(ABS($C846)&gt;dbe_esikFark,"YUKSEK","NORMAL"))</f>
        <v/>
      </c>
      <c r="F846" s="16">
        <f>IF($B846&lt;&gt;"tutar_farki","","Belge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IF($B847&lt;&gt;"tutar_farki","",IF(ABS($C847)&gt;dbe_esikFark,"YUKSEK","NORMAL"))</f>
        <v/>
      </c>
      <c r="F847" s="16">
        <f>IF($B847&lt;&gt;"tutar_farki","","Belge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IF($B848&lt;&gt;"tutar_farki","",IF(ABS($C848)&gt;dbe_esikFark,"YUKSEK","NORMAL"))</f>
        <v/>
      </c>
      <c r="F848" s="16">
        <f>IF($B848&lt;&gt;"tutar_farki","","Belge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IF($B849&lt;&gt;"tutar_farki","",IF(ABS($C849)&gt;dbe_esikFark,"YUKSEK","NORMAL"))</f>
        <v/>
      </c>
      <c r="F849" s="16">
        <f>IF($B849&lt;&gt;"tutar_farki","","Belge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IF($B850&lt;&gt;"tutar_farki","",IF(ABS($C850)&gt;dbe_esikFark,"YUKSEK","NORMAL"))</f>
        <v/>
      </c>
      <c r="F850" s="16">
        <f>IF($B850&lt;&gt;"tutar_farki","","Belge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IF($B851&lt;&gt;"tutar_farki","",IF(ABS($C851)&gt;dbe_esikFark,"YUKSEK","NORMAL"))</f>
        <v/>
      </c>
      <c r="F851" s="16">
        <f>IF($B851&lt;&gt;"tutar_farki","","Belge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IF($B852&lt;&gt;"tutar_farki","",IF(ABS($C852)&gt;dbe_esikFark,"YUKSEK","NORMAL"))</f>
        <v/>
      </c>
      <c r="F852" s="16">
        <f>IF($B852&lt;&gt;"tutar_farki","","Belge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IF($B853&lt;&gt;"tutar_farki","",IF(ABS($C853)&gt;dbe_esikFark,"YUKSEK","NORMAL"))</f>
        <v/>
      </c>
      <c r="F853" s="16">
        <f>IF($B853&lt;&gt;"tutar_farki","","Belge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IF($B854&lt;&gt;"tutar_farki","",IF(ABS($C854)&gt;dbe_esikFark,"YUKSEK","NORMAL"))</f>
        <v/>
      </c>
      <c r="F854" s="16">
        <f>IF($B854&lt;&gt;"tutar_farki","","Belge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IF($B855&lt;&gt;"tutar_farki","",IF(ABS($C855)&gt;dbe_esikFark,"YUKSEK","NORMAL"))</f>
        <v/>
      </c>
      <c r="F855" s="16">
        <f>IF($B855&lt;&gt;"tutar_farki","","Belge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IF($B856&lt;&gt;"tutar_farki","",IF(ABS($C856)&gt;dbe_esikFark,"YUKSEK","NORMAL"))</f>
        <v/>
      </c>
      <c r="F856" s="16">
        <f>IF($B856&lt;&gt;"tutar_farki","","Belge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IF($B857&lt;&gt;"tutar_farki","",IF(ABS($C857)&gt;dbe_esikFark,"YUKSEK","NORMAL"))</f>
        <v/>
      </c>
      <c r="F857" s="16">
        <f>IF($B857&lt;&gt;"tutar_farki","","Belge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IF($B858&lt;&gt;"tutar_farki","",IF(ABS($C858)&gt;dbe_esikFark,"YUKSEK","NORMAL"))</f>
        <v/>
      </c>
      <c r="F858" s="16">
        <f>IF($B858&lt;&gt;"tutar_farki","","Belge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IF($B859&lt;&gt;"tutar_farki","",IF(ABS($C859)&gt;dbe_esikFark,"YUKSEK","NORMAL"))</f>
        <v/>
      </c>
      <c r="F859" s="16">
        <f>IF($B859&lt;&gt;"tutar_farki","","Belge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IF($B860&lt;&gt;"tutar_farki","",IF(ABS($C860)&gt;dbe_esikFark,"YUKSEK","NORMAL"))</f>
        <v/>
      </c>
      <c r="F860" s="16">
        <f>IF($B860&lt;&gt;"tutar_farki","","Belge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IF($B861&lt;&gt;"tutar_farki","",IF(ABS($C861)&gt;dbe_esikFark,"YUKSEK","NORMAL"))</f>
        <v/>
      </c>
      <c r="F861" s="16">
        <f>IF($B861&lt;&gt;"tutar_farki","","Belge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IF($B862&lt;&gt;"tutar_farki","",IF(ABS($C862)&gt;dbe_esikFark,"YUKSEK","NORMAL"))</f>
        <v/>
      </c>
      <c r="F862" s="16">
        <f>IF($B862&lt;&gt;"tutar_farki","","Belge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IF($B863&lt;&gt;"tutar_farki","",IF(ABS($C863)&gt;dbe_esikFark,"YUKSEK","NORMAL"))</f>
        <v/>
      </c>
      <c r="F863" s="16">
        <f>IF($B863&lt;&gt;"tutar_farki","","Belge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IF($B864&lt;&gt;"tutar_farki","",IF(ABS($C864)&gt;dbe_esikFark,"YUKSEK","NORMAL"))</f>
        <v/>
      </c>
      <c r="F864" s="16">
        <f>IF($B864&lt;&gt;"tutar_farki","","Belge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IF($B865&lt;&gt;"tutar_farki","",IF(ABS($C865)&gt;dbe_esikFark,"YUKSEK","NORMAL"))</f>
        <v/>
      </c>
      <c r="F865" s="16">
        <f>IF($B865&lt;&gt;"tutar_farki","","Belge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IF($B866&lt;&gt;"tutar_farki","",IF(ABS($C866)&gt;dbe_esikFark,"YUKSEK","NORMAL"))</f>
        <v/>
      </c>
      <c r="F866" s="16">
        <f>IF($B866&lt;&gt;"tutar_farki","","Belge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IF($B867&lt;&gt;"tutar_farki","",IF(ABS($C867)&gt;dbe_esikFark,"YUKSEK","NORMAL"))</f>
        <v/>
      </c>
      <c r="F867" s="16">
        <f>IF($B867&lt;&gt;"tutar_farki","","Belge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IF($B868&lt;&gt;"tutar_farki","",IF(ABS($C868)&gt;dbe_esikFark,"YUKSEK","NORMAL"))</f>
        <v/>
      </c>
      <c r="F868" s="16">
        <f>IF($B868&lt;&gt;"tutar_farki","","Belge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IF($B869&lt;&gt;"tutar_farki","",IF(ABS($C869)&gt;dbe_esikFark,"YUKSEK","NORMAL"))</f>
        <v/>
      </c>
      <c r="F869" s="16">
        <f>IF($B869&lt;&gt;"tutar_farki","","Belge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IF($B870&lt;&gt;"tutar_farki","",IF(ABS($C870)&gt;dbe_esikFark,"YUKSEK","NORMAL"))</f>
        <v/>
      </c>
      <c r="F870" s="16">
        <f>IF($B870&lt;&gt;"tutar_farki","","Belge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IF($B871&lt;&gt;"tutar_farki","",IF(ABS($C871)&gt;dbe_esikFark,"YUKSEK","NORMAL"))</f>
        <v/>
      </c>
      <c r="F871" s="16">
        <f>IF($B871&lt;&gt;"tutar_farki","","Belge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IF($B872&lt;&gt;"tutar_farki","",IF(ABS($C872)&gt;dbe_esikFark,"YUKSEK","NORMAL"))</f>
        <v/>
      </c>
      <c r="F872" s="16">
        <f>IF($B872&lt;&gt;"tutar_farki","","Belge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IF($B873&lt;&gt;"tutar_farki","",IF(ABS($C873)&gt;dbe_esikFark,"YUKSEK","NORMAL"))</f>
        <v/>
      </c>
      <c r="F873" s="16">
        <f>IF($B873&lt;&gt;"tutar_farki","","Belge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IF($B874&lt;&gt;"tutar_farki","",IF(ABS($C874)&gt;dbe_esikFark,"YUKSEK","NORMAL"))</f>
        <v/>
      </c>
      <c r="F874" s="16">
        <f>IF($B874&lt;&gt;"tutar_farki","","Belge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IF($B875&lt;&gt;"tutar_farki","",IF(ABS($C875)&gt;dbe_esikFark,"YUKSEK","NORMAL"))</f>
        <v/>
      </c>
      <c r="F875" s="16">
        <f>IF($B875&lt;&gt;"tutar_farki","","Belge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IF($B876&lt;&gt;"tutar_farki","",IF(ABS($C876)&gt;dbe_esikFark,"YUKSEK","NORMAL"))</f>
        <v/>
      </c>
      <c r="F876" s="16">
        <f>IF($B876&lt;&gt;"tutar_farki","","Belge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IF($B877&lt;&gt;"tutar_farki","",IF(ABS($C877)&gt;dbe_esikFark,"YUKSEK","NORMAL"))</f>
        <v/>
      </c>
      <c r="F877" s="16">
        <f>IF($B877&lt;&gt;"tutar_farki","","Belge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IF($B878&lt;&gt;"tutar_farki","",IF(ABS($C878)&gt;dbe_esikFark,"YUKSEK","NORMAL"))</f>
        <v/>
      </c>
      <c r="F878" s="16">
        <f>IF($B878&lt;&gt;"tutar_farki","","Belge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IF($B879&lt;&gt;"tutar_farki","",IF(ABS($C879)&gt;dbe_esikFark,"YUKSEK","NORMAL"))</f>
        <v/>
      </c>
      <c r="F879" s="16">
        <f>IF($B879&lt;&gt;"tutar_farki","","Belge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IF($B880&lt;&gt;"tutar_farki","",IF(ABS($C880)&gt;dbe_esikFark,"YUKSEK","NORMAL"))</f>
        <v/>
      </c>
      <c r="F880" s="16">
        <f>IF($B880&lt;&gt;"tutar_farki","","Belge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IF($B881&lt;&gt;"tutar_farki","",IF(ABS($C881)&gt;dbe_esikFark,"YUKSEK","NORMAL"))</f>
        <v/>
      </c>
      <c r="F881" s="16">
        <f>IF($B881&lt;&gt;"tutar_farki","","Belge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IF($B882&lt;&gt;"tutar_farki","",IF(ABS($C882)&gt;dbe_esikFark,"YUKSEK","NORMAL"))</f>
        <v/>
      </c>
      <c r="F882" s="16">
        <f>IF($B882&lt;&gt;"tutar_farki","","Belge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IF($B883&lt;&gt;"tutar_farki","",IF(ABS($C883)&gt;dbe_esikFark,"YUKSEK","NORMAL"))</f>
        <v/>
      </c>
      <c r="F883" s="16">
        <f>IF($B883&lt;&gt;"tutar_farki","","Belge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IF($B884&lt;&gt;"tutar_farki","",IF(ABS($C884)&gt;dbe_esikFark,"YUKSEK","NORMAL"))</f>
        <v/>
      </c>
      <c r="F884" s="16">
        <f>IF($B884&lt;&gt;"tutar_farki","","Belge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IF($B885&lt;&gt;"tutar_farki","",IF(ABS($C885)&gt;dbe_esikFark,"YUKSEK","NORMAL"))</f>
        <v/>
      </c>
      <c r="F885" s="16">
        <f>IF($B885&lt;&gt;"tutar_farki","","Belge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IF($B886&lt;&gt;"tutar_farki","",IF(ABS($C886)&gt;dbe_esikFark,"YUKSEK","NORMAL"))</f>
        <v/>
      </c>
      <c r="F886" s="16">
        <f>IF($B886&lt;&gt;"tutar_farki","","Belge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IF($B887&lt;&gt;"tutar_farki","",IF(ABS($C887)&gt;dbe_esikFark,"YUKSEK","NORMAL"))</f>
        <v/>
      </c>
      <c r="F887" s="16">
        <f>IF($B887&lt;&gt;"tutar_farki","","Belge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IF($B888&lt;&gt;"tutar_farki","",IF(ABS($C888)&gt;dbe_esikFark,"YUKSEK","NORMAL"))</f>
        <v/>
      </c>
      <c r="F888" s="16">
        <f>IF($B888&lt;&gt;"tutar_farki","","Belge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IF($B889&lt;&gt;"tutar_farki","",IF(ABS($C889)&gt;dbe_esikFark,"YUKSEK","NORMAL"))</f>
        <v/>
      </c>
      <c r="F889" s="16">
        <f>IF($B889&lt;&gt;"tutar_farki","","Belge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IF($B890&lt;&gt;"tutar_farki","",IF(ABS($C890)&gt;dbe_esikFark,"YUKSEK","NORMAL"))</f>
        <v/>
      </c>
      <c r="F890" s="16">
        <f>IF($B890&lt;&gt;"tutar_farki","","Belge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IF($B891&lt;&gt;"tutar_farki","",IF(ABS($C891)&gt;dbe_esikFark,"YUKSEK","NORMAL"))</f>
        <v/>
      </c>
      <c r="F891" s="16">
        <f>IF($B891&lt;&gt;"tutar_farki","","Belge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IF($B892&lt;&gt;"tutar_farki","",IF(ABS($C892)&gt;dbe_esikFark,"YUKSEK","NORMAL"))</f>
        <v/>
      </c>
      <c r="F892" s="16">
        <f>IF($B892&lt;&gt;"tutar_farki","","Belge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IF($B893&lt;&gt;"tutar_farki","",IF(ABS($C893)&gt;dbe_esikFark,"YUKSEK","NORMAL"))</f>
        <v/>
      </c>
      <c r="F893" s="16">
        <f>IF($B893&lt;&gt;"tutar_farki","","Belge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IF($B894&lt;&gt;"tutar_farki","",IF(ABS($C894)&gt;dbe_esikFark,"YUKSEK","NORMAL"))</f>
        <v/>
      </c>
      <c r="F894" s="16">
        <f>IF($B894&lt;&gt;"tutar_farki","","Belge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IF($B895&lt;&gt;"tutar_farki","",IF(ABS($C895)&gt;dbe_esikFark,"YUKSEK","NORMAL"))</f>
        <v/>
      </c>
      <c r="F895" s="16">
        <f>IF($B895&lt;&gt;"tutar_farki","","Belge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IF($B896&lt;&gt;"tutar_farki","",IF(ABS($C896)&gt;dbe_esikFark,"YUKSEK","NORMAL"))</f>
        <v/>
      </c>
      <c r="F896" s="16">
        <f>IF($B896&lt;&gt;"tutar_farki","","Belge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IF($B897&lt;&gt;"tutar_farki","",IF(ABS($C897)&gt;dbe_esikFark,"YUKSEK","NORMAL"))</f>
        <v/>
      </c>
      <c r="F897" s="16">
        <f>IF($B897&lt;&gt;"tutar_farki","","Belge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IF($B898&lt;&gt;"tutar_farki","",IF(ABS($C898)&gt;dbe_esikFark,"YUKSEK","NORMAL"))</f>
        <v/>
      </c>
      <c r="F898" s="16">
        <f>IF($B898&lt;&gt;"tutar_farki","","Belge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IF($B899&lt;&gt;"tutar_farki","",IF(ABS($C899)&gt;dbe_esikFark,"YUKSEK","NORMAL"))</f>
        <v/>
      </c>
      <c r="F899" s="16">
        <f>IF($B899&lt;&gt;"tutar_farki","","Belge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IF($B900&lt;&gt;"tutar_farki","",IF(ABS($C900)&gt;dbe_esikFark,"YUKSEK","NORMAL"))</f>
        <v/>
      </c>
      <c r="F900" s="16">
        <f>IF($B900&lt;&gt;"tutar_farki","","Belge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IF($B901&lt;&gt;"tutar_farki","",IF(ABS($C901)&gt;dbe_esikFark,"YUKSEK","NORMAL"))</f>
        <v/>
      </c>
      <c r="F901" s="16">
        <f>IF($B901&lt;&gt;"tutar_farki","","Belge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IF($B902&lt;&gt;"tutar_farki","",IF(ABS($C902)&gt;dbe_esikFark,"YUKSEK","NORMAL"))</f>
        <v/>
      </c>
      <c r="F902" s="16">
        <f>IF($B902&lt;&gt;"tutar_farki","","Belge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IF($B903&lt;&gt;"tutar_farki","",IF(ABS($C903)&gt;dbe_esikFark,"YUKSEK","NORMAL"))</f>
        <v/>
      </c>
      <c r="F903" s="16">
        <f>IF($B903&lt;&gt;"tutar_farki","","Belge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IF($B904&lt;&gt;"tutar_farki","",IF(ABS($C904)&gt;dbe_esikFark,"YUKSEK","NORMAL"))</f>
        <v/>
      </c>
      <c r="F904" s="16">
        <f>IF($B904&lt;&gt;"tutar_farki","","Belge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IF($B905&lt;&gt;"tutar_farki","",IF(ABS($C905)&gt;dbe_esikFark,"YUKSEK","NORMAL"))</f>
        <v/>
      </c>
      <c r="F905" s="16">
        <f>IF($B905&lt;&gt;"tutar_farki","","Belge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IF($B906&lt;&gt;"tutar_farki","",IF(ABS($C906)&gt;dbe_esikFark,"YUKSEK","NORMAL"))</f>
        <v/>
      </c>
      <c r="F906" s="16">
        <f>IF($B906&lt;&gt;"tutar_farki","","Belge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IF($B907&lt;&gt;"tutar_farki","",IF(ABS($C907)&gt;dbe_esikFark,"YUKSEK","NORMAL"))</f>
        <v/>
      </c>
      <c r="F907" s="16">
        <f>IF($B907&lt;&gt;"tutar_farki","","Belge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IF($B908&lt;&gt;"tutar_farki","",IF(ABS($C908)&gt;dbe_esikFark,"YUKSEK","NORMAL"))</f>
        <v/>
      </c>
      <c r="F908" s="16">
        <f>IF($B908&lt;&gt;"tutar_farki","","Belge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IF($B909&lt;&gt;"tutar_farki","",IF(ABS($C909)&gt;dbe_esikFark,"YUKSEK","NORMAL"))</f>
        <v/>
      </c>
      <c r="F909" s="16">
        <f>IF($B909&lt;&gt;"tutar_farki","","Belge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IF($B910&lt;&gt;"tutar_farki","",IF(ABS($C910)&gt;dbe_esikFark,"YUKSEK","NORMAL"))</f>
        <v/>
      </c>
      <c r="F910" s="16">
        <f>IF($B910&lt;&gt;"tutar_farki","","Belge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IF($B911&lt;&gt;"tutar_farki","",IF(ABS($C911)&gt;dbe_esikFark,"YUKSEK","NORMAL"))</f>
        <v/>
      </c>
      <c r="F911" s="16">
        <f>IF($B911&lt;&gt;"tutar_farki","","Belge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IF($B912&lt;&gt;"tutar_farki","",IF(ABS($C912)&gt;dbe_esikFark,"YUKSEK","NORMAL"))</f>
        <v/>
      </c>
      <c r="F912" s="16">
        <f>IF($B912&lt;&gt;"tutar_farki","","Belge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IF($B913&lt;&gt;"tutar_farki","",IF(ABS($C913)&gt;dbe_esikFark,"YUKSEK","NORMAL"))</f>
        <v/>
      </c>
      <c r="F913" s="16">
        <f>IF($B913&lt;&gt;"tutar_farki","","Belge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IF($B914&lt;&gt;"tutar_farki","",IF(ABS($C914)&gt;dbe_esikFark,"YUKSEK","NORMAL"))</f>
        <v/>
      </c>
      <c r="F914" s="16">
        <f>IF($B914&lt;&gt;"tutar_farki","","Belge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IF($B915&lt;&gt;"tutar_farki","",IF(ABS($C915)&gt;dbe_esikFark,"YUKSEK","NORMAL"))</f>
        <v/>
      </c>
      <c r="F915" s="16">
        <f>IF($B915&lt;&gt;"tutar_farki","","Belge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IF($B916&lt;&gt;"tutar_farki","",IF(ABS($C916)&gt;dbe_esikFark,"YUKSEK","NORMAL"))</f>
        <v/>
      </c>
      <c r="F916" s="16">
        <f>IF($B916&lt;&gt;"tutar_farki","","Belge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IF($B917&lt;&gt;"tutar_farki","",IF(ABS($C917)&gt;dbe_esikFark,"YUKSEK","NORMAL"))</f>
        <v/>
      </c>
      <c r="F917" s="16">
        <f>IF($B917&lt;&gt;"tutar_farki","","Belge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IF($B918&lt;&gt;"tutar_farki","",IF(ABS($C918)&gt;dbe_esikFark,"YUKSEK","NORMAL"))</f>
        <v/>
      </c>
      <c r="F918" s="16">
        <f>IF($B918&lt;&gt;"tutar_farki","","Belge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IF($B919&lt;&gt;"tutar_farki","",IF(ABS($C919)&gt;dbe_esikFark,"YUKSEK","NORMAL"))</f>
        <v/>
      </c>
      <c r="F919" s="16">
        <f>IF($B919&lt;&gt;"tutar_farki","","Belge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IF($B920&lt;&gt;"tutar_farki","",IF(ABS($C920)&gt;dbe_esikFark,"YUKSEK","NORMAL"))</f>
        <v/>
      </c>
      <c r="F920" s="16">
        <f>IF($B920&lt;&gt;"tutar_farki","","Belge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IF($B921&lt;&gt;"tutar_farki","",IF(ABS($C921)&gt;dbe_esikFark,"YUKSEK","NORMAL"))</f>
        <v/>
      </c>
      <c r="F921" s="16">
        <f>IF($B921&lt;&gt;"tutar_farki","","Belge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IF($B922&lt;&gt;"tutar_farki","",IF(ABS($C922)&gt;dbe_esikFark,"YUKSEK","NORMAL"))</f>
        <v/>
      </c>
      <c r="F922" s="16">
        <f>IF($B922&lt;&gt;"tutar_farki","","Belge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IF($B923&lt;&gt;"tutar_farki","",IF(ABS($C923)&gt;dbe_esikFark,"YUKSEK","NORMAL"))</f>
        <v/>
      </c>
      <c r="F923" s="16">
        <f>IF($B923&lt;&gt;"tutar_farki","","Belge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IF($B924&lt;&gt;"tutar_farki","",IF(ABS($C924)&gt;dbe_esikFark,"YUKSEK","NORMAL"))</f>
        <v/>
      </c>
      <c r="F924" s="16">
        <f>IF($B924&lt;&gt;"tutar_farki","","Belge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IF($B925&lt;&gt;"tutar_farki","",IF(ABS($C925)&gt;dbe_esikFark,"YUKSEK","NORMAL"))</f>
        <v/>
      </c>
      <c r="F925" s="16">
        <f>IF($B925&lt;&gt;"tutar_farki","","Belge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IF($B926&lt;&gt;"tutar_farki","",IF(ABS($C926)&gt;dbe_esikFark,"YUKSEK","NORMAL"))</f>
        <v/>
      </c>
      <c r="F926" s="16">
        <f>IF($B926&lt;&gt;"tutar_farki","","Belge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IF($B927&lt;&gt;"tutar_farki","",IF(ABS($C927)&gt;dbe_esikFark,"YUKSEK","NORMAL"))</f>
        <v/>
      </c>
      <c r="F927" s="16">
        <f>IF($B927&lt;&gt;"tutar_farki","","Belge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IF($B928&lt;&gt;"tutar_farki","",IF(ABS($C928)&gt;dbe_esikFark,"YUKSEK","NORMAL"))</f>
        <v/>
      </c>
      <c r="F928" s="16">
        <f>IF($B928&lt;&gt;"tutar_farki","","Belge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IF($B929&lt;&gt;"tutar_farki","",IF(ABS($C929)&gt;dbe_esikFark,"YUKSEK","NORMAL"))</f>
        <v/>
      </c>
      <c r="F929" s="16">
        <f>IF($B929&lt;&gt;"tutar_farki","","Belge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IF($B930&lt;&gt;"tutar_farki","",IF(ABS($C930)&gt;dbe_esikFark,"YUKSEK","NORMAL"))</f>
        <v/>
      </c>
      <c r="F930" s="16">
        <f>IF($B930&lt;&gt;"tutar_farki","","Belge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IF($B931&lt;&gt;"tutar_farki","",IF(ABS($C931)&gt;dbe_esikFark,"YUKSEK","NORMAL"))</f>
        <v/>
      </c>
      <c r="F931" s="16">
        <f>IF($B931&lt;&gt;"tutar_farki","","Belge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IF($B932&lt;&gt;"tutar_farki","",IF(ABS($C932)&gt;dbe_esikFark,"YUKSEK","NORMAL"))</f>
        <v/>
      </c>
      <c r="F932" s="16">
        <f>IF($B932&lt;&gt;"tutar_farki","","Belge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IF($B933&lt;&gt;"tutar_farki","",IF(ABS($C933)&gt;dbe_esikFark,"YUKSEK","NORMAL"))</f>
        <v/>
      </c>
      <c r="F933" s="16">
        <f>IF($B933&lt;&gt;"tutar_farki","","Belge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IF($B934&lt;&gt;"tutar_farki","",IF(ABS($C934)&gt;dbe_esikFark,"YUKSEK","NORMAL"))</f>
        <v/>
      </c>
      <c r="F934" s="16">
        <f>IF($B934&lt;&gt;"tutar_farki","","Belge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IF($B935&lt;&gt;"tutar_farki","",IF(ABS($C935)&gt;dbe_esikFark,"YUKSEK","NORMAL"))</f>
        <v/>
      </c>
      <c r="F935" s="16">
        <f>IF($B935&lt;&gt;"tutar_farki","","Belge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IF($B936&lt;&gt;"tutar_farki","",IF(ABS($C936)&gt;dbe_esikFark,"YUKSEK","NORMAL"))</f>
        <v/>
      </c>
      <c r="F936" s="16">
        <f>IF($B936&lt;&gt;"tutar_farki","","Belge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IF($B937&lt;&gt;"tutar_farki","",IF(ABS($C937)&gt;dbe_esikFark,"YUKSEK","NORMAL"))</f>
        <v/>
      </c>
      <c r="F937" s="16">
        <f>IF($B937&lt;&gt;"tutar_farki","","Belge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IF($B938&lt;&gt;"tutar_farki","",IF(ABS($C938)&gt;dbe_esikFark,"YUKSEK","NORMAL"))</f>
        <v/>
      </c>
      <c r="F938" s="16">
        <f>IF($B938&lt;&gt;"tutar_farki","","Belge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IF($B939&lt;&gt;"tutar_farki","",IF(ABS($C939)&gt;dbe_esikFark,"YUKSEK","NORMAL"))</f>
        <v/>
      </c>
      <c r="F939" s="16">
        <f>IF($B939&lt;&gt;"tutar_farki","","Belge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IF($B940&lt;&gt;"tutar_farki","",IF(ABS($C940)&gt;dbe_esikFark,"YUKSEK","NORMAL"))</f>
        <v/>
      </c>
      <c r="F940" s="16">
        <f>IF($B940&lt;&gt;"tutar_farki","","Belge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IF($B941&lt;&gt;"tutar_farki","",IF(ABS($C941)&gt;dbe_esikFark,"YUKSEK","NORMAL"))</f>
        <v/>
      </c>
      <c r="F941" s="16">
        <f>IF($B941&lt;&gt;"tutar_farki","","Belge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IF($B942&lt;&gt;"tutar_farki","",IF(ABS($C942)&gt;dbe_esikFark,"YUKSEK","NORMAL"))</f>
        <v/>
      </c>
      <c r="F942" s="16">
        <f>IF($B942&lt;&gt;"tutar_farki","","Belge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IF($B943&lt;&gt;"tutar_farki","",IF(ABS($C943)&gt;dbe_esikFark,"YUKSEK","NORMAL"))</f>
        <v/>
      </c>
      <c r="F943" s="16">
        <f>IF($B943&lt;&gt;"tutar_farki","","Belge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IF($B944&lt;&gt;"tutar_farki","",IF(ABS($C944)&gt;dbe_esikFark,"YUKSEK","NORMAL"))</f>
        <v/>
      </c>
      <c r="F944" s="16">
        <f>IF($B944&lt;&gt;"tutar_farki","","Belge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IF($B945&lt;&gt;"tutar_farki","",IF(ABS($C945)&gt;dbe_esikFark,"YUKSEK","NORMAL"))</f>
        <v/>
      </c>
      <c r="F945" s="16">
        <f>IF($B945&lt;&gt;"tutar_farki","","Belge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IF($B946&lt;&gt;"tutar_farki","",IF(ABS($C946)&gt;dbe_esikFark,"YUKSEK","NORMAL"))</f>
        <v/>
      </c>
      <c r="F946" s="16">
        <f>IF($B946&lt;&gt;"tutar_farki","","Belge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IF($B947&lt;&gt;"tutar_farki","",IF(ABS($C947)&gt;dbe_esikFark,"YUKSEK","NORMAL"))</f>
        <v/>
      </c>
      <c r="F947" s="16">
        <f>IF($B947&lt;&gt;"tutar_farki","","Belge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IF($B948&lt;&gt;"tutar_farki","",IF(ABS($C948)&gt;dbe_esikFark,"YUKSEK","NORMAL"))</f>
        <v/>
      </c>
      <c r="F948" s="16">
        <f>IF($B948&lt;&gt;"tutar_farki","","Belge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IF($B949&lt;&gt;"tutar_farki","",IF(ABS($C949)&gt;dbe_esikFark,"YUKSEK","NORMAL"))</f>
        <v/>
      </c>
      <c r="F949" s="16">
        <f>IF($B949&lt;&gt;"tutar_farki","","Belge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IF($B950&lt;&gt;"tutar_farki","",IF(ABS($C950)&gt;dbe_esikFark,"YUKSEK","NORMAL"))</f>
        <v/>
      </c>
      <c r="F950" s="16">
        <f>IF($B950&lt;&gt;"tutar_farki","","Belge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IF($B951&lt;&gt;"tutar_farki","",IF(ABS($C951)&gt;dbe_esikFark,"YUKSEK","NORMAL"))</f>
        <v/>
      </c>
      <c r="F951" s="16">
        <f>IF($B951&lt;&gt;"tutar_farki","","Belge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IF($B952&lt;&gt;"tutar_farki","",IF(ABS($C952)&gt;dbe_esikFark,"YUKSEK","NORMAL"))</f>
        <v/>
      </c>
      <c r="F952" s="16">
        <f>IF($B952&lt;&gt;"tutar_farki","","Belge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IF($B953&lt;&gt;"tutar_farki","",IF(ABS($C953)&gt;dbe_esikFark,"YUKSEK","NORMAL"))</f>
        <v/>
      </c>
      <c r="F953" s="16">
        <f>IF($B953&lt;&gt;"tutar_farki","","Belge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IF($B954&lt;&gt;"tutar_farki","",IF(ABS($C954)&gt;dbe_esikFark,"YUKSEK","NORMAL"))</f>
        <v/>
      </c>
      <c r="F954" s="16">
        <f>IF($B954&lt;&gt;"tutar_farki","","Belge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IF($B955&lt;&gt;"tutar_farki","",IF(ABS($C955)&gt;dbe_esikFark,"YUKSEK","NORMAL"))</f>
        <v/>
      </c>
      <c r="F955" s="16">
        <f>IF($B955&lt;&gt;"tutar_farki","","Belge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IF($B956&lt;&gt;"tutar_farki","",IF(ABS($C956)&gt;dbe_esikFark,"YUKSEK","NORMAL"))</f>
        <v/>
      </c>
      <c r="F956" s="16">
        <f>IF($B956&lt;&gt;"tutar_farki","","Belge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IF($B957&lt;&gt;"tutar_farki","",IF(ABS($C957)&gt;dbe_esikFark,"YUKSEK","NORMAL"))</f>
        <v/>
      </c>
      <c r="F957" s="16">
        <f>IF($B957&lt;&gt;"tutar_farki","","Belge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IF($B958&lt;&gt;"tutar_farki","",IF(ABS($C958)&gt;dbe_esikFark,"YUKSEK","NORMAL"))</f>
        <v/>
      </c>
      <c r="F958" s="16">
        <f>IF($B958&lt;&gt;"tutar_farki","","Belge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IF($B959&lt;&gt;"tutar_farki","",IF(ABS($C959)&gt;dbe_esikFark,"YUKSEK","NORMAL"))</f>
        <v/>
      </c>
      <c r="F959" s="16">
        <f>IF($B959&lt;&gt;"tutar_farki","","Belge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IF($B960&lt;&gt;"tutar_farki","",IF(ABS($C960)&gt;dbe_esikFark,"YUKSEK","NORMAL"))</f>
        <v/>
      </c>
      <c r="F960" s="16">
        <f>IF($B960&lt;&gt;"tutar_farki","","Belge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IF($B961&lt;&gt;"tutar_farki","",IF(ABS($C961)&gt;dbe_esikFark,"YUKSEK","NORMAL"))</f>
        <v/>
      </c>
      <c r="F961" s="16">
        <f>IF($B961&lt;&gt;"tutar_farki","","Belge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IF($B962&lt;&gt;"tutar_farki","",IF(ABS($C962)&gt;dbe_esikFark,"YUKSEK","NORMAL"))</f>
        <v/>
      </c>
      <c r="F962" s="16">
        <f>IF($B962&lt;&gt;"tutar_farki","","Belge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IF($B963&lt;&gt;"tutar_farki","",IF(ABS($C963)&gt;dbe_esikFark,"YUKSEK","NORMAL"))</f>
        <v/>
      </c>
      <c r="F963" s="16">
        <f>IF($B963&lt;&gt;"tutar_farki","","Belge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IF($B964&lt;&gt;"tutar_farki","",IF(ABS($C964)&gt;dbe_esikFark,"YUKSEK","NORMAL"))</f>
        <v/>
      </c>
      <c r="F964" s="16">
        <f>IF($B964&lt;&gt;"tutar_farki","","Belge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IF($B965&lt;&gt;"tutar_farki","",IF(ABS($C965)&gt;dbe_esikFark,"YUKSEK","NORMAL"))</f>
        <v/>
      </c>
      <c r="F965" s="16">
        <f>IF($B965&lt;&gt;"tutar_farki","","Belge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IF($B966&lt;&gt;"tutar_farki","",IF(ABS($C966)&gt;dbe_esikFark,"YUKSEK","NORMAL"))</f>
        <v/>
      </c>
      <c r="F966" s="16">
        <f>IF($B966&lt;&gt;"tutar_farki","","Belge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IF($B967&lt;&gt;"tutar_farki","",IF(ABS($C967)&gt;dbe_esikFark,"YUKSEK","NORMAL"))</f>
        <v/>
      </c>
      <c r="F967" s="16">
        <f>IF($B967&lt;&gt;"tutar_farki","","Belge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IF($B968&lt;&gt;"tutar_farki","",IF(ABS($C968)&gt;dbe_esikFark,"YUKSEK","NORMAL"))</f>
        <v/>
      </c>
      <c r="F968" s="16">
        <f>IF($B968&lt;&gt;"tutar_farki","","Belge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IF($B969&lt;&gt;"tutar_farki","",IF(ABS($C969)&gt;dbe_esikFark,"YUKSEK","NORMAL"))</f>
        <v/>
      </c>
      <c r="F969" s="16">
        <f>IF($B969&lt;&gt;"tutar_farki","","Belge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IF($B970&lt;&gt;"tutar_farki","",IF(ABS($C970)&gt;dbe_esikFark,"YUKSEK","NORMAL"))</f>
        <v/>
      </c>
      <c r="F970" s="16">
        <f>IF($B970&lt;&gt;"tutar_farki","","Belge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IF($B971&lt;&gt;"tutar_farki","",IF(ABS($C971)&gt;dbe_esikFark,"YUKSEK","NORMAL"))</f>
        <v/>
      </c>
      <c r="F971" s="16">
        <f>IF($B971&lt;&gt;"tutar_farki","","Belge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IF($B972&lt;&gt;"tutar_farki","",IF(ABS($C972)&gt;dbe_esikFark,"YUKSEK","NORMAL"))</f>
        <v/>
      </c>
      <c r="F972" s="16">
        <f>IF($B972&lt;&gt;"tutar_farki","","Belge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IF($B973&lt;&gt;"tutar_farki","",IF(ABS($C973)&gt;dbe_esikFark,"YUKSEK","NORMAL"))</f>
        <v/>
      </c>
      <c r="F973" s="16">
        <f>IF($B973&lt;&gt;"tutar_farki","","Belge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IF($B974&lt;&gt;"tutar_farki","",IF(ABS($C974)&gt;dbe_esikFark,"YUKSEK","NORMAL"))</f>
        <v/>
      </c>
      <c r="F974" s="16">
        <f>IF($B974&lt;&gt;"tutar_farki","","Belge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IF($B975&lt;&gt;"tutar_farki","",IF(ABS($C975)&gt;dbe_esikFark,"YUKSEK","NORMAL"))</f>
        <v/>
      </c>
      <c r="F975" s="16">
        <f>IF($B975&lt;&gt;"tutar_farki","","Belge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IF($B976&lt;&gt;"tutar_farki","",IF(ABS($C976)&gt;dbe_esikFark,"YUKSEK","NORMAL"))</f>
        <v/>
      </c>
      <c r="F976" s="16">
        <f>IF($B976&lt;&gt;"tutar_farki","","Belge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IF($B977&lt;&gt;"tutar_farki","",IF(ABS($C977)&gt;dbe_esikFark,"YUKSEK","NORMAL"))</f>
        <v/>
      </c>
      <c r="F977" s="16">
        <f>IF($B977&lt;&gt;"tutar_farki","","Belge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IF($B978&lt;&gt;"tutar_farki","",IF(ABS($C978)&gt;dbe_esikFark,"YUKSEK","NORMAL"))</f>
        <v/>
      </c>
      <c r="F978" s="16">
        <f>IF($B978&lt;&gt;"tutar_farki","","Belge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IF($B979&lt;&gt;"tutar_farki","",IF(ABS($C979)&gt;dbe_esikFark,"YUKSEK","NORMAL"))</f>
        <v/>
      </c>
      <c r="F979" s="16">
        <f>IF($B979&lt;&gt;"tutar_farki","","Belge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IF($B980&lt;&gt;"tutar_farki","",IF(ABS($C980)&gt;dbe_esikFark,"YUKSEK","NORMAL"))</f>
        <v/>
      </c>
      <c r="F980" s="16">
        <f>IF($B980&lt;&gt;"tutar_farki","","Belge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IF($B981&lt;&gt;"tutar_farki","",IF(ABS($C981)&gt;dbe_esikFark,"YUKSEK","NORMAL"))</f>
        <v/>
      </c>
      <c r="F981" s="16">
        <f>IF($B981&lt;&gt;"tutar_farki","","Belge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IF($B982&lt;&gt;"tutar_farki","",IF(ABS($C982)&gt;dbe_esikFark,"YUKSEK","NORMAL"))</f>
        <v/>
      </c>
      <c r="F982" s="16">
        <f>IF($B982&lt;&gt;"tutar_farki","","Belge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IF($B983&lt;&gt;"tutar_farki","",IF(ABS($C983)&gt;dbe_esikFark,"YUKSEK","NORMAL"))</f>
        <v/>
      </c>
      <c r="F983" s="16">
        <f>IF($B983&lt;&gt;"tutar_farki","","Belge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IF($B984&lt;&gt;"tutar_farki","",IF(ABS($C984)&gt;dbe_esikFark,"YUKSEK","NORMAL"))</f>
        <v/>
      </c>
      <c r="F984" s="16">
        <f>IF($B984&lt;&gt;"tutar_farki","","Belge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IF($B985&lt;&gt;"tutar_farki","",IF(ABS($C985)&gt;dbe_esikFark,"YUKSEK","NORMAL"))</f>
        <v/>
      </c>
      <c r="F985" s="16">
        <f>IF($B985&lt;&gt;"tutar_farki","","Belge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IF($B986&lt;&gt;"tutar_farki","",IF(ABS($C986)&gt;dbe_esikFark,"YUKSEK","NORMAL"))</f>
        <v/>
      </c>
      <c r="F986" s="16">
        <f>IF($B986&lt;&gt;"tutar_farki","","Belge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IF($B987&lt;&gt;"tutar_farki","",IF(ABS($C987)&gt;dbe_esikFark,"YUKSEK","NORMAL"))</f>
        <v/>
      </c>
      <c r="F987" s="16">
        <f>IF($B987&lt;&gt;"tutar_farki","","Belge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IF($B988&lt;&gt;"tutar_farki","",IF(ABS($C988)&gt;dbe_esikFark,"YUKSEK","NORMAL"))</f>
        <v/>
      </c>
      <c r="F988" s="16">
        <f>IF($B988&lt;&gt;"tutar_farki","","Belge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IF($B989&lt;&gt;"tutar_farki","",IF(ABS($C989)&gt;dbe_esikFark,"YUKSEK","NORMAL"))</f>
        <v/>
      </c>
      <c r="F989" s="16">
        <f>IF($B989&lt;&gt;"tutar_farki","","Belge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IF($B990&lt;&gt;"tutar_farki","",IF(ABS($C990)&gt;dbe_esikFark,"YUKSEK","NORMAL"))</f>
        <v/>
      </c>
      <c r="F990" s="16">
        <f>IF($B990&lt;&gt;"tutar_farki","","Belge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IF($B991&lt;&gt;"tutar_farki","",IF(ABS($C991)&gt;dbe_esikFark,"YUKSEK","NORMAL"))</f>
        <v/>
      </c>
      <c r="F991" s="16">
        <f>IF($B991&lt;&gt;"tutar_farki","","Belge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IF($B992&lt;&gt;"tutar_farki","",IF(ABS($C992)&gt;dbe_esikFark,"YUKSEK","NORMAL"))</f>
        <v/>
      </c>
      <c r="F992" s="16">
        <f>IF($B992&lt;&gt;"tutar_farki","","Belge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IF($B993&lt;&gt;"tutar_farki","",IF(ABS($C993)&gt;dbe_esikFark,"YUKSEK","NORMAL"))</f>
        <v/>
      </c>
      <c r="F993" s="16">
        <f>IF($B993&lt;&gt;"tutar_farki","","Belge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IF($B994&lt;&gt;"tutar_farki","",IF(ABS($C994)&gt;dbe_esikFark,"YUKSEK","NORMAL"))</f>
        <v/>
      </c>
      <c r="F994" s="16">
        <f>IF($B994&lt;&gt;"tutar_farki","","Belge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IF($B995&lt;&gt;"tutar_farki","",IF(ABS($C995)&gt;dbe_esikFark,"YUKSEK","NORMAL"))</f>
        <v/>
      </c>
      <c r="F995" s="16">
        <f>IF($B995&lt;&gt;"tutar_farki","","Belge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IF($B996&lt;&gt;"tutar_farki","",IF(ABS($C996)&gt;dbe_esikFark,"YUKSEK","NORMAL"))</f>
        <v/>
      </c>
      <c r="F996" s="16">
        <f>IF($B996&lt;&gt;"tutar_farki","","Belge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IF($B997&lt;&gt;"tutar_farki","",IF(ABS($C997)&gt;dbe_esikFark,"YUKSEK","NORMAL"))</f>
        <v/>
      </c>
      <c r="F997" s="16">
        <f>IF($B997&lt;&gt;"tutar_farki","","Belge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IF($B998&lt;&gt;"tutar_farki","",IF(ABS($C998)&gt;dbe_esikFark,"YUKSEK","NORMAL"))</f>
        <v/>
      </c>
      <c r="F998" s="16">
        <f>IF($B998&lt;&gt;"tutar_farki","","Belge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IF($B999&lt;&gt;"tutar_farki","",IF(ABS($C999)&gt;dbe_esikFark,"YUKSEK","NORMAL"))</f>
        <v/>
      </c>
      <c r="F999" s="16">
        <f>IF($B999&lt;&gt;"tutar_farki","","Belge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IF($B1000&lt;&gt;"tutar_farki","",IF(ABS($C1000)&gt;dbe_esikFark,"YUKSEK","NORMAL"))</f>
        <v/>
      </c>
      <c r="F1000" s="16">
        <f>IF($B1000&lt;&gt;"tutar_farki","","Belge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IF($B1001&lt;&gt;"tutar_farki","",IF(ABS($C1001)&gt;dbe_esikFark,"YUKSEK","NORMAL"))</f>
        <v/>
      </c>
      <c r="F1001" s="16">
        <f>IF($B1001&lt;&gt;"tutar_farki","","Belge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IF($B1002&lt;&gt;"tutar_farki","",IF(ABS($C1002)&gt;dbe_esikFark,"YUKSEK","NORMAL"))</f>
        <v/>
      </c>
      <c r="F1002" s="16">
        <f>IF($B1002&lt;&gt;"tutar_farki","","Belge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IF($B1003&lt;&gt;"tutar_farki","",IF(ABS($C1003)&gt;dbe_esikFark,"YUKSEK","NORMAL"))</f>
        <v/>
      </c>
      <c r="F1003" s="16">
        <f>IF($B1003&lt;&gt;"tutar_farki","","Belge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IF($B1004&lt;&gt;"tutar_farki","",IF(ABS($C1004)&gt;dbe_esikFark,"YUKSEK","NORMAL"))</f>
        <v/>
      </c>
      <c r="F1004" s="16">
        <f>IF($B1004&lt;&gt;"tutar_farki","","Belge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IF($B1005&lt;&gt;"tutar_farki","",IF(ABS($C1005)&gt;dbe_esikFark,"YUKSEK","NORMAL"))</f>
        <v/>
      </c>
      <c r="F1005" s="16">
        <f>IF($B1005&lt;&gt;"tutar_farki","","Belge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Defter Beyan e-Arşiv Aktarım Düzenleyici</t>
        </is>
      </c>
    </row>
    <row r="3" ht="28" customHeight="1">
      <c r="A3" s="36" t="inlineStr">
        <is>
          <t>e-Arşiv ↔ DBS Aktarım Kanıt Raporu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7">
        <f>PANO!B4</f>
        <v/>
      </c>
    </row>
    <row r="9">
      <c r="A9" s="7" t="inlineStr">
        <is>
          <t>Eşleşme Oranı</t>
        </is>
      </c>
      <c r="B9" s="75">
        <f>dbe_eslesmeOrani</f>
        <v/>
      </c>
    </row>
    <row r="10">
      <c r="A10" s="7" t="inlineStr">
        <is>
          <t>e-Arşiv Toplam</t>
        </is>
      </c>
      <c r="B10" s="76">
        <f>SUM(tblVeriA[Toplam])</f>
        <v/>
      </c>
    </row>
    <row r="11">
      <c r="A11" s="7" t="inlineStr">
        <is>
          <t>Mutabakat Farkı</t>
        </is>
      </c>
      <c r="B11" s="76">
        <f>dbe_mutabakatFarki</f>
        <v/>
      </c>
    </row>
    <row r="12">
      <c r="A12" s="7" t="inlineStr">
        <is>
          <t>Eşleşti</t>
        </is>
      </c>
      <c r="B12" s="40">
        <f>COUNTIF(tblEslesme[Kova],"eslesti")</f>
        <v/>
      </c>
    </row>
    <row r="13">
      <c r="A13" s="7" t="inlineStr">
        <is>
          <t>Tutar Farkı</t>
        </is>
      </c>
      <c r="B13" s="40">
        <f>COUNTIF(tblEslesme[Kova],"tutar_farki")</f>
        <v/>
      </c>
    </row>
    <row r="14">
      <c r="A14" s="7" t="inlineStr">
        <is>
          <t>Eşleşmedi</t>
        </is>
      </c>
      <c r="B14" s="40">
        <f>COUNTIF(tblEslesme[Kova],"eslesmedi")</f>
        <v/>
      </c>
    </row>
    <row r="15">
      <c r="A15" s="7" t="inlineStr">
        <is>
          <t>Kova Bütünlük</t>
        </is>
      </c>
      <c r="B15" s="20">
        <f>dbe_kovaButunluk</f>
        <v/>
      </c>
    </row>
    <row r="16">
      <c r="A16" s="7" t="inlineStr">
        <is>
          <t>Kanıt Özeti</t>
        </is>
      </c>
      <c r="B16" s="20">
        <f>dbe_kanitRaporu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Fatura numarası UPPER/TRIM/SUBSTITUTE(boşluk)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fatura numarası'leri temizleyip yeniden eşleştirin.</t>
        </is>
      </c>
    </row>
    <row r="26">
      <c r="A26" s="20" t="inlineStr">
        <is>
          <t>KVKK</t>
        </is>
      </c>
      <c r="B26" s="7">
        <f>dbe_kvkkBeyani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&amp;LDefter Beyan e-Arşiv Aktarım Düzenleyici | Kanıt&amp;CExcelArşiv&amp;RSayfa &amp;P / &amp;N</oddFooter>
    <evenHeader/>
    <evenFooter>&amp;LDefter Beyan e-Arşiv Aktarım Düzenleyici | Kanıt&amp;CExcelArşiv&amp;RSayfa &amp;P / &amp;N</evenFooter>
    <firstHeader/>
    <firstFooter/>
  </headerFooter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Defter Beyan e-Arşiv Aktarım Düzenleyici</t>
        </is>
      </c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40">
        <f>COUNTA(tblVeriA[FaturaNo])</f>
        <v/>
      </c>
    </row>
    <row r="6">
      <c r="A6" s="7" t="inlineStr">
        <is>
          <t>B satır sayısı</t>
        </is>
      </c>
      <c r="B6" s="40">
        <f>COUNTA(tblVeriB[BelgeNo])</f>
        <v/>
      </c>
    </row>
    <row r="7">
      <c r="A7" s="7" t="inlineStr">
        <is>
          <t>Eşleşti</t>
        </is>
      </c>
      <c r="B7" s="40">
        <f>COUNTIF(tblEslesme[Kova],"eslesti")</f>
        <v/>
      </c>
    </row>
    <row r="8">
      <c r="A8" s="7" t="inlineStr">
        <is>
          <t>Tolerans</t>
        </is>
      </c>
      <c r="B8" s="40">
        <f>COUNTIF(tblEslesme[Kova],"tolerans_icinde")</f>
        <v/>
      </c>
    </row>
    <row r="9">
      <c r="A9" s="7" t="inlineStr">
        <is>
          <t>Tutar farkı</t>
        </is>
      </c>
      <c r="B9" s="40">
        <f>COUNTIF(tblEslesme[Kova],"tutar_farki")</f>
        <v/>
      </c>
    </row>
    <row r="10">
      <c r="A10" s="7" t="inlineStr">
        <is>
          <t>Eşleşmedi</t>
        </is>
      </c>
      <c r="B10" s="40">
        <f>COUNTIF(tblEslesme[Kova],"eslesmedi")</f>
        <v/>
      </c>
    </row>
    <row r="11">
      <c r="A11" s="7" t="inlineStr">
        <is>
          <t>Kova toplam</t>
        </is>
      </c>
      <c r="B11" s="40">
        <f>B7+B8+B9+B10</f>
        <v/>
      </c>
    </row>
    <row r="12">
      <c r="A12" s="7" t="inlineStr">
        <is>
          <t>Bütünlük</t>
        </is>
      </c>
      <c r="B12" s="40">
        <f>IF(B11=B5,"BUTUN","KAYIP")</f>
        <v/>
      </c>
    </row>
    <row r="13">
      <c r="A13" s="7" t="inlineStr">
        <is>
          <t>Duplike A</t>
        </is>
      </c>
      <c r="B13" s="40">
        <f>COUNTIF(tblAnahtarA[Duplike],"EVET")</f>
        <v/>
      </c>
    </row>
    <row r="14">
      <c r="A14" s="7" t="inlineStr">
        <is>
          <t>TANIMSIZ</t>
        </is>
      </c>
      <c r="B14" s="40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6">
        <f>SUM(tblVeriA[Toplam])</f>
        <v/>
      </c>
    </row>
    <row r="18">
      <c r="A18" s="7" t="inlineStr">
        <is>
          <t>Net B</t>
        </is>
      </c>
      <c r="B18" s="76">
        <f>SUM(tblVeriB[Tutar])</f>
        <v/>
      </c>
    </row>
    <row r="19">
      <c r="A19" s="7" t="inlineStr">
        <is>
          <t>Fark kontrol</t>
        </is>
      </c>
      <c r="B19" s="76">
        <f>B17-B18</f>
        <v/>
      </c>
    </row>
    <row r="20">
      <c r="A20" s="7" t="inlineStr">
        <is>
          <t>Hata adet</t>
        </is>
      </c>
      <c r="B20" s="76">
        <f>COUNTA(tblHata[HataKodu])</f>
        <v/>
      </c>
    </row>
    <row r="21">
      <c r="A21" s="7" t="inlineStr">
        <is>
          <t>Kolon harita</t>
        </is>
      </c>
      <c r="B21" s="76">
        <f>COUNTA(tblKolonHarita[KaynakKolon])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Defter Beyan e-Arşiv Aktarım Düzenleyici</t>
        </is>
      </c>
    </row>
    <row r="3">
      <c r="A3" s="41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Boşluklu/kısa fatura numarası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942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  <col width="14" customWidth="1" min="8" max="8"/>
    <col width="10" customWidth="1" min="9" max="9"/>
    <col width="12" customWidth="1" min="10" max="10"/>
    <col width="36" customWidth="1" min="11" max="11"/>
  </cols>
  <sheetData>
    <row r="1" ht="26" customHeight="1">
      <c r="A1" s="1" t="inlineStr">
        <is>
          <t>LISTELER — Defter Beyan e-Arşiv Aktarım Düzenleyici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  <c r="G3" s="5" t="inlineStr">
        <is>
          <t>DBS Kolon Haritası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  <c r="G6" s="18" t="inlineStr">
        <is>
          <t>KaynakKolon</t>
        </is>
      </c>
      <c r="H6" s="18" t="inlineStr">
        <is>
          <t>HedefKolon</t>
        </is>
      </c>
      <c r="I6" s="18" t="inlineStr">
        <is>
          <t>Zorunlu</t>
        </is>
      </c>
      <c r="J6" s="18" t="inlineStr">
        <is>
          <t>VeriTipi</t>
        </is>
      </c>
      <c r="K6" s="18" t="inlineStr">
        <is>
          <t>Aciklama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  <c r="G7" s="13" t="inlineStr">
        <is>
          <t>FaturaNo</t>
        </is>
      </c>
      <c r="H7" s="13" t="inlineStr">
        <is>
          <t>BelgeNo</t>
        </is>
      </c>
      <c r="I7" s="13" t="inlineStr">
        <is>
          <t>EVET</t>
        </is>
      </c>
      <c r="J7" s="13" t="inlineStr">
        <is>
          <t>metin</t>
        </is>
      </c>
      <c r="K7" s="13" t="inlineStr">
        <is>
          <t>e-Arşiv fatura numarası → DBS belge numarası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  <c r="G8" s="13" t="inlineStr">
        <is>
          <t>Tarih</t>
        </is>
      </c>
      <c r="H8" s="13" t="inlineStr">
        <is>
          <t>BelgeTarihi</t>
        </is>
      </c>
      <c r="I8" s="13" t="inlineStr">
        <is>
          <t>EVET</t>
        </is>
      </c>
      <c r="J8" s="13" t="inlineStr">
        <is>
          <t>tarih</t>
        </is>
      </c>
      <c r="K8" s="13" t="inlineStr">
        <is>
          <t>Belge tarihi</t>
        </is>
      </c>
    </row>
    <row r="9">
      <c r="A9" s="13" t="inlineStr">
        <is>
          <t>ISTISNA</t>
        </is>
      </c>
      <c r="C9" s="13" t="inlineStr">
        <is>
          <t>Itiraz</t>
        </is>
      </c>
      <c r="G9" s="13" t="inlineStr">
        <is>
          <t>Toplam</t>
        </is>
      </c>
      <c r="H9" s="13" t="inlineStr">
        <is>
          <t>Tutar</t>
        </is>
      </c>
      <c r="I9" s="13" t="inlineStr">
        <is>
          <t>EVET</t>
        </is>
      </c>
      <c r="J9" s="13" t="inlineStr">
        <is>
          <t>tutar</t>
        </is>
      </c>
      <c r="K9" s="13" t="inlineStr">
        <is>
          <t>Genel toplam → DBS tutar</t>
        </is>
      </c>
    </row>
    <row r="10">
      <c r="A10" s="13" t="inlineStr">
        <is>
          <t>TEVKIFAT</t>
        </is>
      </c>
      <c r="C10" s="13" t="inlineStr">
        <is>
          <t>Beklemede</t>
        </is>
      </c>
      <c r="G10" s="13" t="inlineStr">
        <is>
          <t>VKN</t>
        </is>
      </c>
      <c r="H10" s="13" t="inlineStr">
        <is>
          <t>VKN</t>
        </is>
      </c>
      <c r="I10" s="13" t="inlineStr">
        <is>
          <t>EVET</t>
        </is>
      </c>
      <c r="J10" s="13" t="inlineStr">
        <is>
          <t>metin</t>
        </is>
      </c>
      <c r="K10" s="13" t="inlineStr">
        <is>
          <t>Vergi kimlik numarası</t>
        </is>
      </c>
    </row>
    <row r="11">
      <c r="A11" s="13" t="inlineStr">
        <is>
          <t>DIGER</t>
        </is>
      </c>
      <c r="G11" s="13" t="inlineStr">
        <is>
          <t>Unvan</t>
        </is>
      </c>
      <c r="H11" s="13" t="inlineStr">
        <is>
          <t>Aciklama</t>
        </is>
      </c>
      <c r="I11" s="13" t="inlineStr">
        <is>
          <t>HAYIR</t>
        </is>
      </c>
      <c r="J11" s="13" t="inlineStr">
        <is>
          <t>metin</t>
        </is>
      </c>
      <c r="K11" s="13" t="inlineStr">
        <is>
          <t>Unvan → açıklama</t>
        </is>
      </c>
    </row>
    <row r="12">
      <c r="G12" s="13" t="inlineStr">
        <is>
          <t>Matrah</t>
        </is>
      </c>
      <c r="H12" s="13" t="inlineStr">
        <is>
          <t>Matrah</t>
        </is>
      </c>
      <c r="I12" s="13" t="inlineStr">
        <is>
          <t>HAYIR</t>
        </is>
      </c>
      <c r="J12" s="13" t="inlineStr">
        <is>
          <t>tutar</t>
        </is>
      </c>
      <c r="K12" s="13" t="inlineStr">
        <is>
          <t>KDV matrahı (opsiyonel)</t>
        </is>
      </c>
    </row>
    <row r="13">
      <c r="G13" s="13" t="inlineStr">
        <is>
          <t>KDV</t>
        </is>
      </c>
      <c r="H13" s="13" t="inlineStr">
        <is>
          <t>KDV</t>
        </is>
      </c>
      <c r="I13" s="13" t="inlineStr">
        <is>
          <t>HAYIR</t>
        </is>
      </c>
      <c r="J13" s="13" t="inlineStr">
        <is>
          <t>tutar</t>
        </is>
      </c>
      <c r="K13" s="13" t="inlineStr">
        <is>
          <t>KDV tutarı (opsiyonel)</t>
        </is>
      </c>
    </row>
    <row r="14">
      <c r="G14" s="13" t="inlineStr">
        <is>
          <t>BelgeTipi</t>
        </is>
      </c>
      <c r="H14" s="13" t="inlineStr">
        <is>
          <t>BelgeTipi</t>
        </is>
      </c>
      <c r="I14" s="13" t="inlineStr">
        <is>
          <t>HAYIR</t>
        </is>
      </c>
      <c r="J14" s="13" t="inlineStr">
        <is>
          <t>liste</t>
        </is>
      </c>
      <c r="K14" s="13" t="inlineStr">
        <is>
          <t>Belge tipi</t>
        </is>
      </c>
    </row>
    <row r="15">
      <c r="G15" s="13" t="inlineStr">
        <is>
          <t>Donem</t>
        </is>
      </c>
      <c r="H15" s="13" t="inlineStr">
        <is>
          <t>Donem</t>
        </is>
      </c>
      <c r="I15" s="13" t="inlineStr">
        <is>
          <t>EVET</t>
        </is>
      </c>
      <c r="J15" s="13" t="inlineStr">
        <is>
          <t>metin</t>
        </is>
      </c>
      <c r="K15" s="13" t="inlineStr">
        <is>
          <t>YYYY-AA dönem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F29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Defter Beyan e-Arşiv Aktarım Düzenleyici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9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dbe_esikEslesme</t>
        </is>
      </c>
      <c r="B8" s="77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dbe_esikFark</t>
        </is>
      </c>
      <c r="B9" s="70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dbe_azamiTutar</t>
        </is>
      </c>
      <c r="B10" s="70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dbe_ikincilUzunluk</t>
        </is>
      </c>
      <c r="B11" s="43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dbe_olcekHedef</t>
        </is>
      </c>
      <c r="B12" s="43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dbe_anomaliZ</t>
        </is>
      </c>
      <c r="B13" s="43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dbe_yuzdelikOran</t>
        </is>
      </c>
      <c r="B14" s="77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dbe_kdvOran</t>
        </is>
      </c>
      <c r="B15" s="77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dbe_duyarlilikCarpan</t>
        </is>
      </c>
      <c r="B16" s="43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dbe_toleransSenaryo</t>
        </is>
      </c>
      <c r="B17" s="77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dbe_yuvarlamaEsik</t>
        </is>
      </c>
      <c r="B18" s="70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dbe_guvenBolum</t>
        </is>
      </c>
      <c r="B19" s="43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dbe_riskFarkAgirlik</t>
        </is>
      </c>
      <c r="B20" s="43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dbe_riskEslesmezAgirlik</t>
        </is>
      </c>
      <c r="B21" s="43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dbe_esikHataCok</t>
        </is>
      </c>
      <c r="B22" s="43" t="n">
        <v>10</v>
      </c>
      <c r="C22" s="7" t="inlineStr">
        <is>
          <t>adet</t>
        </is>
      </c>
      <c r="D22" s="7" t="inlineStr">
        <is>
          <t>İç politika — hata eşiği</t>
        </is>
      </c>
      <c r="E22" s="7" t="inlineStr">
        <is>
          <t>01.01.2026</t>
        </is>
      </c>
      <c r="F22" s="8" t="inlineStr">
        <is>
          <t>DURDUR için hata adedi</t>
        </is>
      </c>
    </row>
    <row r="23">
      <c r="A23" s="7" t="inlineStr">
        <is>
          <t>dbe_vknUzunluk</t>
        </is>
      </c>
      <c r="B23" s="43" t="n">
        <v>10</v>
      </c>
      <c r="C23" s="7" t="inlineStr">
        <is>
          <t>hane</t>
        </is>
      </c>
      <c r="D23" s="7" t="inlineStr">
        <is>
          <t>VKN kuralı</t>
        </is>
      </c>
      <c r="E23" s="7" t="inlineStr">
        <is>
          <t>01.01.2026</t>
        </is>
      </c>
      <c r="F23" s="8" t="inlineStr">
        <is>
          <t>VKN beklenen uzunluk</t>
        </is>
      </c>
    </row>
    <row r="24">
      <c r="A24" s="7" t="inlineStr">
        <is>
          <t>dbe_normAnahtar</t>
        </is>
      </c>
      <c r="B24" s="13" t="inlineStr">
        <is>
          <t>UPPER TRIM SUBSTITUTE bosluk</t>
        </is>
      </c>
      <c r="C24" s="7" t="inlineStr">
        <is>
          <t>metin</t>
        </is>
      </c>
      <c r="D24" s="7" t="inlineStr">
        <is>
          <t>Ç7 fatura numarası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dbe_kolonHarita</t>
        </is>
      </c>
      <c r="B25" s="13" t="inlineStr">
        <is>
          <t>9 kolon map</t>
        </is>
      </c>
      <c r="C25" s="7" t="inlineStr">
        <is>
          <t>metin</t>
        </is>
      </c>
      <c r="D25" s="7" t="inlineStr">
        <is>
          <t>LISTELER kolon haritası tablosu</t>
        </is>
      </c>
      <c r="E25" s="7" t="inlineStr">
        <is>
          <t>01.01.2026</t>
        </is>
      </c>
      <c r="F25" s="8" t="inlineStr">
        <is>
          <t>DBS kolon haritası</t>
        </is>
      </c>
    </row>
    <row r="26">
      <c r="A26" s="7" t="inlineStr">
        <is>
          <t>dbe_tanimsizKova</t>
        </is>
      </c>
      <c r="B26" s="13" t="inlineStr">
        <is>
          <t>TANIMSIZ görünür</t>
        </is>
      </c>
      <c r="C26" s="7" t="inlineStr">
        <is>
          <t>metin</t>
        </is>
      </c>
      <c r="D26" s="7" t="inlineStr">
        <is>
          <t>E04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dbe_kvkkBeyani</t>
        </is>
      </c>
      <c r="B27" s="13" t="inlineStr">
        <is>
          <t>Veri cihazdan çıkmaz; XML/API yok</t>
        </is>
      </c>
      <c r="C27" s="7" t="inlineStr">
        <is>
          <t>metin</t>
        </is>
      </c>
      <c r="D27" s="7" t="inlineStr">
        <is>
          <t>KVKK beyanı</t>
        </is>
      </c>
      <c r="E27" s="7" t="inlineStr">
        <is>
          <t>01.01.2026</t>
        </is>
      </c>
      <c r="F27" s="8" t="inlineStr">
        <is>
          <t>R3 ayrım</t>
        </is>
      </c>
      <c r="H27" s="17" t="inlineStr">
        <is>
          <t>Motor Cikti</t>
        </is>
      </c>
      <c r="I27" s="17" t="inlineStr">
        <is>
          <t>Deger</t>
        </is>
      </c>
    </row>
    <row r="28">
      <c r="A28" s="7" t="inlineStr">
        <is>
          <t>dbe_kanitRaporu</t>
        </is>
      </c>
      <c r="B28" s="13" t="inlineStr">
        <is>
          <t>A4 baskı KANIT_RAPORU</t>
        </is>
      </c>
      <c r="C28" s="7" t="inlineStr">
        <is>
          <t>metin</t>
        </is>
      </c>
      <c r="D28" s="7" t="inlineStr">
        <is>
          <t>Kanıt çıktısı</t>
        </is>
      </c>
      <c r="E28" s="7" t="inlineStr">
        <is>
          <t>01.01.2026</t>
        </is>
      </c>
      <c r="F28" s="8" t="inlineStr">
        <is>
          <t>R2 ayrım</t>
        </is>
      </c>
      <c r="H28" s="7" t="inlineStr">
        <is>
          <t>dbe_hataListesi</t>
        </is>
      </c>
      <c r="I28" s="20">
        <f>COUNTA(tblHata[HataKodu])</f>
        <v/>
      </c>
    </row>
    <row r="29">
      <c r="A29" s="7" t="inlineStr">
        <is>
          <t>dbe_dosyaSurumu</t>
        </is>
      </c>
      <c r="B29" s="13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  <c r="H29" s="7" t="inlineStr">
        <is>
          <t>dbe_mutabakatFarki</t>
        </is>
      </c>
      <c r="I29" s="20">
        <f>IFERROR(SUM(tblVeriA[Toplam])-SUM(tblVeriB[Tutar]),0)</f>
        <v/>
      </c>
    </row>
    <row r="30">
      <c r="A30" s="7" t="inlineStr">
        <is>
          <t>dbe_firmaUnvan</t>
        </is>
      </c>
      <c r="B30" s="13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  <c r="H30" s="7" t="inlineStr">
        <is>
          <t>dbe_eslesmeOrani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A31" s="7" t="inlineStr">
        <is>
          <t>dbe_fiyatModeli</t>
        </is>
      </c>
      <c r="B31" s="13" t="inlineStr">
        <is>
          <t>Tek seferlik alım — aylık ücret yok</t>
        </is>
      </c>
      <c r="C31" s="7" t="inlineStr">
        <is>
          <t>metin</t>
        </is>
      </c>
      <c r="D31" s="7" t="inlineStr">
        <is>
          <t>Ürün konumlandırma</t>
        </is>
      </c>
      <c r="E31" s="7" t="inlineStr">
        <is>
          <t>01.01.2026</t>
        </is>
      </c>
      <c r="F31" s="8" t="inlineStr">
        <is>
          <t>R3 ayrım</t>
        </is>
      </c>
      <c r="H31" s="7" t="inlineStr">
        <is>
          <t>dbe_kovaButunluk</t>
        </is>
      </c>
      <c r="I31" s="20">
        <f>ESLESTIRME!C2</f>
        <v/>
      </c>
    </row>
    <row r="32">
      <c r="A32" s="7" t="inlineStr">
        <is>
          <t>dbe_yapistirCalistir</t>
        </is>
      </c>
      <c r="B32" s="13" t="inlineStr">
        <is>
          <t>Kurulum beklemez; yapıştır-çalıştır</t>
        </is>
      </c>
      <c r="C32" s="7" t="inlineStr">
        <is>
          <t>metin</t>
        </is>
      </c>
      <c r="D32" s="7" t="inlineStr">
        <is>
          <t>UX vaadi</t>
        </is>
      </c>
      <c r="E32" s="7" t="inlineStr">
        <is>
          <t>01.01.2026</t>
        </is>
      </c>
      <c r="F32" s="8" t="inlineStr">
        <is>
          <t>R3 ayrım</t>
        </is>
      </c>
      <c r="H32" s="7" t="inlineStr">
        <is>
          <t>dbe_kararKapi</t>
        </is>
      </c>
      <c r="I32" s="20">
        <f>IF(COUNTA(tblVeriA[FaturaNo])=0,"VERİ YOK",IF(dbe_hataListesi&gt;=dbe_esikHataCok,"DURDUR",IF(OR(dbe_hataListesi&gt;0,COUNTIF(tblEslesme[Kova],"tutar_farki")&gt;0,dbe_eslesmeOrani&lt;dbe_esikEslesme),"İNCELE","UYGUN")))</f>
        <v/>
      </c>
    </row>
    <row r="33">
      <c r="H33" s="7" t="inlineStr">
        <is>
          <t>dbe_modulT1</t>
        </is>
      </c>
      <c r="I33" s="20">
        <f>dbe_eslesmeOrani</f>
        <v/>
      </c>
    </row>
    <row r="34">
      <c r="H34" s="7" t="inlineStr">
        <is>
          <t>dbe_modulT2</t>
        </is>
      </c>
      <c r="I34" s="20">
        <f>dbe_hataListesi</f>
        <v/>
      </c>
    </row>
    <row r="35">
      <c r="H35" s="7" t="inlineStr">
        <is>
          <t>dbe_modulO1</t>
        </is>
      </c>
      <c r="I35" s="20">
        <f>COUNTIF(tblEslesme[EsikUstu],1)</f>
        <v/>
      </c>
    </row>
    <row r="36">
      <c r="H36" s="7" t="inlineStr">
        <is>
          <t>dbe_modulO2</t>
        </is>
      </c>
      <c r="I36" s="20">
        <f>IFERROR(ABS(dbe_mutabakatFarki)*dbe_duyarlilikCarpan,0)</f>
        <v/>
      </c>
    </row>
    <row r="37">
      <c r="H37" s="7" t="inlineStr">
        <is>
          <t>dbe_modulO3</t>
        </is>
      </c>
      <c r="I37" s="20">
        <f>IFERROR(dbe_toleransSenaryo*COUNTIF(tblEslesme[Kova],"tutar_farki"),0)</f>
        <v/>
      </c>
    </row>
    <row r="38">
      <c r="H38" s="7" t="inlineStr">
        <is>
          <t>dbe_modulO6</t>
        </is>
      </c>
      <c r="I38" s="20">
        <f>IF(COUNTA(tblVeriA[FaturaNo])=0,0,COUNTA(tblVeriA[VKN])/COUNTA(tblVeriA[FaturaNo]))</f>
        <v/>
      </c>
    </row>
    <row r="39">
      <c r="H39" s="7" t="inlineStr">
        <is>
          <t>dbe_modulO8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dbe_modulI1</t>
        </is>
      </c>
      <c r="I40" s="20">
        <f>IFERROR(PERCENTILE(tblVeriA[Toplam],dbe_yuzdelikOran),0)</f>
        <v/>
      </c>
    </row>
    <row r="41">
      <c r="H41" s="7" t="inlineStr">
        <is>
          <t>dbe_modulI2</t>
        </is>
      </c>
      <c r="I41" s="20">
        <f>IFERROR(PERCENTILE(tblEslesme[AbsFark],dbe_yuzdelikOran),0)</f>
        <v/>
      </c>
    </row>
    <row r="43">
      <c r="H43" s="17" t="inlineStr">
        <is>
          <t>Canli Yorumlar</t>
        </is>
      </c>
    </row>
    <row r="44">
      <c r="H44" s="7" t="inlineStr">
        <is>
          <t>dbe_modulT1Yorum</t>
        </is>
      </c>
      <c r="I44" s="8">
        <f>IF(COUNTA(tblVeriA[FaturaNo])=0,"Veri yok",_xlfn.TEXTJOIN(" ",TRUE,"Eşleşme oranı",TEXT(dbe_modulT1,"0.0%")))</f>
        <v/>
      </c>
    </row>
    <row r="45">
      <c r="H45" s="7" t="inlineStr">
        <is>
          <t>dbe_modulT2Yorum</t>
        </is>
      </c>
      <c r="I45" s="8">
        <f>IFERROR(_xlfn.TEXTJOIN(" ",TRUE,"Hata sayısı",TEXT(dbe_modulT2,"0")),"-")</f>
        <v/>
      </c>
    </row>
    <row r="46">
      <c r="H46" s="7" t="inlineStr">
        <is>
          <t>dbe_modulO1Yorum</t>
        </is>
      </c>
      <c r="I46" s="8">
        <f>IF(dbe_modulO1=0,"Anomali yok",_xlfn.TEXTJOIN(" ",TRUE,dbe_modulO1,"anomali satırı"))</f>
        <v/>
      </c>
    </row>
    <row r="47">
      <c r="H47" s="7" t="inlineStr">
        <is>
          <t>dbe_modulO2Yorum</t>
        </is>
      </c>
      <c r="I47" s="8">
        <f>IFERROR(_xlfn.TEXTJOIN(" ",TRUE,"Duyarlılık etkisi",TEXT(dbe_modulO2,"0.00"),"TL"),"-")</f>
        <v/>
      </c>
    </row>
    <row r="48">
      <c r="H48" s="7" t="inlineStr">
        <is>
          <t>dbe_modulO3Yorum</t>
        </is>
      </c>
      <c r="I48" s="8">
        <f>IFERROR(_xlfn.TEXTJOIN(" ",TRUE,"Senaryo etki",TEXT(dbe_modulO3,"0.00"),"TL"),"-")</f>
        <v/>
      </c>
    </row>
    <row r="49">
      <c r="H49" s="7" t="inlineStr">
        <is>
          <t>dbe_modulO6Yorum</t>
        </is>
      </c>
      <c r="I49" s="8">
        <f>IFERROR(_xlfn.TEXTJOIN(" ",TRUE,"VKN doluluk",TEXT(dbe_modulO6,"0.0%")),"-")</f>
        <v/>
      </c>
    </row>
    <row r="50">
      <c r="H50" s="7" t="inlineStr">
        <is>
          <t>dbe_modulO8Yorum</t>
        </is>
      </c>
      <c r="I50" s="8">
        <f>IFERROR(_xlfn.TEXTJOIN(" ",TRUE,"Veri kalite",TEXT(dbe_modulO8,"0")),"-")</f>
        <v/>
      </c>
    </row>
    <row r="51">
      <c r="H51" s="7" t="inlineStr">
        <is>
          <t>dbe_modulI1Yorum</t>
        </is>
      </c>
      <c r="I51" s="8">
        <f>IFERROR(_xlfn.TEXTJOIN(" ",TRUE,"Tahmin aralık",TEXT(dbe_modulI1,"0.00"),"TL"),"-")</f>
        <v/>
      </c>
    </row>
    <row r="52">
      <c r="H52" s="7" t="inlineStr">
        <is>
          <t>dbe_modulI2Yorum</t>
        </is>
      </c>
      <c r="I52" s="8">
        <f>IFERROR(_xlfn.TEXTJOIN(" ",TRUE,"Fark P90",TEXT(dbe_modulI2,"0.00"),"TL"),"-")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F294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Defter Beyan e-Arşiv Aktarım Düzenleyici</t>
        </is>
      </c>
    </row>
    <row r="3">
      <c r="A3" s="26" t="inlineStr">
        <is>
          <t>Kullanım Kılavuzu</t>
        </is>
      </c>
    </row>
    <row r="5">
      <c r="A5" s="8" t="inlineStr">
        <is>
          <t>1. VERI_A: e-Arşiv satırlarını (fatura numarası, tutar, VKN) sarı hücrelere yapıştırın.</t>
        </is>
      </c>
    </row>
    <row r="6">
      <c r="A6" s="8" t="inlineStr">
        <is>
          <t>2. VERI_B: DBS hedef satırlarını girin — XML veya API gerekmez.</t>
        </is>
      </c>
    </row>
    <row r="7">
      <c r="A7" s="8" t="inlineStr">
        <is>
          <t>3. ANAHTAR: Fatura numarası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HATA_LISTE: Zorunlu alan ve format hatalarını temizleyin.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>
      <c r="A14" s="24" t="inlineStr">
        <is>
          <t>Sık yapılan hatalar</t>
        </is>
      </c>
    </row>
    <row r="15">
      <c r="A15" s="7" t="inlineStr">
        <is>
          <t>• Fatura numarasını eksik yapıştırmak (boşluk farkı normalize edilir ama boş olamaz)</t>
        </is>
      </c>
    </row>
    <row r="16">
      <c r="A16" s="7" t="inlineStr">
        <is>
          <t>• e-Arşiv ve DBS dönemlerini karıştırmak</t>
        </is>
      </c>
    </row>
    <row r="17">
      <c r="A17" s="7" t="inlineStr">
        <is>
          <t>• Toplamı DBS tutarına yanlış map etmek</t>
        </is>
      </c>
    </row>
    <row r="19">
      <c r="A19" s="2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2026-08-14T19:04:28Z</dcterms:created>
  <dcterms:modified xmlns:dcterms="http://purl.org/dc/terms/" xmlns:xsi="http://www.w3.org/2001/XMLSchema-instance" xsi:type="dcterms:W3CDTF">2026-09-25T14:11:55Z</dcterms:modified>
</cp:coreProperties>
</file>